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ados Funcionais Cálculos" sheetId="2" r:id="rId5"/>
    <sheet state="visible" name="Metadados" sheetId="3" r:id="rId6"/>
    <sheet state="visible" name="Espécies a coletar" sheetId="4" r:id="rId7"/>
    <sheet state="visible" name="Tabela dinâmica 1" sheetId="5" r:id="rId8"/>
    <sheet state="visible" name="Tabela dinâmica 2" sheetId="6" r:id="rId9"/>
    <sheet state="visible" name="Dados ambientais" sheetId="7" r:id="rId10"/>
  </sheets>
  <definedNames>
    <definedName hidden="1" localSheetId="6" name="_xlnm._FilterDatabase">'Dados ambientais'!$A$1:$AB$1005</definedName>
    <definedName hidden="1" localSheetId="0" name="Z_74961B60_34F8_4772_9B20_6315FF94D5D2_.wvu.FilterData">Dados!$A$1:$AG$2059</definedName>
    <definedName hidden="1" localSheetId="0" name="Z_6F38D328_2906_4FD2_84C1_B134F9AC03AF_.wvu.FilterData">Dados!$A$1:$AG$2059</definedName>
  </definedNames>
  <calcPr/>
  <customWorkbookViews>
    <customWorkbookView activeSheetId="0" maximized="1" windowHeight="0" windowWidth="0" guid="{74961B60-34F8-4772-9B20-6315FF94D5D2}" name="Planilha Geral - Por localidade e Pontos "/>
    <customWorkbookView activeSheetId="0" maximized="1" windowHeight="0" windowWidth="0" guid="{6F38D328-2906-4FD2-84C1-B134F9AC03AF}" name="Organização Alfabética "/>
  </customWorkbookViews>
  <pivotCaches>
    <pivotCache cacheId="0" r:id="rId11"/>
    <pivotCache cacheId="1" r:id="rId12"/>
  </pivotCaches>
  <extLst>
    <ext uri="GoogleSheetsCustomDataVersion2">
      <go:sheetsCustomData xmlns:go="http://customooxmlschemas.google.com/" r:id="rId13" roundtripDataChecksum="ULLYiuXyUZWLaJY4NVPdm0EFn5jJkStN5zP4LHB4dUw="/>
    </ext>
  </extLst>
</workbook>
</file>

<file path=xl/sharedStrings.xml><?xml version="1.0" encoding="utf-8"?>
<sst xmlns="http://schemas.openxmlformats.org/spreadsheetml/2006/main" count="17516" uniqueCount="1610">
  <si>
    <t>Codigo_local</t>
  </si>
  <si>
    <t>Local</t>
  </si>
  <si>
    <t xml:space="preserve">Ambiente </t>
  </si>
  <si>
    <t>Ponto_Ambiente</t>
  </si>
  <si>
    <t>Parcela</t>
  </si>
  <si>
    <t>Num_Parcela</t>
  </si>
  <si>
    <t>Latitude</t>
  </si>
  <si>
    <t xml:space="preserve">Longitude </t>
  </si>
  <si>
    <t>Id</t>
  </si>
  <si>
    <t>Espécie</t>
  </si>
  <si>
    <t xml:space="preserve">Espécie_Atualizada </t>
  </si>
  <si>
    <t xml:space="preserve">Conf. identificação sp. </t>
  </si>
  <si>
    <t>PAP</t>
  </si>
  <si>
    <t>Altura</t>
  </si>
  <si>
    <t>Foto</t>
  </si>
  <si>
    <t xml:space="preserve">Coleta </t>
  </si>
  <si>
    <t xml:space="preserve">Observação </t>
  </si>
  <si>
    <t>L1</t>
  </si>
  <si>
    <t xml:space="preserve">Trilha Cachoeira do Poção </t>
  </si>
  <si>
    <t xml:space="preserve">Borda </t>
  </si>
  <si>
    <t>L1B</t>
  </si>
  <si>
    <t>L1P1</t>
  </si>
  <si>
    <t>Annona sylvatica</t>
  </si>
  <si>
    <t>22+18</t>
  </si>
  <si>
    <t>Casearia sylvestris</t>
  </si>
  <si>
    <t>16+26+15,5+19,5</t>
  </si>
  <si>
    <t>Cecropia glaziovii</t>
  </si>
  <si>
    <t>Cedrela fissilis</t>
  </si>
  <si>
    <t>Luehea divaricata</t>
  </si>
  <si>
    <t>29+31+25+26</t>
  </si>
  <si>
    <t>Machaerium stipitatum</t>
  </si>
  <si>
    <t>Allophylus edulis</t>
  </si>
  <si>
    <t>24+6,5</t>
  </si>
  <si>
    <t>Ficus adhatodifolia</t>
  </si>
  <si>
    <t>Campomanesia littoralis</t>
  </si>
  <si>
    <t>20+14+16+12+7,5+8,5</t>
  </si>
  <si>
    <t>L1P2</t>
  </si>
  <si>
    <t>Roupala montana</t>
  </si>
  <si>
    <t>16+11,5+25,5</t>
  </si>
  <si>
    <t>38+11</t>
  </si>
  <si>
    <t>Aspidosperma australe</t>
  </si>
  <si>
    <t>Tabernaemontana catharinensis</t>
  </si>
  <si>
    <t>21+30,5+22,5</t>
  </si>
  <si>
    <t>Chrysophyllum gonocarpum</t>
  </si>
  <si>
    <t>32+83</t>
  </si>
  <si>
    <t>17+43</t>
  </si>
  <si>
    <t>L1P3</t>
  </si>
  <si>
    <t>Sebastiania serrata</t>
  </si>
  <si>
    <t>Gymnanthes serrata</t>
  </si>
  <si>
    <t>Banara parviflora</t>
  </si>
  <si>
    <t>Alchornea triplinervia</t>
  </si>
  <si>
    <t>41,5+55</t>
  </si>
  <si>
    <t>Campomanesia xanthocarpa</t>
  </si>
  <si>
    <t>33,5+16+35,5+35</t>
  </si>
  <si>
    <t>Faramea marginata</t>
  </si>
  <si>
    <t>Faramea montevidensis</t>
  </si>
  <si>
    <t>Cabralea canjerana</t>
  </si>
  <si>
    <t>Myrsine umbellata</t>
  </si>
  <si>
    <t>106,5+ 71,5+116,5+57,5+86</t>
  </si>
  <si>
    <t>Albizia pedicellaris</t>
  </si>
  <si>
    <t>Albizia edwallii</t>
  </si>
  <si>
    <t>18,5+11,5+15+8+16,5</t>
  </si>
  <si>
    <t>L1P4</t>
  </si>
  <si>
    <t>Inga subnuda</t>
  </si>
  <si>
    <t>x</t>
  </si>
  <si>
    <t>54,5+76,5+61</t>
  </si>
  <si>
    <t>Foto 8055 / 8056</t>
  </si>
  <si>
    <t>Ouratea parviflora</t>
  </si>
  <si>
    <t xml:space="preserve">Coleta* </t>
  </si>
  <si>
    <t>Nervura em arco para cima*</t>
  </si>
  <si>
    <t xml:space="preserve">Muellera campestris </t>
  </si>
  <si>
    <t>Muellera campestris</t>
  </si>
  <si>
    <t>Foto 8057 - 8063</t>
  </si>
  <si>
    <t>Heisteria silvianii</t>
  </si>
  <si>
    <t>Foto 8066 - 8068</t>
  </si>
  <si>
    <t>17+16</t>
  </si>
  <si>
    <t xml:space="preserve">Foto 8070 </t>
  </si>
  <si>
    <t>Coleta*</t>
  </si>
  <si>
    <t>Ilex dumosa</t>
  </si>
  <si>
    <t>Maclura tinctoria</t>
  </si>
  <si>
    <t xml:space="preserve">Interior </t>
  </si>
  <si>
    <t>L1I</t>
  </si>
  <si>
    <t>L1P5</t>
  </si>
  <si>
    <t>Coussapoa microcarpa</t>
  </si>
  <si>
    <t xml:space="preserve">Pseudobombax grandiflorum </t>
  </si>
  <si>
    <t>Pseudobombax grandiflorum</t>
  </si>
  <si>
    <t>Alchornea glandulosa</t>
  </si>
  <si>
    <t>Foto Edu - 8.014</t>
  </si>
  <si>
    <t>Citrus sinensis</t>
  </si>
  <si>
    <t xml:space="preserve">Foto Edu 8.016 e 8.017 </t>
  </si>
  <si>
    <t>Coleta</t>
  </si>
  <si>
    <t xml:space="preserve">Machaerium stipitatum </t>
  </si>
  <si>
    <t>234 + 110</t>
  </si>
  <si>
    <t>Foto Edu 8.019 e 8.020</t>
  </si>
  <si>
    <t>Foto Edu 8.020 - 8.022</t>
  </si>
  <si>
    <t>Eugenia uniflora</t>
  </si>
  <si>
    <t xml:space="preserve">Nectandra megapotamica </t>
  </si>
  <si>
    <t>Nectandra megapotamica</t>
  </si>
  <si>
    <t>Pera glabrata</t>
  </si>
  <si>
    <t>Quando cortamos o caule fica vermelho por fora e amarelado dentro</t>
  </si>
  <si>
    <t>Psidium cattleyanum</t>
  </si>
  <si>
    <t>24+18+17</t>
  </si>
  <si>
    <t>Banara tomentosa</t>
  </si>
  <si>
    <t>59+68+64</t>
  </si>
  <si>
    <t>Cupania vernalis</t>
  </si>
  <si>
    <t>Psychotria suterella</t>
  </si>
  <si>
    <t>18+15</t>
  </si>
  <si>
    <t>Foto 8036</t>
  </si>
  <si>
    <t>Syagrus romanzoffiana</t>
  </si>
  <si>
    <t>Eugenia sp.</t>
  </si>
  <si>
    <t xml:space="preserve">Foto 8037 - 8039 - Myrtacea </t>
  </si>
  <si>
    <t>Schizolobium parahyba</t>
  </si>
  <si>
    <t>Citrus reticulata</t>
  </si>
  <si>
    <t>16+10</t>
  </si>
  <si>
    <t>18,5+11</t>
  </si>
  <si>
    <t xml:space="preserve"> Foto 8041</t>
  </si>
  <si>
    <t>Conferir se é Sidifolia</t>
  </si>
  <si>
    <t>Guarea macrophylla</t>
  </si>
  <si>
    <t>16+10+18</t>
  </si>
  <si>
    <t>L1P6</t>
  </si>
  <si>
    <t>Miconia cinerascens</t>
  </si>
  <si>
    <t xml:space="preserve">Foto 8043  </t>
  </si>
  <si>
    <t>Annona dolabripetala</t>
  </si>
  <si>
    <t>Foto 8044 / 8045</t>
  </si>
  <si>
    <t>Piper adunculum</t>
  </si>
  <si>
    <t>Piper aduncum</t>
  </si>
  <si>
    <t>15,5+11</t>
  </si>
  <si>
    <t>99+115</t>
  </si>
  <si>
    <t xml:space="preserve">Foto 8048 / 8049 </t>
  </si>
  <si>
    <t>Coleta fruto</t>
  </si>
  <si>
    <t>L1P7</t>
  </si>
  <si>
    <t xml:space="preserve">Syagrus romanzophyona </t>
  </si>
  <si>
    <t>Myrciaria glazioviana</t>
  </si>
  <si>
    <t>21+19+10+6</t>
  </si>
  <si>
    <t xml:space="preserve">Coleta cf. montevidensis </t>
  </si>
  <si>
    <t>10+13</t>
  </si>
  <si>
    <t>17,5+21</t>
  </si>
  <si>
    <t>Foto 8008</t>
  </si>
  <si>
    <t>Foto 8009</t>
  </si>
  <si>
    <t>104+66</t>
  </si>
  <si>
    <t>Myrsine glazioviana</t>
  </si>
  <si>
    <t>15,5+15</t>
  </si>
  <si>
    <t>L1P8</t>
  </si>
  <si>
    <t>66+44</t>
  </si>
  <si>
    <t>40+21,5+23</t>
  </si>
  <si>
    <t>42+36</t>
  </si>
  <si>
    <t>Allophylus petiolulatus</t>
  </si>
  <si>
    <t>Sorocea bonplandii</t>
  </si>
  <si>
    <t>20+16+17+14,5+8,5+13+10</t>
  </si>
  <si>
    <t>L2</t>
  </si>
  <si>
    <t xml:space="preserve">Morro do Assopro </t>
  </si>
  <si>
    <t>L2B</t>
  </si>
  <si>
    <t>L2P1</t>
  </si>
  <si>
    <t>Guapira opposita</t>
  </si>
  <si>
    <t>Matayba guianensis</t>
  </si>
  <si>
    <t>Foto Edu 8129</t>
  </si>
  <si>
    <t>Foto Edu 8131</t>
  </si>
  <si>
    <t>Igual nº 11</t>
  </si>
  <si>
    <t xml:space="preserve">Prunus myrtifolia </t>
  </si>
  <si>
    <t>Prunus myrtifolia</t>
  </si>
  <si>
    <t>Foto Edu 8132</t>
  </si>
  <si>
    <t xml:space="preserve">Protium kleinii </t>
  </si>
  <si>
    <t>Protium kleinii</t>
  </si>
  <si>
    <t>Foto Oke 45- 49</t>
  </si>
  <si>
    <t>Miconia formosa</t>
  </si>
  <si>
    <t>Foto Edu 8133-8134</t>
  </si>
  <si>
    <t>Igual Parcela 4 nº 20</t>
  </si>
  <si>
    <t>Casearia decandra</t>
  </si>
  <si>
    <t xml:space="preserve"> Casearia decandra - Coleta * / Cf. Scutia arenicola </t>
  </si>
  <si>
    <t>Foto Edu 8137</t>
  </si>
  <si>
    <t>Myrocarpus frondosus</t>
  </si>
  <si>
    <t>Foto Edu 8138-8144</t>
  </si>
  <si>
    <t>L2P2</t>
  </si>
  <si>
    <t>Jacaranda puberula</t>
  </si>
  <si>
    <t>40+58</t>
  </si>
  <si>
    <t>Miconia pusilliflora</t>
  </si>
  <si>
    <t>Cybistax antisyphilitica</t>
  </si>
  <si>
    <t>Foto Edu 8110-8111</t>
  </si>
  <si>
    <t xml:space="preserve">Posoqueria latifolia </t>
  </si>
  <si>
    <t>Posoqueria latifolia</t>
  </si>
  <si>
    <t xml:space="preserve">Foto Edu 8110 8111 </t>
  </si>
  <si>
    <t xml:space="preserve">Igual P4 nº 20 </t>
  </si>
  <si>
    <t>31+14+8</t>
  </si>
  <si>
    <t>Foto Edu 8116-8117</t>
  </si>
  <si>
    <t xml:space="preserve">Foto Edu 8112-8113 </t>
  </si>
  <si>
    <t>18+18</t>
  </si>
  <si>
    <t>Foto Edu 8118</t>
  </si>
  <si>
    <t>Dahlstedtia pinnata</t>
  </si>
  <si>
    <t xml:space="preserve">Foto Oke 40-44 Foto Edu 8120 </t>
  </si>
  <si>
    <t xml:space="preserve">Foto Edu 8121 </t>
  </si>
  <si>
    <t>Parece Casearia decandra *</t>
  </si>
  <si>
    <t>Euterpe edulis</t>
  </si>
  <si>
    <t>Campomanesia reitziana</t>
  </si>
  <si>
    <t>Foto Edu 8122</t>
  </si>
  <si>
    <t>L2P3</t>
  </si>
  <si>
    <t>Igual P4 nº20</t>
  </si>
  <si>
    <t>Ilex brevicuspis</t>
  </si>
  <si>
    <t>Base revoluta Foto Oke 17</t>
  </si>
  <si>
    <t>21+17</t>
  </si>
  <si>
    <t>25+16+10</t>
  </si>
  <si>
    <t>Foto Edu 8100</t>
  </si>
  <si>
    <t>Foto Edu 8102 - 8103</t>
  </si>
  <si>
    <t>Mollinedia schottiana</t>
  </si>
  <si>
    <t>Cordia trichotoma</t>
  </si>
  <si>
    <t xml:space="preserve">Foto Edu 8104 - 8108 </t>
  </si>
  <si>
    <t xml:space="preserve">Cordia trichotoma cf. </t>
  </si>
  <si>
    <t>Erythroxylum cuspidifolium</t>
  </si>
  <si>
    <t xml:space="preserve">Igual P5 n20 </t>
  </si>
  <si>
    <t xml:space="preserve">Myrcia neolucida </t>
  </si>
  <si>
    <t>Myrcia neolucida</t>
  </si>
  <si>
    <t>L2P4</t>
  </si>
  <si>
    <t>Foto Edu 8074</t>
  </si>
  <si>
    <t xml:space="preserve">Foto Edu 8081 - </t>
  </si>
  <si>
    <t>Folha Oposta e cerreada ao final</t>
  </si>
  <si>
    <t>23+13</t>
  </si>
  <si>
    <t xml:space="preserve">Foto 8080 Edu </t>
  </si>
  <si>
    <t>Nervura não marcada - Inconspicua</t>
  </si>
  <si>
    <t>50,5+79</t>
  </si>
  <si>
    <t>19+20</t>
  </si>
  <si>
    <t xml:space="preserve">Foto Oke 10 - </t>
  </si>
  <si>
    <t>Nervura principal saliente</t>
  </si>
  <si>
    <t>83+86</t>
  </si>
  <si>
    <t>Mollinedea schottiana</t>
  </si>
  <si>
    <t xml:space="preserve">Foto Oke 12-14 </t>
  </si>
  <si>
    <t xml:space="preserve">Foto Oke 15-16 Foto Edu 8093-8094 </t>
  </si>
  <si>
    <t>Talvez  Protium kleinii  (coleta identificada como P4 #)</t>
  </si>
  <si>
    <t>L2I</t>
  </si>
  <si>
    <t>L2P5</t>
  </si>
  <si>
    <t>27+31</t>
  </si>
  <si>
    <t xml:space="preserve">Foto 151-155  </t>
  </si>
  <si>
    <t>32+31+17+25</t>
  </si>
  <si>
    <t>17+17+16</t>
  </si>
  <si>
    <t>Myrcia brasiliensis</t>
  </si>
  <si>
    <t>Foto 156 - 159</t>
  </si>
  <si>
    <t>Myrcia spectabilis</t>
  </si>
  <si>
    <t>Trichilia lepidota</t>
  </si>
  <si>
    <t>Foto 160 - 163 Lauraceae</t>
  </si>
  <si>
    <t>Eugenia cf. multicostata</t>
  </si>
  <si>
    <t>Eugenia multicostata</t>
  </si>
  <si>
    <t>Foto 164 - 168 Myrtaceae</t>
  </si>
  <si>
    <t>Roupala brasiliensis</t>
  </si>
  <si>
    <t>Cf. Plinia rivularis</t>
  </si>
  <si>
    <t>10+20</t>
  </si>
  <si>
    <t>Foto 172-174</t>
  </si>
  <si>
    <t>L2P6</t>
  </si>
  <si>
    <t>Pterocarpus violaceus</t>
  </si>
  <si>
    <t xml:space="preserve">Foto 118 119 </t>
  </si>
  <si>
    <t xml:space="preserve"> Euphorbiaceae</t>
  </si>
  <si>
    <t xml:space="preserve">Foto 120 </t>
  </si>
  <si>
    <t xml:space="preserve"> Myrtaceae da Folha Grande</t>
  </si>
  <si>
    <t xml:space="preserve">sp 2 - Rubiaceae </t>
  </si>
  <si>
    <t>Foto 121</t>
  </si>
  <si>
    <t xml:space="preserve"> Mollinedia uleana</t>
  </si>
  <si>
    <t>Mollinedia uleana</t>
  </si>
  <si>
    <t xml:space="preserve">Foto 124-126 </t>
  </si>
  <si>
    <t>Myrtaceae folha pequena</t>
  </si>
  <si>
    <t>58+64+47+33</t>
  </si>
  <si>
    <t>Foto 127 - 134</t>
  </si>
  <si>
    <t xml:space="preserve">Faramea montevidensis </t>
  </si>
  <si>
    <t>42+24</t>
  </si>
  <si>
    <t>Foto 135 136</t>
  </si>
  <si>
    <t>Foto 21-25</t>
  </si>
  <si>
    <t>18+11</t>
  </si>
  <si>
    <t>Amaioua intermedia</t>
  </si>
  <si>
    <t>Foto 140 - 143</t>
  </si>
  <si>
    <t xml:space="preserve"> Foto 146 - 147</t>
  </si>
  <si>
    <t>61+86</t>
  </si>
  <si>
    <t>Foto 148</t>
  </si>
  <si>
    <t>Coleta identificada como P6 - 26</t>
  </si>
  <si>
    <t>Eugenia sp.2</t>
  </si>
  <si>
    <t>Foto 143 - 150</t>
  </si>
  <si>
    <t>22+25</t>
  </si>
  <si>
    <t>L2P7</t>
  </si>
  <si>
    <t>Tetrorchidium rubrivenium</t>
  </si>
  <si>
    <t>Foto 82-88 -</t>
  </si>
  <si>
    <t>Foto 90 - 91</t>
  </si>
  <si>
    <t>Virola bicuhyba</t>
  </si>
  <si>
    <t xml:space="preserve">Foto 92 - 93 - </t>
  </si>
  <si>
    <t>Ameaçada</t>
  </si>
  <si>
    <t>Piper arboreum</t>
  </si>
  <si>
    <t>Foto 96-98</t>
  </si>
  <si>
    <t>14+16</t>
  </si>
  <si>
    <t>Foto99</t>
  </si>
  <si>
    <t xml:space="preserve">Rubiaceae Parcela 8 </t>
  </si>
  <si>
    <t xml:space="preserve">Piper gaudichaudianum </t>
  </si>
  <si>
    <t>Piper gaudichaudianum</t>
  </si>
  <si>
    <t>Foto 101</t>
  </si>
  <si>
    <t xml:space="preserve">Foto 103-105 </t>
  </si>
  <si>
    <t>Palicourea sp. Rubiaceae</t>
  </si>
  <si>
    <t>Palicourea sp.</t>
  </si>
  <si>
    <t>Foto 106 - 107</t>
  </si>
  <si>
    <t>Foto 109 - 113</t>
  </si>
  <si>
    <t xml:space="preserve">Euphorbiaceae </t>
  </si>
  <si>
    <t>25+13</t>
  </si>
  <si>
    <t>Platymiscium floribundum</t>
  </si>
  <si>
    <t>21+16+20+16+14</t>
  </si>
  <si>
    <t xml:space="preserve">Foto 114 - 116  Fabaceae </t>
  </si>
  <si>
    <t>L2P8</t>
  </si>
  <si>
    <t>Foto 5 - 10</t>
  </si>
  <si>
    <t>Foto 11 12</t>
  </si>
  <si>
    <t>Foto 19 20</t>
  </si>
  <si>
    <t>Psychotria sp.</t>
  </si>
  <si>
    <t xml:space="preserve">Foto 31-34 </t>
  </si>
  <si>
    <t>Myrtaceae folha grande</t>
  </si>
  <si>
    <t>Rudgea jasminoides</t>
  </si>
  <si>
    <t>Foto 35-37</t>
  </si>
  <si>
    <t>Foto 42-45</t>
  </si>
  <si>
    <t>Mollinedia cf. triflora</t>
  </si>
  <si>
    <t>Mollinedia triflora</t>
  </si>
  <si>
    <t>Foto 50 - 53</t>
  </si>
  <si>
    <t>Foto 54 -55</t>
  </si>
  <si>
    <t>Foto 58-60</t>
  </si>
  <si>
    <t xml:space="preserve">Foto 63-64 </t>
  </si>
  <si>
    <t>Myrtaceae</t>
  </si>
  <si>
    <t xml:space="preserve">Indet </t>
  </si>
  <si>
    <t>NA</t>
  </si>
  <si>
    <t>Foto 69 - 73</t>
  </si>
  <si>
    <t>Foto 77 - 79</t>
  </si>
  <si>
    <t>L3</t>
  </si>
  <si>
    <t>Morro do Lampião</t>
  </si>
  <si>
    <t>L3B</t>
  </si>
  <si>
    <t>L3P1</t>
  </si>
  <si>
    <t>30+45+27</t>
  </si>
  <si>
    <t>Myrcia splendens</t>
  </si>
  <si>
    <t>Erythroxylum argentinum</t>
  </si>
  <si>
    <t>16+13</t>
  </si>
  <si>
    <t>Myrcia palustris</t>
  </si>
  <si>
    <t>29,5+30</t>
  </si>
  <si>
    <t>Foto Edu 8156</t>
  </si>
  <si>
    <t>Muellera grazielae</t>
  </si>
  <si>
    <t>Foto Edu 8157- 8159</t>
  </si>
  <si>
    <t xml:space="preserve"> Sem linha no limbo</t>
  </si>
  <si>
    <t>53+85,5</t>
  </si>
  <si>
    <t>19+32</t>
  </si>
  <si>
    <t>24+28</t>
  </si>
  <si>
    <t>Myrsine guianensis</t>
  </si>
  <si>
    <t>Foto Folha Oke</t>
  </si>
  <si>
    <t>19,5+23</t>
  </si>
  <si>
    <t>L3P2</t>
  </si>
  <si>
    <t>Handroanthus umbellatus</t>
  </si>
  <si>
    <t>Foto Edu 8161</t>
  </si>
  <si>
    <t xml:space="preserve">Lonchocarpus campestris </t>
  </si>
  <si>
    <t>Foto Edu 8163 - 8164 (Fabaceae)</t>
  </si>
  <si>
    <t>40+34</t>
  </si>
  <si>
    <t>Foto Edu 8165</t>
  </si>
  <si>
    <t>66+53</t>
  </si>
  <si>
    <t>Tronco descama embaixo apresenta tom amarelado</t>
  </si>
  <si>
    <t>28+27+20</t>
  </si>
  <si>
    <t>Foto Edu 8157 - 8159</t>
  </si>
  <si>
    <t>19+26+9</t>
  </si>
  <si>
    <t>23+24</t>
  </si>
  <si>
    <t>Conferir ocorrência</t>
  </si>
  <si>
    <t>15+15</t>
  </si>
  <si>
    <t>30+25</t>
  </si>
  <si>
    <t>L3P3</t>
  </si>
  <si>
    <t>40+35</t>
  </si>
  <si>
    <t>28+27+22+12</t>
  </si>
  <si>
    <t>Coleta para referência</t>
  </si>
  <si>
    <t>Zanthoxylum fagara</t>
  </si>
  <si>
    <t>Foto Edu 8171 8172</t>
  </si>
  <si>
    <t>35,5+34,5</t>
  </si>
  <si>
    <t xml:space="preserve">Myrsine guianensis </t>
  </si>
  <si>
    <t xml:space="preserve"> Folha sem linha</t>
  </si>
  <si>
    <t xml:space="preserve">Cf. Muellera grazielae </t>
  </si>
  <si>
    <t>Ocotea  pulchella</t>
  </si>
  <si>
    <t>Ocotea pulchella</t>
  </si>
  <si>
    <t>17+25</t>
  </si>
  <si>
    <t>53+55</t>
  </si>
  <si>
    <t>L3P4</t>
  </si>
  <si>
    <t>Cf. Lonchocarpus cultratus</t>
  </si>
  <si>
    <t>Foto 8176-8178</t>
  </si>
  <si>
    <t>30.5+31+23</t>
  </si>
  <si>
    <t>Myrsine coriacea</t>
  </si>
  <si>
    <t>Myrcia guianensis</t>
  </si>
  <si>
    <t>15+18</t>
  </si>
  <si>
    <t>20.5+21+19</t>
  </si>
  <si>
    <t>25+17+15</t>
  </si>
  <si>
    <t>Handroanthus cf. chrysotrichus</t>
  </si>
  <si>
    <t>Handroanthus chrysotrichus</t>
  </si>
  <si>
    <t>Handroanthus sp.</t>
  </si>
  <si>
    <t xml:space="preserve">Roupala cf. brasiliensis </t>
  </si>
  <si>
    <t>15+17</t>
  </si>
  <si>
    <t>L3I</t>
  </si>
  <si>
    <t>L3P5</t>
  </si>
  <si>
    <t xml:space="preserve">Ouratea parviflora </t>
  </si>
  <si>
    <t>Foto Edu 8244</t>
  </si>
  <si>
    <t xml:space="preserve">Ilex pseudobuxus </t>
  </si>
  <si>
    <t>Ilex pseudobuxus</t>
  </si>
  <si>
    <t>Foto Edu 8245</t>
  </si>
  <si>
    <t>43+30+54+11</t>
  </si>
  <si>
    <t>Eugenia sp.3</t>
  </si>
  <si>
    <t>Foto Edu 8249-8251</t>
  </si>
  <si>
    <t>Cf. Posoqueria latifolia</t>
  </si>
  <si>
    <t>30+16</t>
  </si>
  <si>
    <t>Matayba intermedia</t>
  </si>
  <si>
    <t>Morta</t>
  </si>
  <si>
    <t xml:space="preserve">Sloanea guianensis </t>
  </si>
  <si>
    <t>Sloanea guianensis</t>
  </si>
  <si>
    <t>55+45</t>
  </si>
  <si>
    <t>Foto Edu 8246</t>
  </si>
  <si>
    <t>Cinnamomum glaziovii</t>
  </si>
  <si>
    <t>Aiouea glaziovii</t>
  </si>
  <si>
    <t>L3P6</t>
  </si>
  <si>
    <t>Myrcia strigipes</t>
  </si>
  <si>
    <t>Foto Edu 8235</t>
  </si>
  <si>
    <t>21+29</t>
  </si>
  <si>
    <t>70+68</t>
  </si>
  <si>
    <t>24,5+19,,5</t>
  </si>
  <si>
    <t>8+15,5+9</t>
  </si>
  <si>
    <t>32+36</t>
  </si>
  <si>
    <t>28+32+20+29</t>
  </si>
  <si>
    <t>56+30</t>
  </si>
  <si>
    <t>29+18</t>
  </si>
  <si>
    <t>Campomanesia cf. reitziana</t>
  </si>
  <si>
    <t>23+28+30</t>
  </si>
  <si>
    <t>23+28+20</t>
  </si>
  <si>
    <t>40+20+15</t>
  </si>
  <si>
    <t>L3P7</t>
  </si>
  <si>
    <t>35+36+27+25</t>
  </si>
  <si>
    <t>24+13+14</t>
  </si>
  <si>
    <t>19+15</t>
  </si>
  <si>
    <t>Machaerium hirtum</t>
  </si>
  <si>
    <t>18+30</t>
  </si>
  <si>
    <t>Endlicheria paniculata</t>
  </si>
  <si>
    <t>Foto Edu 8223 8225</t>
  </si>
  <si>
    <t>Foto 8228</t>
  </si>
  <si>
    <t>Cf. Guatteria australis</t>
  </si>
  <si>
    <t>31+25</t>
  </si>
  <si>
    <t>Foto 8230 - 8233</t>
  </si>
  <si>
    <t>33+36</t>
  </si>
  <si>
    <t>X</t>
  </si>
  <si>
    <t>Foto Edu 8227</t>
  </si>
  <si>
    <t>L3P8</t>
  </si>
  <si>
    <t>18+14,5+20</t>
  </si>
  <si>
    <t>21+22,5</t>
  </si>
  <si>
    <t>18,5+21</t>
  </si>
  <si>
    <t>33+39</t>
  </si>
  <si>
    <t>25+18</t>
  </si>
  <si>
    <t>21+20+19</t>
  </si>
  <si>
    <t xml:space="preserve">Foto Edu 8208 </t>
  </si>
  <si>
    <t>25+17</t>
  </si>
  <si>
    <t xml:space="preserve">Maytenus boaria </t>
  </si>
  <si>
    <t>Maytenus boaria</t>
  </si>
  <si>
    <t>Matayba elaeagnoides</t>
  </si>
  <si>
    <t>33+14</t>
  </si>
  <si>
    <t>17+13</t>
  </si>
  <si>
    <t>40+32+20+15</t>
  </si>
  <si>
    <t xml:space="preserve">Roupala brasiliensis </t>
  </si>
  <si>
    <t>Foto Edu 8211</t>
  </si>
  <si>
    <t>Ocotea odorifera</t>
  </si>
  <si>
    <t>45,5+36,5</t>
  </si>
  <si>
    <t>18+10</t>
  </si>
  <si>
    <t xml:space="preserve">Mollinedia sp. </t>
  </si>
  <si>
    <t>17,5+13</t>
  </si>
  <si>
    <t xml:space="preserve">Ocotea lanosa </t>
  </si>
  <si>
    <t>Ocotea lanata</t>
  </si>
  <si>
    <t>27+30+18</t>
  </si>
  <si>
    <t xml:space="preserve">Posoqueria larifolia </t>
  </si>
  <si>
    <t>Posoqueria acutifolia</t>
  </si>
  <si>
    <t>Foto Edu 8216</t>
  </si>
  <si>
    <t>L4</t>
  </si>
  <si>
    <t>UCAD</t>
  </si>
  <si>
    <t>L4B</t>
  </si>
  <si>
    <t>L4P1</t>
  </si>
  <si>
    <t>43+17+57+29+16</t>
  </si>
  <si>
    <t>22+26</t>
  </si>
  <si>
    <t>Foto 137-143</t>
  </si>
  <si>
    <t>24+14+27+20+35</t>
  </si>
  <si>
    <t>Colubrina glandulosa</t>
  </si>
  <si>
    <t>Sebastiania argutidens</t>
  </si>
  <si>
    <t>Gymnanthes klotzschiana</t>
  </si>
  <si>
    <t>Coleta com fruto</t>
  </si>
  <si>
    <t>14+20+16+11</t>
  </si>
  <si>
    <t>L4P2</t>
  </si>
  <si>
    <t xml:space="preserve">Pera glabrata </t>
  </si>
  <si>
    <t>Cf. Colubrina glandulosa</t>
  </si>
  <si>
    <t>Foto 115 - 118</t>
  </si>
  <si>
    <t>Foto 119 - 121</t>
  </si>
  <si>
    <t>12+15+10</t>
  </si>
  <si>
    <t>24+31+45</t>
  </si>
  <si>
    <t>36+23</t>
  </si>
  <si>
    <t>34+54</t>
  </si>
  <si>
    <t>Aiouea montana</t>
  </si>
  <si>
    <t>Foto 131-136</t>
  </si>
  <si>
    <t>96+26</t>
  </si>
  <si>
    <t>15+21+21+17</t>
  </si>
  <si>
    <t>L4P3</t>
  </si>
  <si>
    <t xml:space="preserve">Schizolobium parahyba </t>
  </si>
  <si>
    <t>Miconia cinnamomifolia</t>
  </si>
  <si>
    <t>69+16</t>
  </si>
  <si>
    <t>Psychotria sp</t>
  </si>
  <si>
    <t>23+27</t>
  </si>
  <si>
    <t>27+16+15</t>
  </si>
  <si>
    <t>Zanthoxylum caribaeum</t>
  </si>
  <si>
    <t>Guatteria australis</t>
  </si>
  <si>
    <t>Foto 150-160</t>
  </si>
  <si>
    <t>18+12</t>
  </si>
  <si>
    <t>30+33</t>
  </si>
  <si>
    <t>L4P4</t>
  </si>
  <si>
    <t>Piptadenia paniculata</t>
  </si>
  <si>
    <t>32+15</t>
  </si>
  <si>
    <t>73+53</t>
  </si>
  <si>
    <t>Cf. Cinnamomum triplinerve</t>
  </si>
  <si>
    <t>Foto 101 - 107</t>
  </si>
  <si>
    <t>Solanum pseudoquina</t>
  </si>
  <si>
    <t>L4I</t>
  </si>
  <si>
    <t>L4P5</t>
  </si>
  <si>
    <t>20+23+15</t>
  </si>
  <si>
    <t xml:space="preserve">Tabernaemontana catharinensis </t>
  </si>
  <si>
    <t>16+14</t>
  </si>
  <si>
    <t>17+23</t>
  </si>
  <si>
    <t>30+28+29+28+17+21+27</t>
  </si>
  <si>
    <t>Foto 61-65</t>
  </si>
  <si>
    <t>35+13+13</t>
  </si>
  <si>
    <t>19+13</t>
  </si>
  <si>
    <t>20+20</t>
  </si>
  <si>
    <t>17+8+21</t>
  </si>
  <si>
    <t>Zollernia ilicifolia</t>
  </si>
  <si>
    <t>Folha espinhenta com estípula - Foto 69-70</t>
  </si>
  <si>
    <t>Lonchocarpus cultratus</t>
  </si>
  <si>
    <t>98+93</t>
  </si>
  <si>
    <t>Folha composta 71 81</t>
  </si>
  <si>
    <t xml:space="preserve">L4P6 </t>
  </si>
  <si>
    <t xml:space="preserve"> Schizolobium parahyba</t>
  </si>
  <si>
    <t>40+36</t>
  </si>
  <si>
    <t>Zanthoxylum rhoifolium</t>
  </si>
  <si>
    <t>42+22</t>
  </si>
  <si>
    <t>Foto 58+59 - Folha pequena</t>
  </si>
  <si>
    <t>Foto cel oke</t>
  </si>
  <si>
    <t>L4P7</t>
  </si>
  <si>
    <t>51+74</t>
  </si>
  <si>
    <t>15+21</t>
  </si>
  <si>
    <t>56+88+52</t>
  </si>
  <si>
    <t>27+12+12</t>
  </si>
  <si>
    <t>Foto 31-35</t>
  </si>
  <si>
    <t>Foto 39-45</t>
  </si>
  <si>
    <t>Cipó</t>
  </si>
  <si>
    <t>39+33</t>
  </si>
  <si>
    <t>16+33</t>
  </si>
  <si>
    <t>29+29+44</t>
  </si>
  <si>
    <t>L4P8</t>
  </si>
  <si>
    <t>28+16+12+27</t>
  </si>
  <si>
    <t>42+40+40</t>
  </si>
  <si>
    <t>Foto Oke 2-4</t>
  </si>
  <si>
    <t>22+23+10</t>
  </si>
  <si>
    <t>24+16</t>
  </si>
  <si>
    <t>23+18+23</t>
  </si>
  <si>
    <t>17+15+10</t>
  </si>
  <si>
    <t>20+22+12+23</t>
  </si>
  <si>
    <t>25+27</t>
  </si>
  <si>
    <t>58+56+57</t>
  </si>
  <si>
    <t>Foto 9-14</t>
  </si>
  <si>
    <t>Foto 15-16</t>
  </si>
  <si>
    <t>24+15</t>
  </si>
  <si>
    <t>Foto 17-19</t>
  </si>
  <si>
    <t>Foto 20 -22</t>
  </si>
  <si>
    <t>17+12+15+10</t>
  </si>
  <si>
    <t>Foto 23-29</t>
  </si>
  <si>
    <t>L5</t>
  </si>
  <si>
    <t xml:space="preserve">Sitio Vale Encantado </t>
  </si>
  <si>
    <t>L5B</t>
  </si>
  <si>
    <t>L5P1</t>
  </si>
  <si>
    <t>25+25+25+21+11+15+19+20+15+17,5+13+12,5+18+22+14,5+16,5+14+17+12+20+15,5+19,5</t>
  </si>
  <si>
    <t>67,5+56+59</t>
  </si>
  <si>
    <t>24+22</t>
  </si>
  <si>
    <t>Inga marginata</t>
  </si>
  <si>
    <t>L5P2</t>
  </si>
  <si>
    <t>38+12</t>
  </si>
  <si>
    <t>28+24+44+24</t>
  </si>
  <si>
    <t>18+12,5</t>
  </si>
  <si>
    <t>32+26+39,5+14,5</t>
  </si>
  <si>
    <t>71+17</t>
  </si>
  <si>
    <t>Foto 8329</t>
  </si>
  <si>
    <t>L5P3</t>
  </si>
  <si>
    <t>Psychotria cf. suterella</t>
  </si>
  <si>
    <t>Foto 8323 - 8325</t>
  </si>
  <si>
    <t>Banara cf. tomentosa</t>
  </si>
  <si>
    <t>Foto 8326</t>
  </si>
  <si>
    <t>L5P4</t>
  </si>
  <si>
    <t>Monteverdia evonymoides</t>
  </si>
  <si>
    <t>Igual P6 com coleta</t>
  </si>
  <si>
    <t xml:space="preserve">8313-8314 </t>
  </si>
  <si>
    <t>Cf. Maytenus</t>
  </si>
  <si>
    <t>8316-8317</t>
  </si>
  <si>
    <t>8320-8321</t>
  </si>
  <si>
    <t>L5I</t>
  </si>
  <si>
    <t>L5P5</t>
  </si>
  <si>
    <t>Cf. Prunus myrtifolia</t>
  </si>
  <si>
    <t>L5P6</t>
  </si>
  <si>
    <t>Citharexylum myrianthum</t>
  </si>
  <si>
    <t>8300-8302</t>
  </si>
  <si>
    <t xml:space="preserve">Cf. Maytenus </t>
  </si>
  <si>
    <t xml:space="preserve">Cf. Machaonia </t>
  </si>
  <si>
    <t>8303-8305</t>
  </si>
  <si>
    <t>25+21</t>
  </si>
  <si>
    <t xml:space="preserve"> Cf. Quassia amara  </t>
  </si>
  <si>
    <t>Guazuma ulmifolia</t>
  </si>
  <si>
    <t>L5P7</t>
  </si>
  <si>
    <t xml:space="preserve">Foto 8276 </t>
  </si>
  <si>
    <t>Myrcia lonchophylla</t>
  </si>
  <si>
    <t>Foto 8283</t>
  </si>
  <si>
    <t>Foto 8270</t>
  </si>
  <si>
    <t>L5P8</t>
  </si>
  <si>
    <t>Foto 8258</t>
  </si>
  <si>
    <t>Foto 8261</t>
  </si>
  <si>
    <t>Foto 8265-66</t>
  </si>
  <si>
    <t>Trichilia sp.</t>
  </si>
  <si>
    <t>Trichilia casaretti</t>
  </si>
  <si>
    <t xml:space="preserve">Foto 8268 tem folíolo grande terminal </t>
  </si>
  <si>
    <t>Foto 8269</t>
  </si>
  <si>
    <t>L6</t>
  </si>
  <si>
    <t>Trilha do Caminho da Gurita</t>
  </si>
  <si>
    <t>L6B</t>
  </si>
  <si>
    <t>L6P1</t>
  </si>
  <si>
    <t>20+22</t>
  </si>
  <si>
    <t>27+42</t>
  </si>
  <si>
    <t>Andira fraxinifolia</t>
  </si>
  <si>
    <t>21+14+25+20</t>
  </si>
  <si>
    <t>95+130</t>
  </si>
  <si>
    <t>L6P2</t>
  </si>
  <si>
    <t>49+27</t>
  </si>
  <si>
    <t xml:space="preserve">Oke 144634 </t>
  </si>
  <si>
    <t>63+55</t>
  </si>
  <si>
    <t>L6P3</t>
  </si>
  <si>
    <t>20+23</t>
  </si>
  <si>
    <t>32+14+22</t>
  </si>
  <si>
    <t>100+44</t>
  </si>
  <si>
    <t>L6P4</t>
  </si>
  <si>
    <t>27+24</t>
  </si>
  <si>
    <t>Coussarea contracta</t>
  </si>
  <si>
    <t xml:space="preserve">Foto Oke 135757  </t>
  </si>
  <si>
    <t xml:space="preserve">Solanum pseudoquina </t>
  </si>
  <si>
    <t>L6I</t>
  </si>
  <si>
    <t>L6P5</t>
  </si>
  <si>
    <t>Foto Oke 120156</t>
  </si>
  <si>
    <t>63+15</t>
  </si>
  <si>
    <t>33+19</t>
  </si>
  <si>
    <t>Corte preto ao redor tronco</t>
  </si>
  <si>
    <t>42+45,5</t>
  </si>
  <si>
    <t>Machaerium paraguariense</t>
  </si>
  <si>
    <t>Foto Oke 122 444</t>
  </si>
  <si>
    <t>22+8</t>
  </si>
  <si>
    <t>35,5+42</t>
  </si>
  <si>
    <t>54,5+23+20,5</t>
  </si>
  <si>
    <t>L6P6</t>
  </si>
  <si>
    <t>Esenbeckia hieronymi</t>
  </si>
  <si>
    <t>30+14</t>
  </si>
  <si>
    <t>Trichilha lepidota</t>
  </si>
  <si>
    <t>19+14+15</t>
  </si>
  <si>
    <t>L6P7</t>
  </si>
  <si>
    <t>33+9+8</t>
  </si>
  <si>
    <t>Psychotria lancionata</t>
  </si>
  <si>
    <t>Coussarea lanceolata</t>
  </si>
  <si>
    <t>Foto cel Oke Foto Ewerton - 3 Folíolos do mesmo ponto corte macio e cheiro de fabaceae</t>
  </si>
  <si>
    <t xml:space="preserve"> Coleta*</t>
  </si>
  <si>
    <t>57+44</t>
  </si>
  <si>
    <t>19+18</t>
  </si>
  <si>
    <t>L6P8</t>
  </si>
  <si>
    <t>Eugenia adstringens</t>
  </si>
  <si>
    <t>Eugenia astringens</t>
  </si>
  <si>
    <t>L7</t>
  </si>
  <si>
    <t xml:space="preserve">Viveiro da Floram </t>
  </si>
  <si>
    <t>L7B</t>
  </si>
  <si>
    <t>L7P1</t>
  </si>
  <si>
    <t>Tibouchina granulosa</t>
  </si>
  <si>
    <t>Pleroma granulosum</t>
  </si>
  <si>
    <t>35,5+38+47+75</t>
  </si>
  <si>
    <t xml:space="preserve">Foto 8444 </t>
  </si>
  <si>
    <t>Cf. Pavonia</t>
  </si>
  <si>
    <t>Cf. Callianthe rufinerva</t>
  </si>
  <si>
    <t>18+25</t>
  </si>
  <si>
    <t>Foto 8445 8446</t>
  </si>
  <si>
    <t>Archontophoenix cunninghamiana</t>
  </si>
  <si>
    <t xml:space="preserve">Myrsine coriacea </t>
  </si>
  <si>
    <t>Foto 8447</t>
  </si>
  <si>
    <t>Foto 8448</t>
  </si>
  <si>
    <t>24+19+19+23</t>
  </si>
  <si>
    <t>L7P2</t>
  </si>
  <si>
    <t>37+20+29,5</t>
  </si>
  <si>
    <t>Caesalpinia peltophoroides</t>
  </si>
  <si>
    <t>Cenostigma pluviosum var. peltophoroides</t>
  </si>
  <si>
    <t>L7P3</t>
  </si>
  <si>
    <t>25+30</t>
  </si>
  <si>
    <t>Foto 8438</t>
  </si>
  <si>
    <t>Ingá sp.</t>
  </si>
  <si>
    <t>Foto 8439</t>
  </si>
  <si>
    <t xml:space="preserve"> Coleta* </t>
  </si>
  <si>
    <t>49+32</t>
  </si>
  <si>
    <t>Eugenia cf. florida</t>
  </si>
  <si>
    <t>Eugenia florida</t>
  </si>
  <si>
    <t>L7P4</t>
  </si>
  <si>
    <t>Solanum cf. pseudoquina</t>
  </si>
  <si>
    <t>Foto 8429</t>
  </si>
  <si>
    <t>Eriobotrya japonica</t>
  </si>
  <si>
    <t>Delonix regia</t>
  </si>
  <si>
    <t>13+13+31+18+22</t>
  </si>
  <si>
    <t>Jacaranda mimosifolia</t>
  </si>
  <si>
    <t>L7I</t>
  </si>
  <si>
    <t>L7P5</t>
  </si>
  <si>
    <t>Matayba sp.</t>
  </si>
  <si>
    <t>Myrsine cf. coriacea</t>
  </si>
  <si>
    <t>Foto 8388</t>
  </si>
  <si>
    <t>Foto 8389</t>
  </si>
  <si>
    <t>Picrasma crenata</t>
  </si>
  <si>
    <t>Foto 8393</t>
  </si>
  <si>
    <t>Maytenus sp.</t>
  </si>
  <si>
    <t>Monteverdia ilicifolia</t>
  </si>
  <si>
    <t>Foto 8394</t>
  </si>
  <si>
    <t>Ficus cf. cestrifolia</t>
  </si>
  <si>
    <t>Ficus cestrifolia</t>
  </si>
  <si>
    <t>Foto 8400 e  Foto 8405 Com latex</t>
  </si>
  <si>
    <t xml:space="preserve">Banara cf. parviflora </t>
  </si>
  <si>
    <t>Foto 8401 - Foto 8402</t>
  </si>
  <si>
    <t>Foto 8397-Foto 8399</t>
  </si>
  <si>
    <t>Annona sp.</t>
  </si>
  <si>
    <t>Foto 8403</t>
  </si>
  <si>
    <t>L7P6</t>
  </si>
  <si>
    <t>Inga cf. subnuda</t>
  </si>
  <si>
    <t>Foto  8407-Foto  8409</t>
  </si>
  <si>
    <t>Foto  8411 Foto  8412</t>
  </si>
  <si>
    <t>Foto  8410</t>
  </si>
  <si>
    <t>Foto  8413</t>
  </si>
  <si>
    <t>Foto  8414</t>
  </si>
  <si>
    <t>L7P7</t>
  </si>
  <si>
    <t>Piptadenia gonoacantha</t>
  </si>
  <si>
    <t>75,5+14</t>
  </si>
  <si>
    <t>58,5+23+34+23+71</t>
  </si>
  <si>
    <t>Roupala sp.</t>
  </si>
  <si>
    <t>Foto 8373</t>
  </si>
  <si>
    <t>Foto 8374</t>
  </si>
  <si>
    <t>Inga sp.</t>
  </si>
  <si>
    <t>Inga sessilis</t>
  </si>
  <si>
    <t>Foto 8376</t>
  </si>
  <si>
    <t>78+75</t>
  </si>
  <si>
    <t>27+15</t>
  </si>
  <si>
    <t>L7P8</t>
  </si>
  <si>
    <t>Eugenia cf. ternatifolia</t>
  </si>
  <si>
    <t>Eugenia ternatifolia</t>
  </si>
  <si>
    <t>Foto  8351</t>
  </si>
  <si>
    <t>22+28+34+22</t>
  </si>
  <si>
    <t>Foto  8357</t>
  </si>
  <si>
    <t>Byrsonima sp.</t>
  </si>
  <si>
    <t>8360 -8361</t>
  </si>
  <si>
    <t>Foto  8359</t>
  </si>
  <si>
    <t>Jubunga langsdorffii</t>
  </si>
  <si>
    <t xml:space="preserve">Perde a folha corte branco </t>
  </si>
  <si>
    <t>Foto  8367-Foto  8671</t>
  </si>
  <si>
    <t>L8</t>
  </si>
  <si>
    <t>Trilha Lagoinha do Leste</t>
  </si>
  <si>
    <t>L8B</t>
  </si>
  <si>
    <t>L8P1</t>
  </si>
  <si>
    <t>Foto 8655</t>
  </si>
  <si>
    <t>Roupala pallida</t>
  </si>
  <si>
    <t>Foto 8657</t>
  </si>
  <si>
    <t>Myrsine parvula</t>
  </si>
  <si>
    <t>Foto 8658</t>
  </si>
  <si>
    <t>Roupala palida</t>
  </si>
  <si>
    <t>23,5+9,5</t>
  </si>
  <si>
    <t>Foto 8659</t>
  </si>
  <si>
    <t>84,5+62</t>
  </si>
  <si>
    <t>L8P2</t>
  </si>
  <si>
    <t>Clusia criuva</t>
  </si>
  <si>
    <t>65,5+31</t>
  </si>
  <si>
    <t>Foto 8639 - 8640</t>
  </si>
  <si>
    <t xml:space="preserve">Roupala cf. palida </t>
  </si>
  <si>
    <t>Foto 8641 - 8642</t>
  </si>
  <si>
    <t>51+34+61</t>
  </si>
  <si>
    <t>Ilex theezans</t>
  </si>
  <si>
    <t>Cf. Piptocarpha axilaris</t>
  </si>
  <si>
    <t>Piptocarpha axillaris</t>
  </si>
  <si>
    <t>Parece Lauraceae - Foto 8644</t>
  </si>
  <si>
    <t>Cf.Myrcia palustris</t>
  </si>
  <si>
    <t>Foto 8646</t>
  </si>
  <si>
    <t xml:space="preserve"> Miconia cinnamomifolia</t>
  </si>
  <si>
    <t>Foto 8550 - 8651</t>
  </si>
  <si>
    <t>L8P3</t>
  </si>
  <si>
    <t>Mollinedia sp.1</t>
  </si>
  <si>
    <t>15+18,5+8,5</t>
  </si>
  <si>
    <t>Foto 8626</t>
  </si>
  <si>
    <t>Coccoloba warmingii</t>
  </si>
  <si>
    <t>20+6</t>
  </si>
  <si>
    <t>39,5+47,5</t>
  </si>
  <si>
    <t>Outra espécie Coleta* - folha menor</t>
  </si>
  <si>
    <t>INDET - Pera glabrata ?</t>
  </si>
  <si>
    <t xml:space="preserve">Foto 8628 - Myrcine </t>
  </si>
  <si>
    <t>58,5+46</t>
  </si>
  <si>
    <t xml:space="preserve">Foto 8630 - 8631 Lauraceae - Cheiro apimentado </t>
  </si>
  <si>
    <t>Foto 8633 - 8634</t>
  </si>
  <si>
    <t xml:space="preserve">INDET Myrtaceae </t>
  </si>
  <si>
    <t>40+42</t>
  </si>
  <si>
    <t>20+18,5</t>
  </si>
  <si>
    <t>L8P4</t>
  </si>
  <si>
    <t>Foto 8602</t>
  </si>
  <si>
    <t>Foto 8604 - 8605</t>
  </si>
  <si>
    <t>29+10</t>
  </si>
  <si>
    <t>Miconia cf. cinerascens</t>
  </si>
  <si>
    <t>Foto 8608</t>
  </si>
  <si>
    <t>Chomelia obtusa</t>
  </si>
  <si>
    <t>Foto 8609</t>
  </si>
  <si>
    <t xml:space="preserve">Guatteria australis </t>
  </si>
  <si>
    <t>24+11,5+8,5+29,5+18,5+10</t>
  </si>
  <si>
    <t xml:space="preserve">Foto 8613 </t>
  </si>
  <si>
    <t xml:space="preserve">Coleta * Lauraceae </t>
  </si>
  <si>
    <t>Cordiera concolor</t>
  </si>
  <si>
    <t>20,5+10+9</t>
  </si>
  <si>
    <t>Foto 8611-8612</t>
  </si>
  <si>
    <t>Cf. Hyeronima alchorneoides</t>
  </si>
  <si>
    <t>Hyeronima alchorneoides</t>
  </si>
  <si>
    <t>21,5+20</t>
  </si>
  <si>
    <t>Eugenia cf. ramboi</t>
  </si>
  <si>
    <t>Eugenia ramboi</t>
  </si>
  <si>
    <t>Foto 8614 - 8617</t>
  </si>
  <si>
    <t xml:space="preserve">Foto 8620 - 8622 </t>
  </si>
  <si>
    <t>25+34,5+11+24,5</t>
  </si>
  <si>
    <t>16,5+22</t>
  </si>
  <si>
    <t>Eugenia cf. brasiliensis</t>
  </si>
  <si>
    <t>Eugenia brasiliensis</t>
  </si>
  <si>
    <t>21,5+49</t>
  </si>
  <si>
    <t>Foto 8624</t>
  </si>
  <si>
    <t xml:space="preserve">Foto 8625 </t>
  </si>
  <si>
    <t>Igual n9 q está com coleta</t>
  </si>
  <si>
    <t>19,5+9,5+9</t>
  </si>
  <si>
    <t>16+23,5</t>
  </si>
  <si>
    <t>Eugenia - igual P7 e P8</t>
  </si>
  <si>
    <t>Eugenia kleinii</t>
  </si>
  <si>
    <t>Coleta* Myrtaceae</t>
  </si>
  <si>
    <t>L8I</t>
  </si>
  <si>
    <t>L8P5</t>
  </si>
  <si>
    <t>Myrcia sp.</t>
  </si>
  <si>
    <t xml:space="preserve">Foto 8573 - Myrtaceae </t>
  </si>
  <si>
    <t>INDET - Myrsine parvula ?</t>
  </si>
  <si>
    <t>Foto 8578 - Myrsine Folha grande</t>
  </si>
  <si>
    <t xml:space="preserve"> Eugenia sp.</t>
  </si>
  <si>
    <t>Foto 8579 - 8580</t>
  </si>
  <si>
    <t>Hirtella hebeclada</t>
  </si>
  <si>
    <t>22+19</t>
  </si>
  <si>
    <t>INDET</t>
  </si>
  <si>
    <t>Foto 8582 - Myrtaceae</t>
  </si>
  <si>
    <t>16,5+23+17,5</t>
  </si>
  <si>
    <t>Garcinia gardneriana</t>
  </si>
  <si>
    <t>15+10,5</t>
  </si>
  <si>
    <t>Foto 8585 - Myrtaceae</t>
  </si>
  <si>
    <t>Cf. Posoqueria</t>
  </si>
  <si>
    <t>23,5+20+42</t>
  </si>
  <si>
    <t xml:space="preserve">Foto 8586-8587 </t>
  </si>
  <si>
    <t>INDET igual a 15</t>
  </si>
  <si>
    <t>Foto 8588-8589</t>
  </si>
  <si>
    <t xml:space="preserve">Foto 8593 </t>
  </si>
  <si>
    <t xml:space="preserve">Foto 8597 e 8598 </t>
  </si>
  <si>
    <t>Coleta regenerante*</t>
  </si>
  <si>
    <t>20+19</t>
  </si>
  <si>
    <t>Coleta igual n 23*</t>
  </si>
  <si>
    <t>L8P6</t>
  </si>
  <si>
    <t>Foto 8511</t>
  </si>
  <si>
    <t>INDET Eugenia - igual P7 e P8</t>
  </si>
  <si>
    <t>Foto 8513</t>
  </si>
  <si>
    <t>15,5+13,5+14</t>
  </si>
  <si>
    <t>Myrtaceae Foto 8514</t>
  </si>
  <si>
    <t>Eugenia - igual P7 - 8</t>
  </si>
  <si>
    <t>Foto 8518</t>
  </si>
  <si>
    <t>Foto 8519</t>
  </si>
  <si>
    <t>Foto 8520</t>
  </si>
  <si>
    <t>Foto 8549 - 8550</t>
  </si>
  <si>
    <t>Foto 8551 - 8552 - 8553</t>
  </si>
  <si>
    <t>Cf. Coccoloba</t>
  </si>
  <si>
    <t>19,5+14,5+10+16,5</t>
  </si>
  <si>
    <t>Foto 8521 - 8522</t>
  </si>
  <si>
    <t>Foto 8528 8527 8530</t>
  </si>
  <si>
    <t>Myrcia pubipetala</t>
  </si>
  <si>
    <t>Foto 8523-8526 e 8529</t>
  </si>
  <si>
    <t>Eugenia -Igual P7 - 8</t>
  </si>
  <si>
    <t>Foto 8532</t>
  </si>
  <si>
    <t>Eugenia tenuipedunculata</t>
  </si>
  <si>
    <t>Foto 8547</t>
  </si>
  <si>
    <t>Foto 8546</t>
  </si>
  <si>
    <t>Foto 8543</t>
  </si>
  <si>
    <t>Foto 8554 - 8556</t>
  </si>
  <si>
    <t>Foto 8540-8541</t>
  </si>
  <si>
    <t>Foto 8537 "Heisteria?"</t>
  </si>
  <si>
    <t>Foto 8534-8536</t>
  </si>
  <si>
    <t>Foto 8583</t>
  </si>
  <si>
    <t>Brosimum lactescens</t>
  </si>
  <si>
    <t>18+21+20+12+12+14</t>
  </si>
  <si>
    <t>Foto 8558-8559</t>
  </si>
  <si>
    <t>Foto 8560</t>
  </si>
  <si>
    <t>Foto 8561 - 8563</t>
  </si>
  <si>
    <t>Foto 8564</t>
  </si>
  <si>
    <t xml:space="preserve">Myrceugenia cf. myrcioides </t>
  </si>
  <si>
    <t>Myrceugenia myrcioides</t>
  </si>
  <si>
    <t>Foto 8565 8566 - Myrtaceae</t>
  </si>
  <si>
    <t>Foto 8567</t>
  </si>
  <si>
    <t>Foto 8569</t>
  </si>
  <si>
    <t>38+21</t>
  </si>
  <si>
    <t>28+14</t>
  </si>
  <si>
    <t>16+26</t>
  </si>
  <si>
    <t>Foto 8570 - 8571</t>
  </si>
  <si>
    <t>Matayba cf. elaeagnoides</t>
  </si>
  <si>
    <t>INDET - Myrtaceae</t>
  </si>
  <si>
    <t>24+22+23,5+25</t>
  </si>
  <si>
    <t>Jacaranda micrantha</t>
  </si>
  <si>
    <t>L8P7</t>
  </si>
  <si>
    <t>Foto 8479 - 8480 igual n10 p8 Myrcia</t>
  </si>
  <si>
    <t>igual n3</t>
  </si>
  <si>
    <t>Foto 8582</t>
  </si>
  <si>
    <t>28+32</t>
  </si>
  <si>
    <t>Roupala</t>
  </si>
  <si>
    <t>Verbesina glabrata</t>
  </si>
  <si>
    <t>Foto 8483 8484 - Asteraceae</t>
  </si>
  <si>
    <t>22,5+27+23</t>
  </si>
  <si>
    <t xml:space="preserve">Foto 8486 </t>
  </si>
  <si>
    <t>Ficus cf. luschnathiana</t>
  </si>
  <si>
    <t>Ficus luschnathiana</t>
  </si>
  <si>
    <t>Foto 8490</t>
  </si>
  <si>
    <t>Foto 8492 8494 Igual n03 / Igual n10 p8</t>
  </si>
  <si>
    <t>22+20,5</t>
  </si>
  <si>
    <t>36,5+31,5+32,5</t>
  </si>
  <si>
    <t>47,5+31,5</t>
  </si>
  <si>
    <t>Foto8497</t>
  </si>
  <si>
    <t>Coleta * Myrtaceae</t>
  </si>
  <si>
    <t>Aniba firmula</t>
  </si>
  <si>
    <t>Coleta ramo e fruto* Lauraceae</t>
  </si>
  <si>
    <t>Machaerium cf. paraguariense</t>
  </si>
  <si>
    <t xml:space="preserve">Foto 8500 </t>
  </si>
  <si>
    <t xml:space="preserve">Foto 8488 Eugenia </t>
  </si>
  <si>
    <t>L8P8</t>
  </si>
  <si>
    <t>Mollinedia sp.2</t>
  </si>
  <si>
    <t xml:space="preserve">Foto 8460 </t>
  </si>
  <si>
    <t>35+10+18+10</t>
  </si>
  <si>
    <t xml:space="preserve">Cf. Banara parviflora </t>
  </si>
  <si>
    <t>Foto 8463</t>
  </si>
  <si>
    <t>Xylopia brasiliensis</t>
  </si>
  <si>
    <t>Foto 8464</t>
  </si>
  <si>
    <t>Foto 8465</t>
  </si>
  <si>
    <t>Cf. Chomelia obtusa</t>
  </si>
  <si>
    <t>Foto 8466 - 8468</t>
  </si>
  <si>
    <t>Foto 8469</t>
  </si>
  <si>
    <t>28+15</t>
  </si>
  <si>
    <t>48+20</t>
  </si>
  <si>
    <t>57+52</t>
  </si>
  <si>
    <t>Coleta* Eugenia</t>
  </si>
  <si>
    <t>L9</t>
  </si>
  <si>
    <t>Trilha Naufragados</t>
  </si>
  <si>
    <t>L9B</t>
  </si>
  <si>
    <t>L9P1</t>
  </si>
  <si>
    <t>Machaerium nyctitans</t>
  </si>
  <si>
    <t>11+22+15+11,5</t>
  </si>
  <si>
    <t>24+13+29+45,5</t>
  </si>
  <si>
    <t>Myrciaria tenella</t>
  </si>
  <si>
    <t>17+21+14,5+16,5+22+28,5</t>
  </si>
  <si>
    <t>54,5+34</t>
  </si>
  <si>
    <t>35+25+25</t>
  </si>
  <si>
    <t>Anadenanthera colubrina</t>
  </si>
  <si>
    <t>L9P2</t>
  </si>
  <si>
    <t>17+14+14,5</t>
  </si>
  <si>
    <t>30+31+34</t>
  </si>
  <si>
    <t>32+11</t>
  </si>
  <si>
    <t>54+34,5</t>
  </si>
  <si>
    <t>41,5+20</t>
  </si>
  <si>
    <t>71+36</t>
  </si>
  <si>
    <t>Cf. Myrcia palustris</t>
  </si>
  <si>
    <t>Foto 8685</t>
  </si>
  <si>
    <t>26+18+22+15+17+18+22+26+18+18</t>
  </si>
  <si>
    <t>27+22+21</t>
  </si>
  <si>
    <t xml:space="preserve">Foto 8687 </t>
  </si>
  <si>
    <t>Foto 8688 8689</t>
  </si>
  <si>
    <t>L9P3</t>
  </si>
  <si>
    <t>Psidium guajava</t>
  </si>
  <si>
    <t>37+43+17+46+52+28+27,5+111</t>
  </si>
  <si>
    <t>77+91</t>
  </si>
  <si>
    <t>Foto 8691 - Myrsine da folha grande</t>
  </si>
  <si>
    <t>Foto 8692 Myrsine da folha grande</t>
  </si>
  <si>
    <t>18,5+12,5+11,5</t>
  </si>
  <si>
    <t>15+13</t>
  </si>
  <si>
    <t>L9P4</t>
  </si>
  <si>
    <t>-27.819167°</t>
  </si>
  <si>
    <t>-48.562500°</t>
  </si>
  <si>
    <t>15+19+13,5+13+13,5</t>
  </si>
  <si>
    <t>52+54+70+45</t>
  </si>
  <si>
    <t>Miconia cinammomifolia</t>
  </si>
  <si>
    <t>Foto 8683</t>
  </si>
  <si>
    <t>104+23+90,5</t>
  </si>
  <si>
    <t>30+27</t>
  </si>
  <si>
    <t>Eugenia cf. uruguayensis</t>
  </si>
  <si>
    <t>Eugenia uruguayensis</t>
  </si>
  <si>
    <t>17+6,5+7,5</t>
  </si>
  <si>
    <t>Foto 8684 igual indet P8</t>
  </si>
  <si>
    <t xml:space="preserve">L9I </t>
  </si>
  <si>
    <t>L9P5</t>
  </si>
  <si>
    <t>Foto 8676</t>
  </si>
  <si>
    <t>Muellera sp.</t>
  </si>
  <si>
    <t>18,5+12</t>
  </si>
  <si>
    <t>29+54+18+12+13+15,5</t>
  </si>
  <si>
    <t>Cf. Casearia decandra</t>
  </si>
  <si>
    <t>Foto 8678</t>
  </si>
  <si>
    <t>26+33+14+23+20+22</t>
  </si>
  <si>
    <t>Foto 8679 , 8680-8682</t>
  </si>
  <si>
    <t>18+20,5</t>
  </si>
  <si>
    <t>L9P6</t>
  </si>
  <si>
    <t>Foto 8671 - Eugenia  igual n8 P7</t>
  </si>
  <si>
    <t>Cf. Trichilia lepidota</t>
  </si>
  <si>
    <t>Foto 8672</t>
  </si>
  <si>
    <t>Foto 8674</t>
  </si>
  <si>
    <t>L9P7</t>
  </si>
  <si>
    <t>29,5+24+29+16,5</t>
  </si>
  <si>
    <t xml:space="preserve">Coleta - Eugenia </t>
  </si>
  <si>
    <t>47+13,5</t>
  </si>
  <si>
    <t>Foto 8668</t>
  </si>
  <si>
    <t>Coleta - Rubiaceae</t>
  </si>
  <si>
    <t>28+30</t>
  </si>
  <si>
    <t>L9P8</t>
  </si>
  <si>
    <t>19+11,5+16+14</t>
  </si>
  <si>
    <t xml:space="preserve">Foto 8662 8663 </t>
  </si>
  <si>
    <t>24,5+39</t>
  </si>
  <si>
    <t>26,5+14,5+33,5</t>
  </si>
  <si>
    <t>Cf. Albizia</t>
  </si>
  <si>
    <t>Foto 8665 - 8666</t>
  </si>
  <si>
    <t>40+30</t>
  </si>
  <si>
    <t>Plinia cauliflora</t>
  </si>
  <si>
    <t>Plinia peruviana</t>
  </si>
  <si>
    <t>Foto 8667</t>
  </si>
  <si>
    <t>L10</t>
  </si>
  <si>
    <t>Cachoeira da Vargem Grande</t>
  </si>
  <si>
    <t>L10B</t>
  </si>
  <si>
    <t>L10P1</t>
  </si>
  <si>
    <t>43+41+25+51</t>
  </si>
  <si>
    <t>Calophyllum brasiliense</t>
  </si>
  <si>
    <t>43+28+32+23</t>
  </si>
  <si>
    <t>L10P2</t>
  </si>
  <si>
    <t>44+44</t>
  </si>
  <si>
    <t>L10P3</t>
  </si>
  <si>
    <t>L10P4</t>
  </si>
  <si>
    <t>L10I</t>
  </si>
  <si>
    <t>L10P5</t>
  </si>
  <si>
    <t>INDET- Myrtaceae</t>
  </si>
  <si>
    <t>Foto 482-488</t>
  </si>
  <si>
    <t xml:space="preserve"> Xylopia brasiliensis</t>
  </si>
  <si>
    <t xml:space="preserve">Myrcia ferruginosa </t>
  </si>
  <si>
    <t>Myrcia ferruginosa</t>
  </si>
  <si>
    <t>Foto 491 - 496</t>
  </si>
  <si>
    <t>Myrcia stigmatosa</t>
  </si>
  <si>
    <t>L10P6</t>
  </si>
  <si>
    <t>42+29</t>
  </si>
  <si>
    <t xml:space="preserve">Foto cel Oke - 114843 com latex </t>
  </si>
  <si>
    <t xml:space="preserve">INDET </t>
  </si>
  <si>
    <t>Foto 471 - 475</t>
  </si>
  <si>
    <t>L10P7</t>
  </si>
  <si>
    <t>Myrtaceae - Eugenia Foto 428 - 430</t>
  </si>
  <si>
    <t>26+27+21</t>
  </si>
  <si>
    <t>Eugenia stigmatosa</t>
  </si>
  <si>
    <t>75+72</t>
  </si>
  <si>
    <t>31+15</t>
  </si>
  <si>
    <t>L10P8</t>
  </si>
  <si>
    <t>Myrcia glabra</t>
  </si>
  <si>
    <t>25+6</t>
  </si>
  <si>
    <t>Foto 436-443</t>
  </si>
  <si>
    <t>Psychotria stenocalyx</t>
  </si>
  <si>
    <t>Foto 448 - 449</t>
  </si>
  <si>
    <t>Foto 450-455</t>
  </si>
  <si>
    <t>Myrcia eugeniopsoides</t>
  </si>
  <si>
    <t>23+23</t>
  </si>
  <si>
    <t>20+14+14</t>
  </si>
  <si>
    <t>L11</t>
  </si>
  <si>
    <t>Condomínio Cachoeira de Sto Antônio I</t>
  </si>
  <si>
    <t>L11B</t>
  </si>
  <si>
    <t>L11P1</t>
  </si>
  <si>
    <t>Miconia ligustroides</t>
  </si>
  <si>
    <t>Pinus elliottii</t>
  </si>
  <si>
    <t xml:space="preserve">Ilex dumosa </t>
  </si>
  <si>
    <t>13+30</t>
  </si>
  <si>
    <t>Calophyllum brasiliensis</t>
  </si>
  <si>
    <t>Ilex thiessen</t>
  </si>
  <si>
    <t>33+1</t>
  </si>
  <si>
    <t xml:space="preserve">L11P2 </t>
  </si>
  <si>
    <t>32+29</t>
  </si>
  <si>
    <t>L11P3</t>
  </si>
  <si>
    <t>L11P4</t>
  </si>
  <si>
    <t xml:space="preserve">Myrcia splendens </t>
  </si>
  <si>
    <t>Myrcia aethusa</t>
  </si>
  <si>
    <t>28+27</t>
  </si>
  <si>
    <t>L11I</t>
  </si>
  <si>
    <t>L11P5</t>
  </si>
  <si>
    <t>37+13</t>
  </si>
  <si>
    <t>Foto 758 -760</t>
  </si>
  <si>
    <t>25+16+11+13</t>
  </si>
  <si>
    <t>34+20</t>
  </si>
  <si>
    <t>25+16</t>
  </si>
  <si>
    <t>55+76+45</t>
  </si>
  <si>
    <t>Foto 769 - 774</t>
  </si>
  <si>
    <t xml:space="preserve"> coleta</t>
  </si>
  <si>
    <t xml:space="preserve"> Foto Cel Oke 125438-125450</t>
  </si>
  <si>
    <t>L11P6</t>
  </si>
  <si>
    <t>Myrcia hebepetala</t>
  </si>
  <si>
    <t>65+46</t>
  </si>
  <si>
    <t>Foto 738-745</t>
  </si>
  <si>
    <t>26+17</t>
  </si>
  <si>
    <t>Foto 742-745</t>
  </si>
  <si>
    <t>Psidium cattleianum</t>
  </si>
  <si>
    <t>Foto 747 - 751</t>
  </si>
  <si>
    <t>INDET = nº 11</t>
  </si>
  <si>
    <t>Foto 752-755</t>
  </si>
  <si>
    <t>L11P7</t>
  </si>
  <si>
    <t>Foto 722-726</t>
  </si>
  <si>
    <t>Foto Cel Oke 105659-105708</t>
  </si>
  <si>
    <t>23+16+35</t>
  </si>
  <si>
    <t>Foto 734 - 736</t>
  </si>
  <si>
    <t>L11P8</t>
  </si>
  <si>
    <t xml:space="preserve">Matayba guianensis </t>
  </si>
  <si>
    <t>Foto 702-704</t>
  </si>
  <si>
    <t>Foto 705 - Igual nº4</t>
  </si>
  <si>
    <t>41+75+50+49</t>
  </si>
  <si>
    <t>Myrcine guianensis</t>
  </si>
  <si>
    <t xml:space="preserve">INDET - Myrtaceae </t>
  </si>
  <si>
    <t>Foto 719 - 720</t>
  </si>
  <si>
    <t xml:space="preserve">Feijoa sellowiana </t>
  </si>
  <si>
    <t>Feijoa sellowiana</t>
  </si>
  <si>
    <t>38+40</t>
  </si>
  <si>
    <t>Foto Cel Oke 103115 - 103227</t>
  </si>
  <si>
    <t>L12</t>
  </si>
  <si>
    <t>Trilha da Costa da Lagoa à Ratones</t>
  </si>
  <si>
    <t>L12B</t>
  </si>
  <si>
    <t>L12P1</t>
  </si>
  <si>
    <t>Erythrina speciosa</t>
  </si>
  <si>
    <t>Ormosia arborea</t>
  </si>
  <si>
    <t>Ipê amarelo Foto 8766-8768</t>
  </si>
  <si>
    <t>Artocarpus heterophyllus</t>
  </si>
  <si>
    <t>21+15</t>
  </si>
  <si>
    <t>Cf. Buchenavia</t>
  </si>
  <si>
    <t>Cf. Psidium longipetiolatum</t>
  </si>
  <si>
    <t>Foto 8771-8772 (Edu)</t>
  </si>
  <si>
    <t>Inga striata</t>
  </si>
  <si>
    <t xml:space="preserve">Igual aos outros pontudo </t>
  </si>
  <si>
    <t>Schinus terebinthifolia</t>
  </si>
  <si>
    <t>50+50+54+43+24+23+30</t>
  </si>
  <si>
    <t>23+16+13+24+29</t>
  </si>
  <si>
    <t>L12P2</t>
  </si>
  <si>
    <t xml:space="preserve">Psidium guajava </t>
  </si>
  <si>
    <t>L12P3</t>
  </si>
  <si>
    <t>Foto Edu 8758 8761</t>
  </si>
  <si>
    <t>Cf. Trichilia pallens</t>
  </si>
  <si>
    <t>Foto Edu 8762 8763</t>
  </si>
  <si>
    <t>L12P4</t>
  </si>
  <si>
    <t>INDET Lauraceae</t>
  </si>
  <si>
    <t>Foto Edu 8737-8739</t>
  </si>
  <si>
    <t>59+12</t>
  </si>
  <si>
    <t>104+10+10</t>
  </si>
  <si>
    <t>Liana</t>
  </si>
  <si>
    <t>Foto Edu 8745-8746</t>
  </si>
  <si>
    <t>Cf. Plinia peruviana</t>
  </si>
  <si>
    <t>Foto Edu 8748-8750</t>
  </si>
  <si>
    <t>Cinnamomum cf. glaziovii</t>
  </si>
  <si>
    <t>Foto Oke 802-805  Foto Edu 8755-8756</t>
  </si>
  <si>
    <t>L12I</t>
  </si>
  <si>
    <t>L12P5</t>
  </si>
  <si>
    <t>33+42</t>
  </si>
  <si>
    <t xml:space="preserve">Psychotria suterella </t>
  </si>
  <si>
    <t>Tronco com embira Foto Edu 8727 - 8728</t>
  </si>
  <si>
    <t>Mollinedia sp.</t>
  </si>
  <si>
    <t>Chrysophyllum inornatum</t>
  </si>
  <si>
    <t>Mollinedia shoteana</t>
  </si>
  <si>
    <t>L12P6</t>
  </si>
  <si>
    <t>24+20</t>
  </si>
  <si>
    <t>57+35</t>
  </si>
  <si>
    <t>Sem folha no ramo, zig-zag Foto Edu 8706</t>
  </si>
  <si>
    <t>Cabrala canjerana</t>
  </si>
  <si>
    <t>20+15</t>
  </si>
  <si>
    <t>23+18+8+11</t>
  </si>
  <si>
    <t>Trichilia pallens</t>
  </si>
  <si>
    <t>Foto Edu 8718 8719</t>
  </si>
  <si>
    <t>Foto Oke 785-786</t>
  </si>
  <si>
    <t>18+17</t>
  </si>
  <si>
    <t>41+14</t>
  </si>
  <si>
    <t xml:space="preserve">Foto Oke 788 </t>
  </si>
  <si>
    <t>L12P7</t>
  </si>
  <si>
    <t xml:space="preserve">Foto Cel Oke - Foto Edu 8698-8699 </t>
  </si>
  <si>
    <t>16+15</t>
  </si>
  <si>
    <t>24+12+13</t>
  </si>
  <si>
    <t>Foto Edu  8703 - 8704</t>
  </si>
  <si>
    <t>28+15+26</t>
  </si>
  <si>
    <t>L12P8</t>
  </si>
  <si>
    <t>21+12</t>
  </si>
  <si>
    <t>Mimosa bimucronata</t>
  </si>
  <si>
    <t>Código Amostra</t>
  </si>
  <si>
    <t>Localidade</t>
  </si>
  <si>
    <t>Ambiente</t>
  </si>
  <si>
    <t>Peso Fresco 1 (g)</t>
  </si>
  <si>
    <t>Peso Fresco 2 (g)</t>
  </si>
  <si>
    <t>Peso Fresco 3 (g)</t>
  </si>
  <si>
    <t>Peso Fresco 4 (g)</t>
  </si>
  <si>
    <t>Peso Fresco 5 (g)</t>
  </si>
  <si>
    <t>Peso Fresco 6 (g)</t>
  </si>
  <si>
    <t>Peso Fresco 7 (g)</t>
  </si>
  <si>
    <t>Peso Fresco 8 (g)</t>
  </si>
  <si>
    <t>Peso Fresco 9 (g)</t>
  </si>
  <si>
    <t>Peso Fresco 10 (g)</t>
  </si>
  <si>
    <t>Peso seco 1 (g)</t>
  </si>
  <si>
    <t>Peso seco 2 (g)</t>
  </si>
  <si>
    <t>Peso seco 3 (g)</t>
  </si>
  <si>
    <t>Peso seco 4 (g)</t>
  </si>
  <si>
    <t>Peso seco 5 (g)</t>
  </si>
  <si>
    <t>Peso seco 6 (g)</t>
  </si>
  <si>
    <t>Peso seco 7 (g)</t>
  </si>
  <si>
    <t>Peso seco 8(g)</t>
  </si>
  <si>
    <t>Peso seco 9 (g)</t>
  </si>
  <si>
    <t>Peso seco 10 (g)</t>
  </si>
  <si>
    <t>área foliar 1 (cm²)</t>
  </si>
  <si>
    <t>área foliar 2 (cm²)</t>
  </si>
  <si>
    <t>área foliar 3 (cm²)</t>
  </si>
  <si>
    <t>área foliar 4 (cm²)</t>
  </si>
  <si>
    <t>área foliar 5(cm²)</t>
  </si>
  <si>
    <t>área foliar 6 (cm²)</t>
  </si>
  <si>
    <t>área foliar 7 (cm²)</t>
  </si>
  <si>
    <t>área foliar 8(cm²)</t>
  </si>
  <si>
    <t>área foliar 9(cm²)</t>
  </si>
  <si>
    <t>área foliar 10 (cm²)</t>
  </si>
  <si>
    <t>SLA cm²/g</t>
  </si>
  <si>
    <t>SLA m²/kg</t>
  </si>
  <si>
    <t>Peso fresco foliar médio</t>
  </si>
  <si>
    <t>Peso seco foliar médio</t>
  </si>
  <si>
    <t>LWC (Leaf Water Content</t>
  </si>
  <si>
    <t>LDMC ****</t>
  </si>
  <si>
    <t>Volume  (g/cm³)</t>
  </si>
  <si>
    <t>DM Peso seco (g)</t>
  </si>
  <si>
    <t>Densidade da madeira peso seco/peso fresco</t>
  </si>
  <si>
    <t>SSD Final</t>
  </si>
  <si>
    <t>Área foliar média</t>
  </si>
  <si>
    <t>ASA1P1</t>
  </si>
  <si>
    <t>Assopro</t>
  </si>
  <si>
    <t>Borda</t>
  </si>
  <si>
    <t>ASA2P1</t>
  </si>
  <si>
    <t>ASA3P1</t>
  </si>
  <si>
    <t>ASA4P1</t>
  </si>
  <si>
    <t>ASA5P1</t>
  </si>
  <si>
    <t>ASA6P1</t>
  </si>
  <si>
    <t>ASA8P1</t>
  </si>
  <si>
    <t>ASA9P7</t>
  </si>
  <si>
    <t>Interior</t>
  </si>
  <si>
    <t>ASA11P7</t>
  </si>
  <si>
    <t>POA5P2</t>
  </si>
  <si>
    <t>Poção</t>
  </si>
  <si>
    <t>Myrsine guianensis/umbellata</t>
  </si>
  <si>
    <t>POA6P2</t>
  </si>
  <si>
    <t>POA7P2</t>
  </si>
  <si>
    <t>POA8P2</t>
  </si>
  <si>
    <t>POA9P2</t>
  </si>
  <si>
    <t xml:space="preserve">Luehea divaricata </t>
  </si>
  <si>
    <t>POA10P1</t>
  </si>
  <si>
    <t>POA11P1</t>
  </si>
  <si>
    <t>POA12P5</t>
  </si>
  <si>
    <t>POA14P5</t>
  </si>
  <si>
    <t>POA15P5</t>
  </si>
  <si>
    <t>POA16P5</t>
  </si>
  <si>
    <t>POA17P5</t>
  </si>
  <si>
    <t>POA18P5</t>
  </si>
  <si>
    <t>ASA13P4</t>
  </si>
  <si>
    <t>ASA14P4</t>
  </si>
  <si>
    <t>ASA15P4</t>
  </si>
  <si>
    <t>ASA16P4</t>
  </si>
  <si>
    <t>ASA17P4</t>
  </si>
  <si>
    <t>ASA18P4</t>
  </si>
  <si>
    <t>ASA19P4</t>
  </si>
  <si>
    <t>ASA20P4</t>
  </si>
  <si>
    <t>ASA21P4</t>
  </si>
  <si>
    <t>ASA22P4</t>
  </si>
  <si>
    <t>ASA23</t>
  </si>
  <si>
    <t>ASA24</t>
  </si>
  <si>
    <t>ASA25</t>
  </si>
  <si>
    <t>ASA26</t>
  </si>
  <si>
    <t>ASA27</t>
  </si>
  <si>
    <t>ASA28</t>
  </si>
  <si>
    <t>ASA29</t>
  </si>
  <si>
    <t>ASA30</t>
  </si>
  <si>
    <t>ASA31</t>
  </si>
  <si>
    <t>ASA32</t>
  </si>
  <si>
    <t>POA19</t>
  </si>
  <si>
    <t>POA20</t>
  </si>
  <si>
    <t>POA21</t>
  </si>
  <si>
    <t>POA22</t>
  </si>
  <si>
    <t>POA23</t>
  </si>
  <si>
    <t>POA24</t>
  </si>
  <si>
    <t>POA25</t>
  </si>
  <si>
    <t>POA26</t>
  </si>
  <si>
    <t>POA27</t>
  </si>
  <si>
    <t>POA28</t>
  </si>
  <si>
    <t>POA29</t>
  </si>
  <si>
    <t>VGA1</t>
  </si>
  <si>
    <t>VGA2</t>
  </si>
  <si>
    <t>VGA3</t>
  </si>
  <si>
    <t>VGA4</t>
  </si>
  <si>
    <t>VGA5</t>
  </si>
  <si>
    <t>VGA6</t>
  </si>
  <si>
    <t>VGA7</t>
  </si>
  <si>
    <t>VGA8</t>
  </si>
  <si>
    <t>VGA9</t>
  </si>
  <si>
    <t>VGA10</t>
  </si>
  <si>
    <t>Psychotria carthagenensis</t>
  </si>
  <si>
    <t>VGA11</t>
  </si>
  <si>
    <t>VGA12</t>
  </si>
  <si>
    <t>VGA13</t>
  </si>
  <si>
    <t>Roupala brasiliense</t>
  </si>
  <si>
    <t>VGA14</t>
  </si>
  <si>
    <t>VGA15</t>
  </si>
  <si>
    <t>POA30</t>
  </si>
  <si>
    <t>POA31</t>
  </si>
  <si>
    <t>POA32</t>
  </si>
  <si>
    <t>POA33</t>
  </si>
  <si>
    <t>POA34</t>
  </si>
  <si>
    <t>POA35</t>
  </si>
  <si>
    <t>POA36</t>
  </si>
  <si>
    <t>POA37</t>
  </si>
  <si>
    <t>POA38</t>
  </si>
  <si>
    <t>POA39</t>
  </si>
  <si>
    <t>ASA33</t>
  </si>
  <si>
    <t>ASA34</t>
  </si>
  <si>
    <t>ASA35</t>
  </si>
  <si>
    <t>ASA36</t>
  </si>
  <si>
    <t>ASA37</t>
  </si>
  <si>
    <t>ASA38</t>
  </si>
  <si>
    <t>ASA39</t>
  </si>
  <si>
    <t>Tapirira guianensis</t>
  </si>
  <si>
    <t>ASA40</t>
  </si>
  <si>
    <t>ASA41</t>
  </si>
  <si>
    <t>VGA16</t>
  </si>
  <si>
    <t>VGA17</t>
  </si>
  <si>
    <t>VGA18</t>
  </si>
  <si>
    <t>VGA19</t>
  </si>
  <si>
    <t>VGA20</t>
  </si>
  <si>
    <t>VGA21</t>
  </si>
  <si>
    <t>VGA22</t>
  </si>
  <si>
    <t>VGA23</t>
  </si>
  <si>
    <t>VGA24</t>
  </si>
  <si>
    <t>VGA25</t>
  </si>
  <si>
    <t>VGA26</t>
  </si>
  <si>
    <t>VGA27</t>
  </si>
  <si>
    <t>VGA28</t>
  </si>
  <si>
    <t>VGA29</t>
  </si>
  <si>
    <t>POA40</t>
  </si>
  <si>
    <t>POA41</t>
  </si>
  <si>
    <t>POA42</t>
  </si>
  <si>
    <t>POA43</t>
  </si>
  <si>
    <t>POA44</t>
  </si>
  <si>
    <t>POA45</t>
  </si>
  <si>
    <t>POA46</t>
  </si>
  <si>
    <t>POA47</t>
  </si>
  <si>
    <t>POA48</t>
  </si>
  <si>
    <t>POA49</t>
  </si>
  <si>
    <t>POA50</t>
  </si>
  <si>
    <t>RATA1</t>
  </si>
  <si>
    <t>Ratones</t>
  </si>
  <si>
    <t>Trilha</t>
  </si>
  <si>
    <t>Tetrorchidium rubrivenum</t>
  </si>
  <si>
    <t>RATA2</t>
  </si>
  <si>
    <t>RATA3</t>
  </si>
  <si>
    <t>RATA4</t>
  </si>
  <si>
    <t>RATA5</t>
  </si>
  <si>
    <t>RATA6</t>
  </si>
  <si>
    <t>RATA7</t>
  </si>
  <si>
    <t>RATA8</t>
  </si>
  <si>
    <t>RATA9</t>
  </si>
  <si>
    <t>RATA10</t>
  </si>
  <si>
    <t>RATA11</t>
  </si>
  <si>
    <t>RATA12</t>
  </si>
  <si>
    <t>RATA13</t>
  </si>
  <si>
    <t>RATA14</t>
  </si>
  <si>
    <t>RATA15</t>
  </si>
  <si>
    <t>Amostra</t>
  </si>
  <si>
    <t>Tipo de medição</t>
  </si>
  <si>
    <t>Quantidade de folhas medidas</t>
  </si>
  <si>
    <t>POA1P4</t>
  </si>
  <si>
    <t xml:space="preserve">P4 </t>
  </si>
  <si>
    <t>Unidade foliar</t>
  </si>
  <si>
    <t>POA2P2</t>
  </si>
  <si>
    <t>P2</t>
  </si>
  <si>
    <t>Apenas folíolo principal (central)</t>
  </si>
  <si>
    <t>POA3P1</t>
  </si>
  <si>
    <t>P1</t>
  </si>
  <si>
    <t>POA4P5</t>
  </si>
  <si>
    <t>P5</t>
  </si>
  <si>
    <t>P3</t>
  </si>
  <si>
    <t>P4</t>
  </si>
  <si>
    <t>P6</t>
  </si>
  <si>
    <t>Luehea divaricata (folha jovem)</t>
  </si>
  <si>
    <t>P8</t>
  </si>
  <si>
    <t>P7</t>
  </si>
  <si>
    <t>ASA10P7</t>
  </si>
  <si>
    <t>ASA12P7***</t>
  </si>
  <si>
    <t>Amaioua intermedia*</t>
  </si>
  <si>
    <t>Todos os folíolos</t>
  </si>
  <si>
    <t>POA15P6</t>
  </si>
  <si>
    <t>P. grandiflorum F1</t>
  </si>
  <si>
    <t>POA15P7</t>
  </si>
  <si>
    <t>P. grandiflorum F2</t>
  </si>
  <si>
    <t>POA15P8</t>
  </si>
  <si>
    <t>P. grandiflorum F3</t>
  </si>
  <si>
    <t>POA15P9</t>
  </si>
  <si>
    <t>P. grandiflorum F4</t>
  </si>
  <si>
    <t>POA15P10</t>
  </si>
  <si>
    <t>P. grandiflorum F5</t>
  </si>
  <si>
    <t>POA15P11</t>
  </si>
  <si>
    <t>P. grandiflorum F6</t>
  </si>
  <si>
    <t>POA15P12</t>
  </si>
  <si>
    <t>P. grandiflorum F7</t>
  </si>
  <si>
    <t>POA15P13</t>
  </si>
  <si>
    <t>P. grandiflorum F8</t>
  </si>
  <si>
    <t>POA15P14</t>
  </si>
  <si>
    <t>P. grandiflorum F9</t>
  </si>
  <si>
    <t>POA15P15</t>
  </si>
  <si>
    <t>P. grandiflorum F10</t>
  </si>
  <si>
    <t>Guarea macrophyla</t>
  </si>
  <si>
    <t>Folha inteira incluindo raque alada desconsiderando pecíolo</t>
  </si>
  <si>
    <t>Piloto</t>
  </si>
  <si>
    <t>-</t>
  </si>
  <si>
    <t>Espécies</t>
  </si>
  <si>
    <t>Número total amostrado</t>
  </si>
  <si>
    <t>Completa</t>
  </si>
  <si>
    <t>COUNTA de Espécie</t>
  </si>
  <si>
    <t>Total geral</t>
  </si>
  <si>
    <t>Codigo local</t>
  </si>
  <si>
    <t>Longitude</t>
  </si>
  <si>
    <t>Tempo em regeneração (Anos)</t>
  </si>
  <si>
    <t>Densidade de borda</t>
  </si>
  <si>
    <t>Área de Floresta</t>
  </si>
  <si>
    <t>Fator Histórico 1938</t>
  </si>
  <si>
    <t>Fator Histórico 1957</t>
  </si>
  <si>
    <t>Fator Histórico 78</t>
  </si>
  <si>
    <t>Fator Histórico 85</t>
  </si>
  <si>
    <t>Fator Histórico 94</t>
  </si>
  <si>
    <t xml:space="preserve"> 27º 36' 50" </t>
  </si>
  <si>
    <t>48º 30' 18"</t>
  </si>
  <si>
    <t>Zona Agrícola Abandonada Herbáceo</t>
  </si>
  <si>
    <t xml:space="preserve"> 27º 36' 48"</t>
  </si>
  <si>
    <t>27º 35' 51"</t>
  </si>
  <si>
    <t>27º 61' 49"</t>
  </si>
  <si>
    <t>48º 50' 66"</t>
  </si>
  <si>
    <t>27º 61' 37"</t>
  </si>
  <si>
    <t>Zona Agrícola Abandonada Capoeirinha</t>
  </si>
  <si>
    <t>Zona Agrícola Abandonada Capoeira</t>
  </si>
  <si>
    <t>27º 61' 39"</t>
  </si>
  <si>
    <t>27º 61' 38"</t>
  </si>
  <si>
    <t>48º 50' 65"</t>
  </si>
  <si>
    <t>27º 61' 40"</t>
  </si>
  <si>
    <t>48º 50' 62"</t>
  </si>
  <si>
    <t xml:space="preserve">27º 59' 12" </t>
  </si>
  <si>
    <t xml:space="preserve">48º 76' 00" </t>
  </si>
  <si>
    <t>27º59'92"</t>
  </si>
  <si>
    <t>48º 47' 58"</t>
  </si>
  <si>
    <t>27º 59' 10"</t>
  </si>
  <si>
    <t>48º 47' 55"</t>
  </si>
  <si>
    <t>27º 59' 06"</t>
  </si>
  <si>
    <t xml:space="preserve">48º 47' 51" </t>
  </si>
  <si>
    <t>27º 58' 86"</t>
  </si>
  <si>
    <t>48º 47' 26"</t>
  </si>
  <si>
    <t>Floresta Corte Seletivo</t>
  </si>
  <si>
    <t xml:space="preserve">27º58' 84" </t>
  </si>
  <si>
    <t>27º 58' 81"</t>
  </si>
  <si>
    <t>48º 47' 24"</t>
  </si>
  <si>
    <t>27º 58' 78"</t>
  </si>
  <si>
    <t>48º47' 27"</t>
  </si>
  <si>
    <t xml:space="preserve">Morro do Lampião </t>
  </si>
  <si>
    <t>27º 59' 12"</t>
  </si>
  <si>
    <t>48º 47' 60"</t>
  </si>
  <si>
    <t>27º 59' 09"</t>
  </si>
  <si>
    <t>27º59' 06"</t>
  </si>
  <si>
    <t>48º 47' 51"</t>
  </si>
  <si>
    <t>Zona Agrícola Abandonada e Capoeirão/Floresta</t>
  </si>
  <si>
    <t>27º 58' 83"</t>
  </si>
  <si>
    <t>48º 47' 25"</t>
  </si>
  <si>
    <t>27º67'13"</t>
  </si>
  <si>
    <t>48º49'27"</t>
  </si>
  <si>
    <t>27º53'20"</t>
  </si>
  <si>
    <t>48º51'23"</t>
  </si>
  <si>
    <t>Zona Agricola Abandonada Capoeirinha</t>
  </si>
  <si>
    <t>Zona Agricola Abandonada Capoeirão</t>
  </si>
  <si>
    <t>27º53'18"</t>
  </si>
  <si>
    <t>48º51'24"</t>
  </si>
  <si>
    <t>27º53'19"</t>
  </si>
  <si>
    <t>48º51'21"</t>
  </si>
  <si>
    <t>27º53'15"</t>
  </si>
  <si>
    <t>27º52'78"</t>
  </si>
  <si>
    <t>48º51'13"</t>
  </si>
  <si>
    <t>27º52'76"</t>
  </si>
  <si>
    <t>48º51'12"</t>
  </si>
  <si>
    <t>27º52'73"</t>
  </si>
  <si>
    <t>27º52'72"</t>
  </si>
  <si>
    <t>48º51'09"</t>
  </si>
  <si>
    <t>Sitio Vale Encantado</t>
  </si>
  <si>
    <t>27º65'36"</t>
  </si>
  <si>
    <t>48º49'63"</t>
  </si>
  <si>
    <t>27º65'32"</t>
  </si>
  <si>
    <t>48º49'62"</t>
  </si>
  <si>
    <t>27º65'30"</t>
  </si>
  <si>
    <t>48º49'61"</t>
  </si>
  <si>
    <t>27º65'25"</t>
  </si>
  <si>
    <t>48º49'59"</t>
  </si>
  <si>
    <t>Zona Agrícola Abandonada Capoeirinha/Borda Floresta Corte Seletivo</t>
  </si>
  <si>
    <t>27º65'02"</t>
  </si>
  <si>
    <t>48º49'51"</t>
  </si>
  <si>
    <t>Zona Agrícola Abandonada Capoeira/Borda Floresta Corte Seletivo</t>
  </si>
  <si>
    <t>27º65'06"</t>
  </si>
  <si>
    <t>48º49'47"</t>
  </si>
  <si>
    <t>27º64'98"</t>
  </si>
  <si>
    <t>48º49'52"</t>
  </si>
  <si>
    <t>27º64'95"</t>
  </si>
  <si>
    <t>48º49'50"</t>
  </si>
  <si>
    <t xml:space="preserve">Trilha Caminho da Gurita </t>
  </si>
  <si>
    <t>27º74'29"</t>
  </si>
  <si>
    <t>48º51'77"</t>
  </si>
  <si>
    <t>27º74'32"</t>
  </si>
  <si>
    <t>48º51'79"</t>
  </si>
  <si>
    <t>27º74'35"</t>
  </si>
  <si>
    <t>48º51'82"</t>
  </si>
  <si>
    <t>27º74'36"</t>
  </si>
  <si>
    <t>48º51'86"</t>
  </si>
  <si>
    <t>27º74'62"</t>
  </si>
  <si>
    <t>48º52'21"</t>
  </si>
  <si>
    <t>Zona Agrícola Abandonada Capoeirinha/ Borda Floresta Corte Seletivo</t>
  </si>
  <si>
    <t>Zona Agrícola Abandonada Capoeira/ Borda Floresta Corte Seletivo</t>
  </si>
  <si>
    <t>27º74'67"</t>
  </si>
  <si>
    <t>48º52'22"</t>
  </si>
  <si>
    <t>Zona Agrícola Abandonada Capoeirão/ Borda Floresta Corte Seletivo</t>
  </si>
  <si>
    <t>27º74'69"</t>
  </si>
  <si>
    <t>48º52'26"</t>
  </si>
  <si>
    <t>48º52'30"</t>
  </si>
  <si>
    <t>Viveiro da Floram</t>
  </si>
  <si>
    <t>27º72'00"</t>
  </si>
  <si>
    <t>48º56'26"</t>
  </si>
  <si>
    <t>L11P2</t>
  </si>
  <si>
    <t>27º71'98"</t>
  </si>
  <si>
    <t>27º71'99"</t>
  </si>
  <si>
    <t>48º56'22"</t>
  </si>
  <si>
    <t>48º56'21"</t>
  </si>
  <si>
    <t>27º72'06"</t>
  </si>
  <si>
    <t>48º56'04"</t>
  </si>
  <si>
    <t>27º72'04"</t>
  </si>
  <si>
    <t>48º56'03"</t>
  </si>
  <si>
    <t>27º72'02"</t>
  </si>
  <si>
    <t>27º72'01"</t>
  </si>
  <si>
    <t>48º56'01"</t>
  </si>
  <si>
    <t xml:space="preserve">Lagoinha do Leste </t>
  </si>
  <si>
    <t>27º77'87"</t>
  </si>
  <si>
    <t>48º50'58"</t>
  </si>
  <si>
    <t>Floresta primária com desmatamento de quase todas as árvores adultas</t>
  </si>
  <si>
    <t>27º77'86"</t>
  </si>
  <si>
    <t>48º50'55"</t>
  </si>
  <si>
    <t>27º77'92"</t>
  </si>
  <si>
    <t>48º50'51"</t>
  </si>
  <si>
    <t>48º50'44"</t>
  </si>
  <si>
    <t>27º77'90"</t>
  </si>
  <si>
    <t>48º50'02"</t>
  </si>
  <si>
    <t>L4P6</t>
  </si>
  <si>
    <t>27º77'89"</t>
  </si>
  <si>
    <t>48º49'95"</t>
  </si>
  <si>
    <t>27º77'93"</t>
  </si>
  <si>
    <t>48º49'88"</t>
  </si>
  <si>
    <t xml:space="preserve">Naufragados </t>
  </si>
  <si>
    <t>27º81'92"</t>
  </si>
  <si>
    <t>48º56'20"</t>
  </si>
  <si>
    <t>27º81'93"</t>
  </si>
  <si>
    <t>27º81'91"</t>
  </si>
  <si>
    <t>27º82'27"</t>
  </si>
  <si>
    <t>48º56'30"</t>
  </si>
  <si>
    <t>27º82'30"</t>
  </si>
  <si>
    <t>27º82'31"</t>
  </si>
  <si>
    <t>48º56'35"</t>
  </si>
  <si>
    <t xml:space="preserve">Cachoeira Vargem Grande </t>
  </si>
  <si>
    <t>27º46'75"</t>
  </si>
  <si>
    <t>48º43'98"</t>
  </si>
  <si>
    <t>27º46'81"</t>
  </si>
  <si>
    <t>48º43'93"</t>
  </si>
  <si>
    <t>27º46'78"</t>
  </si>
  <si>
    <t>48º43'92'</t>
  </si>
  <si>
    <t>27º46'80"</t>
  </si>
  <si>
    <t>48º43'89"</t>
  </si>
  <si>
    <t>27º46'74"</t>
  </si>
  <si>
    <t>48º43'61"</t>
  </si>
  <si>
    <t>48º43'59"</t>
  </si>
  <si>
    <t>27º46'72"</t>
  </si>
  <si>
    <t>48º43'56"</t>
  </si>
  <si>
    <t>48º43'54"</t>
  </si>
  <si>
    <t xml:space="preserve">Condominio Cachoeira Sto Antonio </t>
  </si>
  <si>
    <t>27º50'47"</t>
  </si>
  <si>
    <t>48º50'67"</t>
  </si>
  <si>
    <t>27º50'43"</t>
  </si>
  <si>
    <t>48º50'65"</t>
  </si>
  <si>
    <t>27º50'46"</t>
  </si>
  <si>
    <t>48º50'63"</t>
  </si>
  <si>
    <t>27º50'48"</t>
  </si>
  <si>
    <t>48º50'62"</t>
  </si>
  <si>
    <t>27º50'74"</t>
  </si>
  <si>
    <t>48º50'40"</t>
  </si>
  <si>
    <t>Zona Agrícola Capoeirão</t>
  </si>
  <si>
    <t>27º50'73"</t>
  </si>
  <si>
    <t>48º50'38"</t>
  </si>
  <si>
    <t>48º50'32"</t>
  </si>
  <si>
    <t>48º50'27"</t>
  </si>
  <si>
    <t xml:space="preserve">Trilha Costa da Lagoa à Ratones </t>
  </si>
  <si>
    <t>27º52'69"</t>
  </si>
  <si>
    <t>48º46'56"</t>
  </si>
  <si>
    <t>48º46'53"</t>
  </si>
  <si>
    <t>27º52'75"</t>
  </si>
  <si>
    <t>48º46'52"</t>
  </si>
  <si>
    <t>27º52'77"</t>
  </si>
  <si>
    <t>48º46'50"</t>
  </si>
  <si>
    <t>27º53'00"</t>
  </si>
  <si>
    <t>48º46'28"</t>
  </si>
  <si>
    <t>27º53'03"</t>
  </si>
  <si>
    <t>48º46'26"</t>
  </si>
  <si>
    <t>27º53'08"</t>
  </si>
  <si>
    <t>48º46'25"</t>
  </si>
  <si>
    <t>27º53'09"</t>
  </si>
  <si>
    <t>48º46'21"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</si>
</sst>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"/>
    <numFmt numFmtId="165" formatCode="0.000"/>
    <numFmt numFmtId="166" formatCode="0.0000"/>
    <numFmt numFmtId="167" formatCode="#,##0.000"/>
  </numFmts>
  <fonts count="11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ptos Narrow"/>
    </font>
    <font>
      <color theme="1"/>
      <name val="Arial"/>
    </font>
    <font>
      <sz val="11.0"/>
      <color theme="1"/>
      <name val="Aptos Narrow"/>
    </font>
    <font>
      <b/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BFD"/>
        <bgColor rgb="FFF9FBF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8CB5F9"/>
        <bgColor rgb="FF8CB5F9"/>
      </patternFill>
    </fill>
    <fill>
      <patternFill patternType="solid">
        <fgColor rgb="FF7AD694"/>
        <bgColor rgb="FF7AD69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8CB5F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2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1" fillId="6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/>
    </xf>
    <xf borderId="1" fillId="5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bottom"/>
    </xf>
    <xf borderId="0" fillId="5" fontId="3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7" numFmtId="165" xfId="0" applyFont="1" applyNumberFormat="1"/>
    <xf borderId="0" fillId="0" fontId="7" numFmtId="166" xfId="0" applyFont="1" applyNumberFormat="1"/>
    <xf borderId="0" fillId="0" fontId="7" numFmtId="2" xfId="0" applyAlignment="1" applyFont="1" applyNumberFormat="1">
      <alignment readingOrder="0"/>
    </xf>
    <xf borderId="0" fillId="0" fontId="7" numFmtId="0" xfId="0" applyFon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7" fontId="7" numFmtId="166" xfId="0" applyFill="1" applyFont="1" applyNumberFormat="1"/>
    <xf borderId="3" fillId="8" fontId="8" numFmtId="0" xfId="0" applyAlignment="1" applyBorder="1" applyFill="1" applyFont="1">
      <alignment readingOrder="0" shrinkToFit="0" vertical="bottom" wrapText="0"/>
    </xf>
    <xf borderId="0" fillId="8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5" fontId="9" numFmtId="0" xfId="0" applyAlignment="1" applyFont="1">
      <alignment horizontal="right" readingOrder="0" shrinkToFit="0" vertical="bottom" wrapText="0"/>
    </xf>
    <xf borderId="0" fillId="9" fontId="9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0" fontId="10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59" sheet="Dados"/>
  </cacheSource>
  <cacheFields>
    <cacheField name="Codigo_local" numFmtId="0">
      <sharedItems>
        <s v="L1"/>
        <s v="L2"/>
        <s v="L3"/>
        <s v="L4"/>
        <s v="L5"/>
        <s v="L6"/>
        <s v="L7"/>
        <s v="L8"/>
        <s v="L9"/>
        <s v="L10"/>
        <s v="L11"/>
        <s v="L12"/>
      </sharedItems>
    </cacheField>
    <cacheField name="Local" numFmtId="0">
      <sharedItems>
        <s v="Trilha Cachoeira do Poção "/>
        <s v="Morro do Assopro "/>
        <s v="Morro do Lampião"/>
        <s v="UCAD"/>
        <s v="Sitio Vale Encantado "/>
        <s v="Trilha do Caminho da Gurita"/>
        <s v="Viveiro da Floram "/>
        <s v="Trilha Lagoinha do Leste"/>
        <s v="Trilha Naufragados"/>
        <s v="Cachoeira da Vargem Grande"/>
        <s v="Condomínio Cachoeira de Sto Antônio I"/>
        <s v="Trilha da Costa da Lagoa à Ratones"/>
      </sharedItems>
    </cacheField>
    <cacheField name="Ambiente " numFmtId="0">
      <sharedItems>
        <s v="Borda "/>
        <s v="Interior "/>
      </sharedItems>
    </cacheField>
    <cacheField name="Ponto_Ambiente" numFmtId="0">
      <sharedItems>
        <s v="L1B"/>
        <s v="L1I"/>
        <s v="L2B"/>
        <s v="L2I"/>
        <s v="L3B"/>
        <s v="L3I"/>
        <s v="L4B"/>
        <s v="L4I"/>
        <s v="L5B"/>
        <s v="L5I"/>
        <s v="L6B"/>
        <s v="L6I"/>
        <s v="L7B"/>
        <s v="L7I"/>
        <s v="L8B"/>
        <s v="L8I"/>
        <s v="L9B"/>
        <s v="L9I "/>
        <s v="L10B"/>
        <s v="L10I"/>
        <s v="L11B"/>
        <s v="L11I"/>
        <s v="L12B"/>
        <s v="L12I"/>
      </sharedItems>
    </cacheField>
    <cacheField name="Parcela" numFmtId="0">
      <sharedItems>
        <s v="L1P1"/>
        <s v="L1P2"/>
        <s v="L1P3"/>
        <s v="L1P4"/>
        <s v="L1P5"/>
        <s v="L1P6"/>
        <s v="L1P7"/>
        <s v="L1P8"/>
        <s v="L2P1"/>
        <s v="L2P2"/>
        <s v="L2P3"/>
        <s v="L2P4"/>
        <s v="L2P5"/>
        <s v="L2P6"/>
        <s v="L2P7"/>
        <s v="L2P8"/>
        <s v="L3P1"/>
        <s v="L3P2"/>
        <s v="L3P3"/>
        <s v="L3P4"/>
        <s v="L3P5"/>
        <s v="L3P6"/>
        <s v="L3P7"/>
        <s v="L3P8"/>
        <s v="L4P1"/>
        <s v="L4P2"/>
        <s v="L4P3"/>
        <s v="L4P4"/>
        <s v="L4P5"/>
        <s v="L4P6 "/>
        <s v="L4P7"/>
        <s v="L4P8"/>
        <s v="L5P1"/>
        <s v="L5P2"/>
        <s v="L5P3"/>
        <s v="L5P4"/>
        <s v="L5P5"/>
        <s v="L5P6"/>
        <s v="L5P7"/>
        <s v="L5P8"/>
        <s v="L6P1"/>
        <s v="L6P2"/>
        <s v="L6P3"/>
        <s v="L6P4"/>
        <s v="L6P5"/>
        <s v="L6P6"/>
        <s v="L6P7"/>
        <s v="L6P8"/>
        <s v="L7P1"/>
        <s v="L7P2"/>
        <s v="L7P3"/>
        <s v="L7P4"/>
        <s v="L7P5"/>
        <s v="L7P6"/>
        <s v="L7P7"/>
        <s v="L7P8"/>
        <s v="L8P1"/>
        <s v="L8P2"/>
        <s v="L8P3"/>
        <s v="L8P4"/>
        <s v="L8P5"/>
        <s v="L8P6"/>
        <s v="L8P7"/>
        <s v="L8P8"/>
        <s v="L9P1"/>
        <s v="L9P2"/>
        <s v="L9P3"/>
        <s v="L9P4"/>
        <s v="L9P5"/>
        <s v="L9P6"/>
        <s v="L9P7"/>
        <s v="L9P8"/>
        <s v="L10P1"/>
        <s v="L10P2"/>
        <s v="L10P3"/>
        <s v="L10P4"/>
        <s v="L10P5"/>
        <s v="L10P6"/>
        <s v="L10P7"/>
        <s v="L10P8"/>
        <s v="L11P1"/>
        <s v="L11P2 "/>
        <s v="L11P3"/>
        <s v="L11P4"/>
        <s v="L11P5"/>
        <s v="L11P6"/>
        <s v="L11P7"/>
        <s v="L11P8"/>
        <s v="L12P1"/>
        <s v="L12P2"/>
        <s v="L12P3"/>
        <s v="L12P4"/>
        <s v="L12P5"/>
        <s v="L12P6"/>
        <s v="L12P7"/>
        <s v="L12P8"/>
      </sharedItems>
    </cacheField>
    <cacheField name="Num_Parcel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</sharedItems>
    </cacheField>
    <cacheField name="Latitude">
      <sharedItems containsMixedTypes="1" containsNumber="1">
        <n v="-27.61388889"/>
        <n v="-27.61411"/>
        <n v="-27.61431"/>
        <n v="-27.61491"/>
        <n v="-27.61371"/>
        <n v="-27.61392"/>
        <n v="-27.61386"/>
        <n v="-27.61409"/>
        <n v="-27.59125"/>
        <n v="-27.59092"/>
        <n v="-27.59109"/>
        <n v="-27.59068"/>
        <n v="-27.58864"/>
        <n v="-27.58838"/>
        <n v="-27.58817"/>
        <n v="-27.58784"/>
        <n v="-27.66678"/>
        <n v="-27.66647"/>
        <n v="-27.66651"/>
        <n v="-27.66621"/>
        <n v="-27.67049"/>
        <n v="-27.6707"/>
        <n v="-27.67103"/>
        <n v="-27.67131"/>
        <n v="-27.53204"/>
        <n v="-27.5318"/>
        <n v="-27.53198"/>
        <n v="-27.53157"/>
        <n v="-27.52784"/>
        <n v="-27.52767"/>
        <n v="-27.52734"/>
        <n v="-27.52725"/>
        <n v="-27.65367"/>
        <n v="-27.65325"/>
        <n v="-27.65305"/>
        <n v="-27.65257"/>
        <n v="-27.65022"/>
        <n v="-27.65056"/>
        <n v="-27.64989"/>
        <n v="-27.64958"/>
        <n v="-27.74293"/>
        <n v="-27.74325"/>
        <n v="-27.74354"/>
        <n v="-27.74365"/>
        <n v="-27.74621"/>
        <n v="-27.74671"/>
        <n v="-27.74695"/>
        <n v="-27.72002"/>
        <n v="-27.7198"/>
        <n v="-27.72001"/>
        <n v="-27.71992"/>
        <n v="-27.72063"/>
        <n v="-27.72046"/>
        <n v="-27.72031"/>
        <n v="-27.72017"/>
        <n v="-27.77875"/>
        <n v="-27.77869"/>
        <n v="-27.77925"/>
        <n v="-27.7792"/>
        <n v="-27.77909"/>
        <n v="-27.77891"/>
        <n v="-27.77933"/>
        <n v="-27.779"/>
        <n v="-27.81928"/>
        <n v="-27.81935"/>
        <n v="-27.81909"/>
        <s v="-27.819167°"/>
        <n v="-27.82277"/>
        <n v="-27.82273"/>
        <n v="-27.822778"/>
        <n v="-27.82319"/>
        <n v="-27.46767"/>
        <n v="-27.46813"/>
        <n v="-27.46788"/>
        <n v="-27.46804"/>
        <n v="-27.46744"/>
        <n v="-27.46749"/>
        <n v="-27.46729"/>
        <n v="-27.46725"/>
        <n v="-27.50474"/>
        <n v="-27.50438"/>
        <n v="-27.50463"/>
        <n v="-27.50488"/>
        <n v="-27.50749"/>
        <n v="-27.50731"/>
        <n v="-27.50746"/>
        <n v="-27.50747"/>
        <n v="-27.52697"/>
        <n v="-27.52733"/>
        <n v="-27.527602"/>
        <n v="-27.5277"/>
        <n v="-27.53"/>
        <n v="-27.53038"/>
        <n v="-27.53084"/>
        <n v="-27.53097"/>
      </sharedItems>
    </cacheField>
    <cacheField name="Longitude ">
      <sharedItems containsMixedTypes="1" containsNumber="1">
        <n v="-48.505"/>
        <n v="-48.50516"/>
        <n v="-48.50521"/>
        <n v="-48.50526"/>
        <n v="-48.50663"/>
        <n v="-48.50662"/>
        <n v="-48.5065"/>
        <n v="-48.50623"/>
        <n v="-48.476"/>
        <n v="-48.47587"/>
        <n v="-48.47551"/>
        <n v="-48.47515"/>
        <n v="-48.4726"/>
        <n v="-48.4725"/>
        <n v="-48.47243"/>
        <n v="-48.47277"/>
        <n v="-48.49041"/>
        <n v="-48.49067"/>
        <n v="-48.49095"/>
        <n v="-48.49087"/>
        <n v="-48.49293"/>
        <n v="-48.49287"/>
        <n v="-48.49274"/>
        <n v="-48.49278"/>
        <n v="-48.4927799999999"/>
        <n v="-48.4927799999998"/>
        <n v="-48.51236"/>
        <n v="-48.51247"/>
        <n v="-48.51211"/>
        <n v="-48.51232"/>
        <n v="-48.51132"/>
        <n v="-48.51126"/>
        <n v="-48.51129"/>
        <n v="-48.51099"/>
        <n v="-48.49631"/>
        <n v="-48.49624"/>
        <n v="-48.49614"/>
        <n v="-48.49598"/>
        <n v="-48.4951"/>
        <n v="-48.49444"/>
        <n v="-48.49526"/>
        <n v="-48.49503"/>
        <n v="-48.51777"/>
        <n v="-48.5179"/>
        <n v="-48.51829"/>
        <n v="-48.51865"/>
        <n v="-48.52213"/>
        <n v="-48.52224"/>
        <n v="-48.52266"/>
        <n v="-48.52309"/>
        <n v="-48.56261"/>
        <n v="-48.56266"/>
        <n v="-48.56227"/>
        <n v="-48.56215"/>
        <n v="-48.56049"/>
        <n v="-48.56033"/>
        <n v="-48.56035"/>
        <n v="-48.56015"/>
        <n v="-48.50586"/>
        <n v="-48.5055"/>
        <n v="-48.50512"/>
        <n v="-48.50444"/>
        <n v="-48.50021"/>
        <n v="-48.49956"/>
        <n v="-48.49887"/>
        <n v="-48.4988"/>
        <n v="-48.56205"/>
        <n v="-48.56221"/>
        <n v="-48.56245"/>
        <s v="-48.562500°"/>
        <n v="-48.56304"/>
        <n v="-48.563056"/>
        <n v="-48.56353"/>
        <n v="-48.43995"/>
        <n v="-48.4393"/>
        <n v="-48.43926"/>
        <n v="-48.43893"/>
        <n v="-48.43611"/>
        <n v="-48.43592"/>
        <n v="-48.43563"/>
        <n v="-48.43545"/>
        <n v="-48.50674"/>
        <n v="-48.50653"/>
        <n v="-48.50626"/>
        <n v="-48.50621"/>
        <n v="-48.50407"/>
        <n v="-48.50387"/>
        <n v="-48.50324"/>
        <n v="-48.50274"/>
        <n v="-48.46565"/>
        <n v="-48.46537"/>
        <n v="-48.465251"/>
        <n v="-48.46501"/>
        <n v="-48.46284"/>
        <n v="-48.46266"/>
        <n v="-48.46257"/>
        <n v="-48.46219"/>
      </sharedItems>
    </cacheField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</sharedItems>
    </cacheField>
    <cacheField name="Espécie" numFmtId="0">
      <sharedItems>
        <s v="Annona sylvatica"/>
        <s v="Casearia sylvestris"/>
        <s v="Cecropia glaziovii"/>
        <s v="Cedrela fissilis"/>
        <s v="Luehea divaricata"/>
        <s v="Machaerium stipitatum"/>
        <s v="Allophylus edulis"/>
        <s v="Ficus adhatodifolia"/>
        <s v="Campomanesia littoralis"/>
        <s v="Roupala montana"/>
        <s v="Aspidosperma australe"/>
        <s v="Tabernaemontana catharinensis"/>
        <s v="Chrysophyllum gonocarpum"/>
        <s v="Sebastiania serrata"/>
        <s v="Banara parviflora"/>
        <s v="Alchornea triplinervia"/>
        <s v="Campomanesia xanthocarpa"/>
        <s v="Faramea marginata"/>
        <s v="Cabralea canjerana"/>
        <s v="Myrsine umbellata"/>
        <s v="Albizia pedicellaris"/>
        <s v="Inga subnuda"/>
        <s v="Ouratea parviflora"/>
        <s v="Muellera campestris "/>
        <s v="Heisteria silvianii"/>
        <s v="Ilex dumosa"/>
        <s v="Faramea montevidensis"/>
        <s v="Maclura tinctoria"/>
        <s v="Coussapoa microcarpa"/>
        <s v="Pseudobombax grandiflorum "/>
        <s v="Alchornea glandulosa"/>
        <s v="Citrus sinensis"/>
        <s v="Machaerium stipitatum "/>
        <s v="Eugenia uniflora"/>
        <s v="Nectandra megapotamica "/>
        <s v="Pera glabrata"/>
        <s v="Psidium cattleyanum"/>
        <s v="Banara tomentosa"/>
        <s v="Cupania vernalis"/>
        <s v="Psychotria suterella"/>
        <s v="Syagrus romanzoffiana"/>
        <s v="Eugenia sp."/>
        <s v="Schizolobium parahyba"/>
        <s v="Citrus reticulata"/>
        <s v="Guarea macrophylla"/>
        <s v="Miconia cinerascens"/>
        <s v="Annona dolabripetala"/>
        <s v="Piper adunculum"/>
        <s v="Syagrus romanzophyona "/>
        <s v="Myrciaria glazioviana"/>
        <s v="Myrsine glazioviana"/>
        <s v="Allophylus petiolulatus"/>
        <s v="Sorocea bonplandii"/>
        <s v="Guapira opposita"/>
        <s v="Matayba guianensis"/>
        <s v="Prunus myrtifolia "/>
        <s v="Protium kleinii "/>
        <s v="Miconia formosa"/>
        <s v="Casearia decandra"/>
        <s v="Myrocarpus frondosus"/>
        <s v="Jacaranda puberula"/>
        <s v="Miconia pusilliflora"/>
        <s v="Cybistax antisyphilitica"/>
        <s v="Posoqueria latifolia "/>
        <s v="Dahlstedtia pinnata"/>
        <s v="Euterpe edulis"/>
        <s v="Campomanesia reitziana"/>
        <s v="Ilex brevicuspis"/>
        <s v="Mollinedia schottiana"/>
        <s v="Cordia trichotoma"/>
        <s v="Erythroxylum cuspidifolium"/>
        <s v="Myrcia neolucida "/>
        <s v="Mollinedea schottiana"/>
        <s v="Protium kleinii"/>
        <s v="Myrcia brasiliensis"/>
        <s v="Myrcia spectabilis"/>
        <s v="Trichilia lepidota"/>
        <s v="Eugenia cf. multicostata"/>
        <s v="Roupala brasiliensis"/>
        <s v="Cf. Plinia rivularis"/>
        <s v="Pterocarpus violaceus"/>
        <s v=" Mollinedia uleana"/>
        <s v="Posoqueria latifolia"/>
        <s v="Faramea montevidensis "/>
        <s v="Amaioua intermedia"/>
        <s v="Eugenia sp.2"/>
        <s v="Tetrorchidium rubrivenium"/>
        <s v="Virola bicuhyba"/>
        <s v="Piper arboreum"/>
        <s v="Piper gaudichaudianum "/>
        <s v="Palicourea sp."/>
        <s v="Platymiscium floribundum"/>
        <s v="Psychotria sp."/>
        <s v="Rudgea jasminoides"/>
        <s v="Mollinedia cf. triflora"/>
        <s v="Indet "/>
        <s v="Myrcia splendens"/>
        <s v="Erythroxylum argentinum"/>
        <s v="Myrcia palustris"/>
        <s v="Muellera grazielae"/>
        <s v="Myrsine guianensis"/>
        <s v="Handroanthus umbellatus"/>
        <s v="Lonchocarpus campestris "/>
        <s v="Zanthoxylum fagara"/>
        <s v="Myrsine guianensis "/>
        <s v="Cf. Muellera grazielae "/>
        <s v="Ocotea  pulchella"/>
        <s v="Cf. Lonchocarpus cultratus"/>
        <s v="Myrsine coriacea"/>
        <s v="Myrcia guianensis"/>
        <s v="Handroanthus cf. chrysotrichus"/>
        <s v="Handroanthus sp."/>
        <s v="Roupala cf. brasiliensis "/>
        <s v="Ouratea parviflora "/>
        <s v="Ilex pseudobuxus "/>
        <s v="Eugenia sp.3"/>
        <s v="Cf. Posoqueria latifolia"/>
        <s v="Matayba intermedia"/>
        <s v="Morta"/>
        <s v="Sloanea guianensis "/>
        <s v="Cinnamomum glaziovii"/>
        <s v="Myrcia strigipes"/>
        <s v="Campomanesia cf. reitziana"/>
        <s v="Machaerium hirtum"/>
        <s v="Endlicheria paniculata"/>
        <s v="Cf. Guatteria australis"/>
        <s v="Maytenus boaria "/>
        <s v="Matayba elaeagnoides"/>
        <s v="Roupala brasiliensis "/>
        <s v="Ocotea odorifera"/>
        <s v="Mollinedia sp. "/>
        <s v="Ocotea lanosa "/>
        <s v="Posoqueria larifolia "/>
        <s v="Colubrina glandulosa"/>
        <s v="Sebastiania argutidens"/>
        <s v="Pera glabrata "/>
        <s v="Cf. Colubrina glandulosa"/>
        <s v="Aiouea montana"/>
        <s v="Schizolobium parahyba "/>
        <s v="Miconia cinnamomifolia"/>
        <s v="Psychotria sp"/>
        <s v="Zanthoxylum caribaeum"/>
        <s v="Guatteria australis"/>
        <s v="Piptadenia paniculata"/>
        <s v="Cf. Cinnamomum triplinerve"/>
        <s v="Solanum pseudoquina"/>
        <s v="Tabernaemontana catharinensis "/>
        <s v="Zollernia ilicifolia"/>
        <s v="Lonchocarpus cultratus"/>
        <s v=" Schizolobium parahyba"/>
        <s v="Zanthoxylum rhoifolium"/>
        <s v="Cipó"/>
        <s v="Inga marginata"/>
        <s v="Psychotria cf. suterella"/>
        <s v="Banara cf. tomentosa"/>
        <s v="Monteverdia evonymoides"/>
        <s v="Cf. Maytenus"/>
        <s v="Cf. Prunus myrtifolia"/>
        <s v="Nectandra megapotamica"/>
        <s v="Citharexylum myrianthum"/>
        <s v="Cf. Maytenus "/>
        <s v="Cf. Machaonia "/>
        <s v=" Cf. Quassia amara  "/>
        <s v="Myrcia lonchophylla"/>
        <s v="Trichilia sp."/>
        <s v="Andira fraxinifolia"/>
        <s v="Coussarea contracta"/>
        <s v="Solanum pseudoquina "/>
        <s v="Machaerium paraguariense"/>
        <s v="Esenbeckia hieronymi"/>
        <s v="Trichilha lepidota"/>
        <s v="Psychotria lancionata"/>
        <s v="Eugenia adstringens"/>
        <s v="Tibouchina granulosa"/>
        <s v="Cf. Pavonia"/>
        <s v="Archontophoenix cunninghamiana"/>
        <s v="Myrsine coriacea "/>
        <s v="Caesalpinia peltophoroides"/>
        <s v="Ingá sp."/>
        <s v="Eugenia cf. florida"/>
        <s v="Solanum cf. pseudoquina"/>
        <s v="Eriobotrya japonica"/>
        <s v="Delonix regia"/>
        <s v="Jacaranda mimosifolia"/>
        <s v="Matayba sp."/>
        <s v="Myrsine cf. coriacea"/>
        <s v="Picrasma crenata"/>
        <s v="Maytenus sp."/>
        <s v="Ficus cf. cestrifolia"/>
        <s v="Banara cf. parviflora "/>
        <s v="Annona sp."/>
        <s v="Inga cf. subnuda"/>
        <s v="Piptadenia gonoacantha"/>
        <s v="Roupala sp."/>
        <s v="Inga sp."/>
        <s v="Eugenia cf. ternatifolia"/>
        <s v="Byrsonima sp."/>
        <s v="Jubunga langsdorffii"/>
        <s v="Ocotea pulchella"/>
        <s v="Myrsine parvula"/>
        <s v="Roupala palida"/>
        <s v="Clusia criuva"/>
        <s v="Roupala cf. palida "/>
        <s v="Ilex theezans"/>
        <s v="Cf. Piptocarpha axilaris"/>
        <s v="Cf.Myrcia palustris"/>
        <s v=" Miconia cinnamomifolia"/>
        <s v="Coccoloba warmingii"/>
        <s v="INDET - Pera glabrata ?"/>
        <s v="INDET Myrtaceae "/>
        <s v="Miconia cf. cinerascens"/>
        <s v="Chomelia obtusa"/>
        <s v="Guatteria australis "/>
        <s v="Cordiera concolor"/>
        <s v="Cf. Hyeronima alchorneoides"/>
        <s v="Eugenia cf. ramboi"/>
        <s v="Eugenia cf. brasiliensis"/>
        <s v="Eugenia - igual P7 e P8"/>
        <s v="Eugenia kleinii"/>
        <s v="Myrcia sp."/>
        <s v="INDET - Myrsine parvula ?"/>
        <s v=" Eugenia sp."/>
        <s v="Hirtella hebeclada"/>
        <s v="INDET"/>
        <s v="Garcinia gardneriana"/>
        <s v="Cf. Posoqueria"/>
        <s v="INDET igual a 15"/>
        <s v="INDET Eugenia - igual P7 e P8"/>
        <s v="Eugenia - igual P7 - 8"/>
        <s v="Cf. Coccoloba"/>
        <s v="Myrcia pubipetala"/>
        <s v="Eugenia -Igual P7 - 8"/>
        <s v="Eugenia tenuipedunculata"/>
        <s v="Brosimum lactescens"/>
        <s v="Myrceugenia cf. myrcioides "/>
        <s v="Matayba cf. elaeagnoides"/>
        <s v="INDET - Myrtaceae"/>
        <s v="Jacaranda micrantha"/>
        <s v="Roupala"/>
        <s v="Verbesina glabrata"/>
        <s v="Ficus cf. luschnathiana"/>
        <s v="Aniba firmula"/>
        <s v="Machaerium cf. paraguariense"/>
        <s v="Cf. Banara parviflora "/>
        <s v="Xylopia brasiliensis"/>
        <s v="Cf. Chomelia obtusa"/>
        <s v="Machaerium nyctitans"/>
        <s v="Myrciaria tenella"/>
        <s v="Anadenanthera colubrina"/>
        <s v="Cf. Myrcia palustris"/>
        <s v="Psidium guajava"/>
        <s v="Miconia cinammomifolia"/>
        <s v="Eugenia cf. uruguayensis"/>
        <s v="Muellera sp."/>
        <s v="Cf. Casearia decandra"/>
        <s v="Cf. Trichilia lepidota"/>
        <s v="Pseudobombax grandiflorum"/>
        <s v="Cf. Albizia"/>
        <s v="Plinia cauliflora"/>
        <s v="Calophyllum brasiliense"/>
        <s v="INDET- Myrtaceae"/>
        <s v=" Xylopia brasiliensis"/>
        <s v="Myrcia ferruginosa "/>
        <s v="Myrcia stigmatosa"/>
        <s v="Ocotea lanata"/>
        <s v="Eugenia stigmatosa"/>
        <s v="Myrcia glabra"/>
        <s v="Psychotria stenocalyx"/>
        <s v="Myrcia eugeniopsoides"/>
        <s v="Miconia ligustroides"/>
        <s v="Pinus elliottii"/>
        <s v="Ilex dumosa "/>
        <s v="Calophyllum brasiliensis"/>
        <s v="Ilex thiessen"/>
        <s v="Myrcia splendens "/>
        <s v="Myrcia aethusa"/>
        <s v="Myrcia hebepetala"/>
        <s v="Psidium cattleianum"/>
        <s v="INDET = nº 11"/>
        <s v="Matayba guianensis "/>
        <s v="Myrcine guianensis"/>
        <s v="INDET - Myrtaceae "/>
        <s v="Feijoa sellowiana "/>
        <s v="Eugenia brasiliensis"/>
        <s v="Erythrina speciosa"/>
        <s v="Ormosia arborea"/>
        <s v="Artocarpus heterophyllus"/>
        <s v="Cf. Buchenavia"/>
        <s v="Inga striata"/>
        <s v="Schinus terebinthifolia"/>
        <s v="Psidium guajava "/>
        <s v="Piptocarpha axillaris"/>
        <s v="Cf. Trichilia pallens"/>
        <s v="INDET Lauraceae"/>
        <s v="Liana"/>
        <s v="Cf. Plinia peruviana"/>
        <s v="Cinnamomum cf. glaziovii"/>
        <s v="Psychotria suterella "/>
        <s v="Mollinedia sp."/>
        <s v="Chrysophyllum inornatum"/>
        <s v="Mollinedia shoteana"/>
        <s v="Cabrala canjerana"/>
        <s v="Trichilia pallens"/>
        <s v="Mimosa bimucronat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42" sheet="Dados"/>
  </cacheSource>
  <cacheFields>
    <cacheField name="Codigo_local" numFmtId="0">
      <sharedItems>
        <s v="L1"/>
      </sharedItems>
    </cacheField>
    <cacheField name="Local" numFmtId="0">
      <sharedItems>
        <s v="Trilha Cachoeira do Poção "/>
      </sharedItems>
    </cacheField>
    <cacheField name="Ambiente " numFmtId="0">
      <sharedItems>
        <s v="Borda "/>
        <s v="Interior "/>
      </sharedItems>
    </cacheField>
    <cacheField name="Ponto_Ambiente" numFmtId="0">
      <sharedItems>
        <s v="L1B"/>
        <s v="L1I"/>
      </sharedItems>
    </cacheField>
    <cacheField name="Parcela" numFmtId="0">
      <sharedItems>
        <s v="L1P1"/>
        <s v="L1P2"/>
        <s v="L1P3"/>
        <s v="L1P4"/>
        <s v="L1P5"/>
        <s v="L1P6"/>
        <s v="L1P7"/>
        <s v="L1P8"/>
      </sharedItems>
    </cacheField>
    <cacheField name="Num_Parcel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</sharedItems>
    </cacheField>
    <cacheField name="Latitude" numFmtId="164">
      <sharedItems containsSemiMixedTypes="0" containsString="0" containsNumber="1">
        <n v="-27.61388889"/>
        <n v="-27.61411"/>
        <n v="-27.61431"/>
        <n v="-27.61491"/>
        <n v="-27.61371"/>
        <n v="-27.61392"/>
        <n v="-27.61386"/>
        <n v="-27.61409"/>
      </sharedItems>
    </cacheField>
    <cacheField name="Longitude " numFmtId="164">
      <sharedItems containsSemiMixedTypes="0" containsString="0" containsNumber="1">
        <n v="-48.505"/>
        <n v="-48.50516"/>
        <n v="-48.50521"/>
        <n v="-48.50526"/>
        <n v="-48.50663"/>
        <n v="-48.50662"/>
        <n v="-48.5065"/>
        <n v="-48.50623"/>
      </sharedItems>
    </cacheField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</sharedItems>
    </cacheField>
    <cacheField name="Espécie" numFmtId="0">
      <sharedItems>
        <s v="Annona sylvatica"/>
        <s v="Casearia sylvestris"/>
        <s v="Cecropia glaziovii"/>
        <s v="Cedrela fissilis"/>
        <s v="Luehea divaricata"/>
        <s v="Machaerium stipitatum"/>
        <s v="Allophylus edulis"/>
        <s v="Ficus adhatodifolia"/>
        <s v="Campomanesia littoralis"/>
        <s v="Roupala montana"/>
        <s v="Aspidosperma australe"/>
        <s v="Tabernaemontana catharinensis"/>
        <s v="Chrysophyllum gonocarpum"/>
        <s v="Sebastiania serrata"/>
        <s v="Banara parviflora"/>
        <s v="Alchornea triplinervia"/>
        <s v="Campomanesia xanthocarpa"/>
        <s v="Faramea marginata"/>
        <s v="Cabralea canjerana"/>
        <s v="Myrsine umbellata"/>
        <s v="Albizia pedicellaris"/>
        <s v="Inga subnuda"/>
        <s v="Ouratea parviflora"/>
        <s v="Muellera campestris "/>
        <s v="Heisteria silvianii"/>
        <s v="Ilex dumosa"/>
        <s v="Faramea montevidensis"/>
        <s v="Maclura tinctoria"/>
        <s v="Coussapoa microcarpa"/>
        <s v="Pseudobombax grandiflorum "/>
        <s v="Alchornea glandulosa"/>
        <s v="Citrus sinensis"/>
        <s v="Machaerium stipitatum "/>
        <s v="Eugenia uniflora"/>
        <s v="Nectandra megapotamica "/>
        <s v="Pera glabrata"/>
        <s v="Psidium cattleyanum"/>
        <s v="Banara tomentosa"/>
        <s v="Cupania vernalis"/>
        <s v="Psychotria suterella"/>
        <s v="Syagrus romanzoffiana"/>
        <s v="Eugenia sp."/>
        <s v="Schizolobium parahyba"/>
        <s v="Citrus reticulata"/>
        <s v="Guarea macrophylla"/>
        <s v="Miconia cinerascens"/>
        <s v="Annona dolabripetala"/>
        <s v="Piper adunculum"/>
        <s v="Syagrus romanzophyona "/>
        <s v="Myrciaria glazioviana"/>
        <s v="Myrsine glazioviana"/>
        <s v="Allophylus petiolulatus"/>
        <s v="Sorocea bonplandii"/>
      </sharedItems>
    </cacheField>
    <cacheField name="Espécie_Atualizada " numFmtId="0">
      <sharedItems>
        <s v="Annona sylvatica"/>
        <s v="Casearia sylvestris"/>
        <s v="Cecropia glaziovii"/>
        <s v="Cedrela fissilis"/>
        <s v="Luehea divaricata"/>
        <s v="Machaerium stipitatum"/>
        <s v="Allophylus edulis"/>
        <s v="Ficus adhatodifolia"/>
        <s v="Campomanesia littoralis"/>
        <s v="Roupala montana"/>
        <s v="Aspidosperma australe"/>
        <s v="Tabernaemontana catharinensis"/>
        <s v="Chrysophyllum gonocarpum"/>
        <s v="Gymnanthes serrata"/>
        <s v="Banara parviflora"/>
        <s v="Alchornea triplinervia"/>
        <s v="Campomanesia xanthocarpa"/>
        <s v="Faramea montevidensis"/>
        <s v="Cabralea canjerana"/>
        <s v="Myrsine umbellata"/>
        <s v="Albizia edwallii"/>
        <s v="Inga subnuda"/>
        <s v="Ouratea parviflora"/>
        <s v="Muellera campestris"/>
        <s v="Heisteria silvianii"/>
        <s v="Ilex dumosa"/>
        <s v="Maclura tinctoria"/>
        <s v="Coussapoa microcarpa"/>
        <s v="Pseudobombax grandiflorum"/>
        <s v="Alchornea glandulosa"/>
        <s v="Citrus sinensis"/>
        <s v="Eugenia uniflora"/>
        <s v="Nectandra megapotamica"/>
        <s v="Pera glabrata"/>
        <s v="Psidium cattleyanum"/>
        <s v="Banara tomentosa"/>
        <s v="Cupania vernalis"/>
        <s v="Psychotria suterella"/>
        <s v="Syagrus romanzoffiana"/>
        <s v="Eugenia sp."/>
        <s v="Schizolobium parahyba"/>
        <s v="Citrus reticulata"/>
        <s v="Guarea macrophylla"/>
        <s v="Miconia cinerascens"/>
        <s v="Annona dolabripetala"/>
        <s v="Piper aduncum"/>
        <s v="Myrciaria glazioviana"/>
        <s v="Myrsine glazioviana"/>
        <s v="Allophylus petiolulatus"/>
        <s v="Sorocea bonplandii"/>
      </sharedItems>
    </cacheField>
    <cacheField name="Conf. identificação sp. " numFmtId="0">
      <sharedItems containsBlank="1">
        <m/>
        <s v="x"/>
      </sharedItems>
    </cacheField>
    <cacheField name="PAP">
      <sharedItems containsMixedTypes="1" containsNumber="1">
        <s v="22+18"/>
        <n v="28.0"/>
        <s v="16+26+15,5+19,5"/>
        <n v="75.0"/>
        <n v="36.5"/>
        <n v="53.0"/>
        <n v="17.0"/>
        <s v="29+31+25+26"/>
        <n v="18.0"/>
        <n v="31.0"/>
        <n v="33.5"/>
        <n v="30.0"/>
        <s v="24+6,5"/>
        <n v="56.0"/>
        <n v="82.5"/>
        <s v="20+14+16+12+7,5+8,5"/>
        <n v="55.0"/>
        <n v="26.5"/>
        <s v="16+11,5+25,5"/>
        <s v="38+11"/>
        <n v="50.0"/>
        <n v="33.0"/>
        <n v="24.0"/>
        <s v="21+30,5+22,5"/>
        <n v="57.5"/>
        <n v="47.5"/>
        <n v="37.0"/>
        <s v="32+83"/>
        <s v="17+43"/>
        <n v="22.0"/>
        <n v="15.5"/>
        <n v="20.0"/>
        <n v="16.5"/>
        <s v="41,5+55"/>
        <n v="38.5"/>
        <n v="25.5"/>
        <s v="33,5+16+35,5+35"/>
        <n v="19.0"/>
        <s v="106,5+ 71,5+116,5+57,5+86"/>
        <n v="38.0"/>
        <s v="18,5+11,5+15+8+16,5"/>
        <n v="39.0"/>
        <s v="54,5+76,5+61"/>
        <n v="15.0"/>
        <n v="27.0"/>
        <n v="16.0"/>
        <n v="40.0"/>
        <n v="47.0"/>
        <s v="17+16"/>
        <n v="35.0"/>
        <n v="60.0"/>
        <n v="18.5"/>
        <n v="25.0"/>
        <n v="61.0"/>
        <n v="34.0"/>
        <s v="234 + 110"/>
        <n v="21.5"/>
        <n v="45.0"/>
        <n v="91.0"/>
        <s v="24+18+17"/>
        <s v="59+68+64"/>
        <s v="18+15"/>
        <n v="78.0"/>
        <n v="29.0"/>
        <n v="78.5"/>
        <n v="152.0"/>
        <s v="16+10"/>
        <s v="18,5+11"/>
        <n v="32.0"/>
        <s v="16+10+18"/>
        <n v="27.5"/>
        <s v="15,5+11"/>
        <s v="99+115"/>
        <n v="26.0"/>
        <n v="43.0"/>
        <n v="9.0"/>
        <n v="36.0"/>
        <s v="21+19+10+6"/>
        <s v="10+13"/>
        <n v="29.5"/>
        <s v="17,5+21"/>
        <n v="96.0"/>
        <n v="80.0"/>
        <n v="61.5"/>
        <n v="23.0"/>
        <n v="23.5"/>
        <n v="62.0"/>
        <n v="58.0"/>
        <n v="17.5"/>
        <s v="104+66"/>
        <s v="15,5+15"/>
        <s v="66+44"/>
        <s v="40+21,5+23"/>
        <s v="42+36"/>
        <n v="30.5"/>
        <s v="20+16+17+14,5+8,5+13+10"/>
      </sharedItems>
    </cacheField>
    <cacheField name="Altura" numFmtId="0">
      <sharedItems containsString="0" containsBlank="1" containsNumber="1">
        <n v="5.0"/>
        <n v="7.0"/>
        <n v="6.0"/>
        <n v="9.0"/>
        <n v="8.0"/>
        <n v="4.0"/>
        <n v="12.0"/>
        <n v="14.0"/>
        <n v="10.0"/>
        <n v="13.0"/>
        <m/>
        <n v="4.5"/>
        <n v="16.0"/>
        <n v="11.0"/>
        <n v="3.5"/>
        <n v="15.0"/>
        <n v="18.0"/>
        <n v="8.5"/>
        <n v="5.5"/>
        <n v="3.0"/>
        <n v="6.5"/>
        <n v="9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306" firstHeaderRow="0" firstDataRow="1" firstDataCol="0"/>
  <pivotFields>
    <pivotField name="Codigo_lo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mbiente " compact="0" outline="0" multipleItemSelectionAllowed="1" showAll="0">
      <items>
        <item x="0"/>
        <item x="1"/>
        <item t="default"/>
      </items>
    </pivotField>
    <pivotField name="Ponto_Amb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arce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um_Parcel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Longitud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Espécie" axis="axisRow" dataField="1" compact="0" outline="0" multipleItemSelectionAllowed="1" showAll="0" sortType="ascending">
      <items>
        <item x="162"/>
        <item x="221"/>
        <item x="206"/>
        <item x="81"/>
        <item x="149"/>
        <item x="261"/>
        <item x="137"/>
        <item x="20"/>
        <item x="30"/>
        <item x="15"/>
        <item x="6"/>
        <item x="51"/>
        <item x="84"/>
        <item x="248"/>
        <item x="165"/>
        <item x="241"/>
        <item x="46"/>
        <item x="190"/>
        <item x="0"/>
        <item x="175"/>
        <item x="286"/>
        <item x="10"/>
        <item x="189"/>
        <item x="154"/>
        <item x="14"/>
        <item x="37"/>
        <item x="233"/>
        <item x="196"/>
        <item x="301"/>
        <item x="18"/>
        <item x="177"/>
        <item x="259"/>
        <item x="272"/>
        <item x="122"/>
        <item x="8"/>
        <item x="66"/>
        <item x="16"/>
        <item x="58"/>
        <item x="1"/>
        <item x="2"/>
        <item x="3"/>
        <item x="257"/>
        <item x="243"/>
        <item x="287"/>
        <item x="254"/>
        <item x="245"/>
        <item x="144"/>
        <item x="229"/>
        <item x="136"/>
        <item x="125"/>
        <item x="214"/>
        <item x="107"/>
        <item x="161"/>
        <item x="156"/>
        <item x="160"/>
        <item x="105"/>
        <item x="249"/>
        <item x="174"/>
        <item x="204"/>
        <item x="295"/>
        <item x="79"/>
        <item x="225"/>
        <item x="116"/>
        <item x="157"/>
        <item x="255"/>
        <item x="292"/>
        <item x="205"/>
        <item x="211"/>
        <item x="12"/>
        <item x="299"/>
        <item x="296"/>
        <item x="120"/>
        <item x="151"/>
        <item x="159"/>
        <item x="43"/>
        <item x="31"/>
        <item x="201"/>
        <item x="207"/>
        <item x="133"/>
        <item x="69"/>
        <item x="213"/>
        <item x="28"/>
        <item x="166"/>
        <item x="38"/>
        <item x="62"/>
        <item x="64"/>
        <item x="182"/>
        <item x="124"/>
        <item x="181"/>
        <item x="284"/>
        <item x="97"/>
        <item x="70"/>
        <item x="169"/>
        <item x="228"/>
        <item x="217"/>
        <item x="231"/>
        <item x="172"/>
        <item x="283"/>
        <item x="216"/>
        <item x="179"/>
        <item x="77"/>
        <item x="215"/>
        <item x="195"/>
        <item x="252"/>
        <item x="218"/>
        <item x="41"/>
        <item x="85"/>
        <item x="115"/>
        <item x="265"/>
        <item x="232"/>
        <item x="33"/>
        <item x="65"/>
        <item x="17"/>
        <item x="26"/>
        <item x="83"/>
        <item x="282"/>
        <item x="7"/>
        <item x="188"/>
        <item x="240"/>
        <item x="224"/>
        <item x="53"/>
        <item x="44"/>
        <item x="142"/>
        <item x="212"/>
        <item x="110"/>
        <item x="111"/>
        <item x="101"/>
        <item x="24"/>
        <item x="222"/>
        <item x="67"/>
        <item x="25"/>
        <item x="271"/>
        <item x="114"/>
        <item x="203"/>
        <item x="273"/>
        <item x="223"/>
        <item x="95"/>
        <item x="220"/>
        <item x="236"/>
        <item x="281"/>
        <item x="208"/>
        <item x="278"/>
        <item x="227"/>
        <item x="226"/>
        <item x="293"/>
        <item x="209"/>
        <item x="260"/>
        <item x="191"/>
        <item x="152"/>
        <item x="194"/>
        <item x="178"/>
        <item x="288"/>
        <item x="21"/>
        <item x="237"/>
        <item x="183"/>
        <item x="60"/>
        <item x="197"/>
        <item x="294"/>
        <item x="102"/>
        <item x="148"/>
        <item x="4"/>
        <item x="242"/>
        <item x="123"/>
        <item x="246"/>
        <item x="168"/>
        <item x="5"/>
        <item x="32"/>
        <item x="27"/>
        <item x="235"/>
        <item x="127"/>
        <item x="54"/>
        <item x="279"/>
        <item x="117"/>
        <item x="184"/>
        <item x="126"/>
        <item x="187"/>
        <item x="210"/>
        <item x="251"/>
        <item x="45"/>
        <item x="139"/>
        <item x="57"/>
        <item x="269"/>
        <item x="61"/>
        <item x="303"/>
        <item x="72"/>
        <item x="94"/>
        <item x="68"/>
        <item x="300"/>
        <item x="298"/>
        <item x="130"/>
        <item x="155"/>
        <item x="118"/>
        <item x="23"/>
        <item x="99"/>
        <item x="253"/>
        <item x="234"/>
        <item x="275"/>
        <item x="74"/>
        <item x="268"/>
        <item x="262"/>
        <item x="266"/>
        <item x="109"/>
        <item x="276"/>
        <item x="163"/>
        <item x="71"/>
        <item x="98"/>
        <item x="230"/>
        <item x="219"/>
        <item x="75"/>
        <item x="96"/>
        <item x="274"/>
        <item x="263"/>
        <item x="121"/>
        <item x="49"/>
        <item x="247"/>
        <item x="280"/>
        <item x="59"/>
        <item x="185"/>
        <item x="108"/>
        <item x="176"/>
        <item x="50"/>
        <item x="100"/>
        <item x="104"/>
        <item x="199"/>
        <item x="19"/>
        <item x="158"/>
        <item x="34"/>
        <item x="106"/>
        <item x="264"/>
        <item x="131"/>
        <item x="129"/>
        <item x="198"/>
        <item x="285"/>
        <item x="22"/>
        <item x="113"/>
        <item x="90"/>
        <item x="35"/>
        <item x="135"/>
        <item x="186"/>
        <item x="270"/>
        <item x="47"/>
        <item x="88"/>
        <item x="89"/>
        <item x="192"/>
        <item x="143"/>
        <item x="291"/>
        <item x="91"/>
        <item x="258"/>
        <item x="132"/>
        <item x="82"/>
        <item x="63"/>
        <item x="73"/>
        <item x="56"/>
        <item x="55"/>
        <item x="256"/>
        <item x="29"/>
        <item x="277"/>
        <item x="36"/>
        <item x="250"/>
        <item x="290"/>
        <item x="153"/>
        <item x="171"/>
        <item x="140"/>
        <item x="92"/>
        <item x="267"/>
        <item x="39"/>
        <item x="297"/>
        <item x="80"/>
        <item x="238"/>
        <item x="78"/>
        <item x="128"/>
        <item x="112"/>
        <item x="202"/>
        <item x="9"/>
        <item x="200"/>
        <item x="193"/>
        <item x="93"/>
        <item x="289"/>
        <item x="42"/>
        <item x="138"/>
        <item x="134"/>
        <item x="13"/>
        <item x="119"/>
        <item x="180"/>
        <item x="145"/>
        <item x="167"/>
        <item x="52"/>
        <item x="40"/>
        <item x="48"/>
        <item x="11"/>
        <item x="146"/>
        <item x="86"/>
        <item x="173"/>
        <item x="170"/>
        <item x="76"/>
        <item x="302"/>
        <item x="164"/>
        <item x="239"/>
        <item x="87"/>
        <item x="244"/>
        <item x="141"/>
        <item x="103"/>
        <item x="150"/>
        <item x="147"/>
        <item t="default"/>
      </items>
    </pivotField>
  </pivotFields>
  <rowFields>
    <field x="9"/>
  </rowFields>
  <dataFields>
    <dataField name="COUNTA of Espécie" fld="9" subtotal="count" baseField="0"/>
  </dataFields>
</pivotTableDefinition>
</file>

<file path=xl/pivotTables/pivotTable2.xml><?xml version="1.0" encoding="utf-8"?>
<pivotTableDefinition xmlns="http://schemas.openxmlformats.org/spreadsheetml/2006/main" name="Tabela dinâmica 2" cacheId="1" dataCaption="" compact="0" compactData="0">
  <location ref="A1:D56" firstHeaderRow="0" firstDataRow="1" firstDataCol="1"/>
  <pivotFields>
    <pivotField name="Codigo_local" compact="0" outline="0" multipleItemSelectionAllowed="1" showAll="0">
      <items>
        <item x="0"/>
        <item t="default"/>
      </items>
    </pivotField>
    <pivotField name="Local" compact="0" outline="0" multipleItemSelectionAllowed="1" showAll="0">
      <items>
        <item x="0"/>
        <item t="default"/>
      </items>
    </pivotField>
    <pivotField name="Ambiente " axis="axisCol" compact="0" outline="0" multipleItemSelectionAllowed="1" showAll="0" sortType="ascending">
      <items>
        <item x="0"/>
        <item x="1"/>
        <item t="default"/>
      </items>
    </pivotField>
    <pivotField name="Ponto_Ambiente" compact="0" outline="0" multipleItemSelectionAllowed="1" showAll="0">
      <items>
        <item x="0"/>
        <item x="1"/>
        <item t="default"/>
      </items>
    </pivotField>
    <pivotField name="Parcel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um_Parcel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titu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ongitude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Espécie" axis="axisRow" compact="0" outline="0" multipleItemSelectionAllowed="1" showAll="0" sortType="ascending">
      <items>
        <item x="20"/>
        <item x="30"/>
        <item x="15"/>
        <item x="6"/>
        <item x="51"/>
        <item x="46"/>
        <item x="0"/>
        <item x="10"/>
        <item x="14"/>
        <item x="37"/>
        <item x="18"/>
        <item x="8"/>
        <item x="16"/>
        <item x="1"/>
        <item x="2"/>
        <item x="3"/>
        <item x="12"/>
        <item x="43"/>
        <item x="31"/>
        <item x="28"/>
        <item x="38"/>
        <item x="41"/>
        <item x="33"/>
        <item x="17"/>
        <item x="26"/>
        <item x="7"/>
        <item x="44"/>
        <item x="24"/>
        <item x="25"/>
        <item x="21"/>
        <item x="4"/>
        <item x="5"/>
        <item x="32"/>
        <item x="27"/>
        <item x="45"/>
        <item x="23"/>
        <item x="49"/>
        <item x="50"/>
        <item x="19"/>
        <item x="34"/>
        <item x="22"/>
        <item x="35"/>
        <item x="47"/>
        <item x="29"/>
        <item x="36"/>
        <item x="39"/>
        <item x="9"/>
        <item x="42"/>
        <item x="13"/>
        <item x="52"/>
        <item x="40"/>
        <item x="48"/>
        <item x="11"/>
        <item t="default"/>
      </items>
    </pivotField>
    <pivotField name="Espécie_Atualizad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f. identificação sp. " compact="0" outline="0" multipleItemSelectionAllowed="1" showAll="0">
      <items>
        <item x="0"/>
        <item x="1"/>
        <item t="default"/>
      </items>
    </pivotField>
    <pivotField name="P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Al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9"/>
  </rowFields>
  <colFields>
    <field x="2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30.88"/>
    <col customWidth="1" min="3" max="4" width="21.13"/>
    <col customWidth="1" min="5" max="5" width="19.25"/>
    <col customWidth="1" min="6" max="6" width="18.88"/>
    <col customWidth="1" min="7" max="7" width="17.63"/>
    <col customWidth="1" min="8" max="8" width="22.38"/>
    <col customWidth="1" min="10" max="11" width="26.25"/>
    <col customWidth="1" min="12" max="12" width="29.88"/>
    <col customWidth="1" min="13" max="13" width="22.13"/>
    <col customWidth="1" min="14" max="14" width="30.0"/>
    <col customWidth="1" min="15" max="15" width="38.25"/>
    <col customWidth="1" min="16" max="16" width="33.63"/>
    <col customWidth="1" min="17" max="17" width="51.63"/>
    <col customWidth="1" min="18" max="18" width="2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5.75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1.0</v>
      </c>
      <c r="G2" s="4">
        <v>-27.61388889</v>
      </c>
      <c r="H2" s="4">
        <v>-48.505</v>
      </c>
      <c r="I2" s="3">
        <v>1.0</v>
      </c>
      <c r="J2" s="5" t="s">
        <v>22</v>
      </c>
      <c r="K2" s="5" t="s">
        <v>22</v>
      </c>
      <c r="L2" s="3"/>
      <c r="M2" s="5" t="s">
        <v>23</v>
      </c>
      <c r="N2" s="5">
        <v>5.0</v>
      </c>
      <c r="O2" s="3"/>
      <c r="P2" s="3"/>
      <c r="Q2" s="3"/>
      <c r="R2" s="6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5.75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>
        <v>1.0</v>
      </c>
      <c r="G3" s="4">
        <v>-27.61388889</v>
      </c>
      <c r="H3" s="4">
        <v>-48.505</v>
      </c>
      <c r="I3" s="3">
        <v>2.0</v>
      </c>
      <c r="J3" s="5" t="s">
        <v>24</v>
      </c>
      <c r="K3" s="5" t="s">
        <v>24</v>
      </c>
      <c r="L3" s="3"/>
      <c r="M3" s="5">
        <v>28.0</v>
      </c>
      <c r="N3" s="5">
        <v>7.0</v>
      </c>
      <c r="O3" s="3"/>
      <c r="P3" s="3"/>
      <c r="Q3" s="3"/>
      <c r="R3" s="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5.75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>
        <v>1.0</v>
      </c>
      <c r="G4" s="4">
        <v>-27.61388889</v>
      </c>
      <c r="H4" s="4">
        <v>-48.505</v>
      </c>
      <c r="I4" s="3">
        <v>3.0</v>
      </c>
      <c r="J4" s="5" t="s">
        <v>22</v>
      </c>
      <c r="K4" s="5" t="s">
        <v>22</v>
      </c>
      <c r="L4" s="3"/>
      <c r="M4" s="5" t="s">
        <v>25</v>
      </c>
      <c r="N4" s="5">
        <v>6.0</v>
      </c>
      <c r="O4" s="3"/>
      <c r="P4" s="3"/>
      <c r="Q4" s="3"/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5.75" customHeight="1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1.0</v>
      </c>
      <c r="G5" s="4">
        <v>-27.61388889</v>
      </c>
      <c r="H5" s="4">
        <v>-48.505</v>
      </c>
      <c r="I5" s="3">
        <v>4.0</v>
      </c>
      <c r="J5" s="5" t="s">
        <v>26</v>
      </c>
      <c r="K5" s="5" t="s">
        <v>26</v>
      </c>
      <c r="L5" s="3"/>
      <c r="M5" s="5">
        <v>75.0</v>
      </c>
      <c r="N5" s="5">
        <v>9.0</v>
      </c>
      <c r="O5" s="3"/>
      <c r="P5" s="3"/>
      <c r="Q5" s="3"/>
      <c r="R5" s="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15.75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>
        <v>1.0</v>
      </c>
      <c r="G6" s="4">
        <v>-27.61388889</v>
      </c>
      <c r="H6" s="4">
        <v>-48.505</v>
      </c>
      <c r="I6" s="3">
        <v>5.0</v>
      </c>
      <c r="J6" s="5" t="s">
        <v>27</v>
      </c>
      <c r="K6" s="5" t="s">
        <v>27</v>
      </c>
      <c r="L6" s="3"/>
      <c r="M6" s="5">
        <v>36.5</v>
      </c>
      <c r="N6" s="5">
        <v>8.0</v>
      </c>
      <c r="O6" s="3"/>
      <c r="P6" s="3"/>
      <c r="Q6" s="3"/>
      <c r="R6" s="6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15.75" customHeight="1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  <c r="F7" s="3">
        <v>1.0</v>
      </c>
      <c r="G7" s="4">
        <v>-27.61388889</v>
      </c>
      <c r="H7" s="4">
        <v>-48.505</v>
      </c>
      <c r="I7" s="3">
        <v>6.0</v>
      </c>
      <c r="J7" s="5" t="s">
        <v>24</v>
      </c>
      <c r="K7" s="5" t="s">
        <v>24</v>
      </c>
      <c r="L7" s="3"/>
      <c r="M7" s="5">
        <v>53.0</v>
      </c>
      <c r="N7" s="5">
        <v>7.0</v>
      </c>
      <c r="O7" s="3"/>
      <c r="P7" s="3"/>
      <c r="Q7" s="3"/>
      <c r="R7" s="6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15.75" customHeight="1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>
        <v>1.0</v>
      </c>
      <c r="G8" s="4">
        <v>-27.61388889</v>
      </c>
      <c r="H8" s="4">
        <v>-48.505</v>
      </c>
      <c r="I8" s="3">
        <v>7.0</v>
      </c>
      <c r="J8" s="5" t="s">
        <v>27</v>
      </c>
      <c r="K8" s="5" t="s">
        <v>27</v>
      </c>
      <c r="L8" s="3"/>
      <c r="M8" s="5">
        <v>17.0</v>
      </c>
      <c r="N8" s="5">
        <v>4.0</v>
      </c>
      <c r="O8" s="3"/>
      <c r="P8" s="3"/>
      <c r="Q8" s="3"/>
      <c r="R8" s="6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15.75" customHeight="1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>
        <v>1.0</v>
      </c>
      <c r="G9" s="4">
        <v>-27.61388889</v>
      </c>
      <c r="H9" s="4">
        <v>-48.505</v>
      </c>
      <c r="I9" s="3">
        <v>8.0</v>
      </c>
      <c r="J9" s="5" t="s">
        <v>28</v>
      </c>
      <c r="K9" s="5" t="s">
        <v>28</v>
      </c>
      <c r="L9" s="3"/>
      <c r="M9" s="5" t="s">
        <v>29</v>
      </c>
      <c r="N9" s="5">
        <v>6.0</v>
      </c>
      <c r="O9" s="3"/>
      <c r="P9" s="3"/>
      <c r="Q9" s="3"/>
      <c r="R9" s="6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15.75" customHeight="1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>
        <v>1.0</v>
      </c>
      <c r="G10" s="4">
        <v>-27.61388889</v>
      </c>
      <c r="H10" s="4">
        <v>-48.505</v>
      </c>
      <c r="I10" s="3">
        <v>9.0</v>
      </c>
      <c r="J10" s="5" t="s">
        <v>22</v>
      </c>
      <c r="K10" s="5" t="s">
        <v>22</v>
      </c>
      <c r="L10" s="3"/>
      <c r="M10" s="5">
        <v>18.0</v>
      </c>
      <c r="N10" s="5">
        <v>4.0</v>
      </c>
      <c r="O10" s="3"/>
      <c r="P10" s="3"/>
      <c r="Q10" s="3"/>
      <c r="R10" s="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15.75" customHeight="1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>
        <v>1.0</v>
      </c>
      <c r="G11" s="4">
        <v>-27.61388889</v>
      </c>
      <c r="H11" s="4">
        <v>-48.505</v>
      </c>
      <c r="I11" s="3">
        <v>10.0</v>
      </c>
      <c r="J11" s="5" t="s">
        <v>30</v>
      </c>
      <c r="K11" s="5" t="s">
        <v>30</v>
      </c>
      <c r="L11" s="3"/>
      <c r="M11" s="5">
        <v>31.0</v>
      </c>
      <c r="N11" s="5">
        <v>7.0</v>
      </c>
      <c r="O11" s="3"/>
      <c r="P11" s="3"/>
      <c r="Q11" s="3"/>
      <c r="R11" s="6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15.75" customHeight="1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>
        <v>1.0</v>
      </c>
      <c r="G12" s="4">
        <v>-27.61388889</v>
      </c>
      <c r="H12" s="4">
        <v>-48.505</v>
      </c>
      <c r="I12" s="3">
        <v>11.0</v>
      </c>
      <c r="J12" s="5" t="s">
        <v>22</v>
      </c>
      <c r="K12" s="5" t="s">
        <v>22</v>
      </c>
      <c r="L12" s="3"/>
      <c r="M12" s="5">
        <v>33.5</v>
      </c>
      <c r="N12" s="5">
        <v>9.0</v>
      </c>
      <c r="O12" s="3"/>
      <c r="P12" s="3"/>
      <c r="Q12" s="3"/>
      <c r="R12" s="6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15.75" customHeight="1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>
        <v>1.0</v>
      </c>
      <c r="G13" s="4">
        <v>-27.61388889</v>
      </c>
      <c r="H13" s="4">
        <v>-48.505</v>
      </c>
      <c r="I13" s="3">
        <v>12.0</v>
      </c>
      <c r="J13" s="5" t="s">
        <v>31</v>
      </c>
      <c r="K13" s="5" t="s">
        <v>31</v>
      </c>
      <c r="L13" s="3"/>
      <c r="M13" s="5">
        <v>30.0</v>
      </c>
      <c r="N13" s="5">
        <v>7.0</v>
      </c>
      <c r="O13" s="3"/>
      <c r="P13" s="3"/>
      <c r="Q13" s="3"/>
      <c r="R13" s="6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15.75" customHeight="1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>
        <v>1.0</v>
      </c>
      <c r="G14" s="4">
        <v>-27.61388889</v>
      </c>
      <c r="H14" s="4">
        <v>-48.505</v>
      </c>
      <c r="I14" s="3">
        <v>13.0</v>
      </c>
      <c r="J14" s="5" t="s">
        <v>22</v>
      </c>
      <c r="K14" s="5" t="s">
        <v>22</v>
      </c>
      <c r="L14" s="3"/>
      <c r="M14" s="5" t="s">
        <v>32</v>
      </c>
      <c r="N14" s="5">
        <v>8.0</v>
      </c>
      <c r="O14" s="3"/>
      <c r="P14" s="3"/>
      <c r="Q14" s="3"/>
      <c r="R14" s="6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15.75" customHeight="1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21</v>
      </c>
      <c r="F15" s="3">
        <v>1.0</v>
      </c>
      <c r="G15" s="4">
        <v>-27.61388889</v>
      </c>
      <c r="H15" s="4">
        <v>-48.505</v>
      </c>
      <c r="I15" s="3">
        <v>14.0</v>
      </c>
      <c r="J15" s="5" t="s">
        <v>27</v>
      </c>
      <c r="K15" s="5" t="s">
        <v>27</v>
      </c>
      <c r="L15" s="3"/>
      <c r="M15" s="5">
        <v>56.0</v>
      </c>
      <c r="N15" s="5">
        <v>12.0</v>
      </c>
      <c r="O15" s="3"/>
      <c r="P15" s="3"/>
      <c r="Q15" s="3"/>
      <c r="R15" s="6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15.75" customHeight="1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  <c r="F16" s="3">
        <v>1.0</v>
      </c>
      <c r="G16" s="4">
        <v>-27.61388889</v>
      </c>
      <c r="H16" s="4">
        <v>-48.505</v>
      </c>
      <c r="I16" s="3">
        <v>15.0</v>
      </c>
      <c r="J16" s="5" t="s">
        <v>33</v>
      </c>
      <c r="K16" s="5" t="s">
        <v>33</v>
      </c>
      <c r="L16" s="3"/>
      <c r="M16" s="5">
        <v>82.5</v>
      </c>
      <c r="N16" s="5">
        <v>14.0</v>
      </c>
      <c r="O16" s="3"/>
      <c r="P16" s="3"/>
      <c r="Q16" s="3"/>
      <c r="R16" s="6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15.75" customHeight="1">
      <c r="A17" s="3" t="s">
        <v>17</v>
      </c>
      <c r="B17" s="3" t="s">
        <v>18</v>
      </c>
      <c r="C17" s="3" t="s">
        <v>19</v>
      </c>
      <c r="D17" s="3" t="s">
        <v>20</v>
      </c>
      <c r="E17" s="3" t="s">
        <v>21</v>
      </c>
      <c r="F17" s="3">
        <v>1.0</v>
      </c>
      <c r="G17" s="4">
        <v>-27.61388889</v>
      </c>
      <c r="H17" s="4">
        <v>-48.505</v>
      </c>
      <c r="I17" s="3">
        <v>16.0</v>
      </c>
      <c r="J17" s="5" t="s">
        <v>34</v>
      </c>
      <c r="K17" s="5" t="s">
        <v>34</v>
      </c>
      <c r="L17" s="3"/>
      <c r="M17" s="5" t="s">
        <v>35</v>
      </c>
      <c r="N17" s="5">
        <v>7.0</v>
      </c>
      <c r="O17" s="3"/>
      <c r="P17" s="3"/>
      <c r="Q17" s="3"/>
      <c r="R17" s="6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15.75" customHeight="1">
      <c r="A18" s="3" t="s">
        <v>17</v>
      </c>
      <c r="B18" s="3" t="s">
        <v>18</v>
      </c>
      <c r="C18" s="3" t="s">
        <v>19</v>
      </c>
      <c r="D18" s="3" t="s">
        <v>20</v>
      </c>
      <c r="E18" s="3" t="s">
        <v>21</v>
      </c>
      <c r="F18" s="3">
        <v>1.0</v>
      </c>
      <c r="G18" s="4">
        <v>-27.61388889</v>
      </c>
      <c r="H18" s="4">
        <v>-48.505</v>
      </c>
      <c r="I18" s="3">
        <v>17.0</v>
      </c>
      <c r="J18" s="5" t="s">
        <v>22</v>
      </c>
      <c r="K18" s="5" t="s">
        <v>22</v>
      </c>
      <c r="L18" s="3"/>
      <c r="M18" s="5">
        <v>55.0</v>
      </c>
      <c r="N18" s="5">
        <v>9.0</v>
      </c>
      <c r="O18" s="3"/>
      <c r="P18" s="3"/>
      <c r="Q18" s="3"/>
      <c r="R18" s="6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15.75" customHeight="1">
      <c r="A19" s="3" t="s">
        <v>17</v>
      </c>
      <c r="B19" s="3" t="s">
        <v>18</v>
      </c>
      <c r="C19" s="3" t="s">
        <v>19</v>
      </c>
      <c r="D19" s="3" t="s">
        <v>20</v>
      </c>
      <c r="E19" s="3" t="s">
        <v>21</v>
      </c>
      <c r="F19" s="3">
        <v>1.0</v>
      </c>
      <c r="G19" s="4">
        <v>-27.61388889</v>
      </c>
      <c r="H19" s="4">
        <v>-48.505</v>
      </c>
      <c r="I19" s="3">
        <v>18.0</v>
      </c>
      <c r="J19" s="5" t="s">
        <v>30</v>
      </c>
      <c r="K19" s="5" t="s">
        <v>30</v>
      </c>
      <c r="L19" s="3"/>
      <c r="M19" s="5">
        <v>26.5</v>
      </c>
      <c r="N19" s="5">
        <v>10.0</v>
      </c>
      <c r="O19" s="3"/>
      <c r="P19" s="3"/>
      <c r="Q19" s="3"/>
      <c r="R19" s="6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15.75" customHeight="1">
      <c r="A20" s="3" t="s">
        <v>17</v>
      </c>
      <c r="B20" s="3" t="s">
        <v>18</v>
      </c>
      <c r="C20" s="3" t="s">
        <v>19</v>
      </c>
      <c r="D20" s="3" t="s">
        <v>20</v>
      </c>
      <c r="E20" s="3" t="s">
        <v>36</v>
      </c>
      <c r="F20" s="3">
        <v>2.0</v>
      </c>
      <c r="G20" s="4">
        <v>-27.61411</v>
      </c>
      <c r="H20" s="4">
        <v>-48.50516</v>
      </c>
      <c r="I20" s="5">
        <v>1.0</v>
      </c>
      <c r="J20" s="5" t="s">
        <v>37</v>
      </c>
      <c r="K20" s="5" t="s">
        <v>37</v>
      </c>
      <c r="L20" s="3"/>
      <c r="M20" s="5" t="s">
        <v>38</v>
      </c>
      <c r="N20" s="5">
        <v>5.0</v>
      </c>
      <c r="O20" s="3"/>
      <c r="P20" s="3"/>
      <c r="Q20" s="3"/>
      <c r="R20" s="6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5.75" customHeight="1">
      <c r="A21" s="3" t="s">
        <v>17</v>
      </c>
      <c r="B21" s="3" t="s">
        <v>18</v>
      </c>
      <c r="C21" s="3" t="s">
        <v>19</v>
      </c>
      <c r="D21" s="3" t="s">
        <v>20</v>
      </c>
      <c r="E21" s="3" t="s">
        <v>36</v>
      </c>
      <c r="F21" s="3">
        <v>2.0</v>
      </c>
      <c r="G21" s="4">
        <v>-27.61411</v>
      </c>
      <c r="H21" s="4">
        <v>-48.50516</v>
      </c>
      <c r="I21" s="5">
        <v>2.0</v>
      </c>
      <c r="J21" s="5" t="s">
        <v>31</v>
      </c>
      <c r="K21" s="5" t="s">
        <v>31</v>
      </c>
      <c r="L21" s="3"/>
      <c r="M21" s="5" t="s">
        <v>39</v>
      </c>
      <c r="N21" s="5">
        <v>10.0</v>
      </c>
      <c r="O21" s="3"/>
      <c r="P21" s="3"/>
      <c r="Q21" s="3"/>
      <c r="R21" s="6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5.75" customHeight="1">
      <c r="A22" s="3" t="s">
        <v>17</v>
      </c>
      <c r="B22" s="3" t="s">
        <v>18</v>
      </c>
      <c r="C22" s="3" t="s">
        <v>19</v>
      </c>
      <c r="D22" s="3" t="s">
        <v>20</v>
      </c>
      <c r="E22" s="3" t="s">
        <v>36</v>
      </c>
      <c r="F22" s="3">
        <v>2.0</v>
      </c>
      <c r="G22" s="4">
        <v>-27.61411</v>
      </c>
      <c r="H22" s="4">
        <v>-48.50516</v>
      </c>
      <c r="I22" s="5">
        <v>3.0</v>
      </c>
      <c r="J22" s="5" t="s">
        <v>24</v>
      </c>
      <c r="K22" s="5" t="s">
        <v>24</v>
      </c>
      <c r="L22" s="3"/>
      <c r="M22" s="5">
        <v>26.5</v>
      </c>
      <c r="N22" s="5">
        <v>7.0</v>
      </c>
      <c r="O22" s="3"/>
      <c r="P22" s="3"/>
      <c r="Q22" s="3"/>
      <c r="R22" s="6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15.75" customHeight="1">
      <c r="A23" s="3" t="s">
        <v>17</v>
      </c>
      <c r="B23" s="3" t="s">
        <v>18</v>
      </c>
      <c r="C23" s="3" t="s">
        <v>19</v>
      </c>
      <c r="D23" s="3" t="s">
        <v>20</v>
      </c>
      <c r="E23" s="3" t="s">
        <v>36</v>
      </c>
      <c r="F23" s="3">
        <v>2.0</v>
      </c>
      <c r="G23" s="4">
        <v>-27.61411</v>
      </c>
      <c r="H23" s="4">
        <v>-48.50516</v>
      </c>
      <c r="I23" s="5">
        <v>4.0</v>
      </c>
      <c r="J23" s="5" t="s">
        <v>40</v>
      </c>
      <c r="K23" s="5" t="s">
        <v>40</v>
      </c>
      <c r="L23" s="3"/>
      <c r="M23" s="5">
        <v>50.0</v>
      </c>
      <c r="N23" s="5">
        <v>14.0</v>
      </c>
      <c r="O23" s="3"/>
      <c r="P23" s="3"/>
      <c r="Q23" s="3"/>
      <c r="R23" s="6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5.75" customHeight="1">
      <c r="A24" s="3" t="s">
        <v>17</v>
      </c>
      <c r="B24" s="3" t="s">
        <v>18</v>
      </c>
      <c r="C24" s="3" t="s">
        <v>19</v>
      </c>
      <c r="D24" s="3" t="s">
        <v>20</v>
      </c>
      <c r="E24" s="3" t="s">
        <v>36</v>
      </c>
      <c r="F24" s="3">
        <v>2.0</v>
      </c>
      <c r="G24" s="4">
        <v>-27.61411</v>
      </c>
      <c r="H24" s="4">
        <v>-48.50516</v>
      </c>
      <c r="I24" s="5">
        <v>5.0</v>
      </c>
      <c r="J24" s="5" t="s">
        <v>31</v>
      </c>
      <c r="K24" s="5" t="s">
        <v>31</v>
      </c>
      <c r="L24" s="3"/>
      <c r="M24" s="5">
        <v>26.5</v>
      </c>
      <c r="N24" s="5">
        <v>4.0</v>
      </c>
      <c r="O24" s="3"/>
      <c r="P24" s="3"/>
      <c r="Q24" s="3"/>
      <c r="R24" s="6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5.75" customHeight="1">
      <c r="A25" s="3" t="s">
        <v>17</v>
      </c>
      <c r="B25" s="3" t="s">
        <v>18</v>
      </c>
      <c r="C25" s="3" t="s">
        <v>19</v>
      </c>
      <c r="D25" s="3" t="s">
        <v>20</v>
      </c>
      <c r="E25" s="3" t="s">
        <v>36</v>
      </c>
      <c r="F25" s="3">
        <v>2.0</v>
      </c>
      <c r="G25" s="4">
        <v>-27.61411</v>
      </c>
      <c r="H25" s="4">
        <v>-48.50516</v>
      </c>
      <c r="I25" s="5">
        <v>6.0</v>
      </c>
      <c r="J25" s="5" t="s">
        <v>41</v>
      </c>
      <c r="K25" s="5" t="s">
        <v>41</v>
      </c>
      <c r="L25" s="3"/>
      <c r="M25" s="5">
        <v>33.0</v>
      </c>
      <c r="N25" s="5">
        <v>12.0</v>
      </c>
      <c r="O25" s="3"/>
      <c r="P25" s="3"/>
      <c r="Q25" s="3"/>
      <c r="R25" s="6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5.75" customHeight="1">
      <c r="A26" s="3" t="s">
        <v>17</v>
      </c>
      <c r="B26" s="3" t="s">
        <v>18</v>
      </c>
      <c r="C26" s="3" t="s">
        <v>19</v>
      </c>
      <c r="D26" s="3" t="s">
        <v>20</v>
      </c>
      <c r="E26" s="3" t="s">
        <v>36</v>
      </c>
      <c r="F26" s="3">
        <v>2.0</v>
      </c>
      <c r="G26" s="4">
        <v>-27.61411</v>
      </c>
      <c r="H26" s="4">
        <v>-48.50516</v>
      </c>
      <c r="I26" s="5">
        <v>7.0</v>
      </c>
      <c r="J26" s="5" t="s">
        <v>37</v>
      </c>
      <c r="K26" s="5" t="s">
        <v>37</v>
      </c>
      <c r="L26" s="3"/>
      <c r="M26" s="5">
        <v>24.0</v>
      </c>
      <c r="N26" s="5">
        <v>12.0</v>
      </c>
      <c r="O26" s="3"/>
      <c r="P26" s="3"/>
      <c r="Q26" s="3"/>
      <c r="R26" s="6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15.75" customHeight="1">
      <c r="A27" s="3" t="s">
        <v>17</v>
      </c>
      <c r="B27" s="3" t="s">
        <v>18</v>
      </c>
      <c r="C27" s="3" t="s">
        <v>19</v>
      </c>
      <c r="D27" s="3" t="s">
        <v>20</v>
      </c>
      <c r="E27" s="3" t="s">
        <v>36</v>
      </c>
      <c r="F27" s="3">
        <v>2.0</v>
      </c>
      <c r="G27" s="4">
        <v>-27.61411</v>
      </c>
      <c r="H27" s="4">
        <v>-48.50516</v>
      </c>
      <c r="I27" s="5">
        <v>8.0</v>
      </c>
      <c r="J27" s="5" t="s">
        <v>41</v>
      </c>
      <c r="K27" s="5" t="s">
        <v>41</v>
      </c>
      <c r="L27" s="3"/>
      <c r="M27" s="5" t="s">
        <v>42</v>
      </c>
      <c r="N27" s="5">
        <v>7.0</v>
      </c>
      <c r="O27" s="3"/>
      <c r="P27" s="3"/>
      <c r="Q27" s="3"/>
      <c r="R27" s="6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15.75" customHeight="1">
      <c r="A28" s="3" t="s">
        <v>17</v>
      </c>
      <c r="B28" s="3" t="s">
        <v>18</v>
      </c>
      <c r="C28" s="3" t="s">
        <v>19</v>
      </c>
      <c r="D28" s="3" t="s">
        <v>20</v>
      </c>
      <c r="E28" s="3" t="s">
        <v>36</v>
      </c>
      <c r="F28" s="3">
        <v>2.0</v>
      </c>
      <c r="G28" s="4">
        <v>-27.61411</v>
      </c>
      <c r="H28" s="4">
        <v>-48.50516</v>
      </c>
      <c r="I28" s="5">
        <v>9.0</v>
      </c>
      <c r="J28" s="5" t="s">
        <v>24</v>
      </c>
      <c r="K28" s="5" t="s">
        <v>24</v>
      </c>
      <c r="L28" s="3"/>
      <c r="M28" s="5">
        <v>57.5</v>
      </c>
      <c r="N28" s="5">
        <v>12.0</v>
      </c>
      <c r="O28" s="3"/>
      <c r="P28" s="3"/>
      <c r="Q28" s="3"/>
      <c r="R28" s="6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5.75" customHeight="1">
      <c r="A29" s="3" t="s">
        <v>17</v>
      </c>
      <c r="B29" s="3" t="s">
        <v>18</v>
      </c>
      <c r="C29" s="3" t="s">
        <v>19</v>
      </c>
      <c r="D29" s="3" t="s">
        <v>20</v>
      </c>
      <c r="E29" s="3" t="s">
        <v>36</v>
      </c>
      <c r="F29" s="3">
        <v>2.0</v>
      </c>
      <c r="G29" s="4">
        <v>-27.61411</v>
      </c>
      <c r="H29" s="4">
        <v>-48.50516</v>
      </c>
      <c r="I29" s="5">
        <v>10.0</v>
      </c>
      <c r="J29" s="5" t="s">
        <v>31</v>
      </c>
      <c r="K29" s="5" t="s">
        <v>31</v>
      </c>
      <c r="L29" s="3"/>
      <c r="M29" s="5">
        <v>47.5</v>
      </c>
      <c r="N29" s="5">
        <v>10.0</v>
      </c>
      <c r="O29" s="3"/>
      <c r="P29" s="3"/>
      <c r="Q29" s="3"/>
      <c r="R29" s="6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15.75" customHeight="1">
      <c r="A30" s="3" t="s">
        <v>17</v>
      </c>
      <c r="B30" s="3" t="s">
        <v>18</v>
      </c>
      <c r="C30" s="3" t="s">
        <v>19</v>
      </c>
      <c r="D30" s="3" t="s">
        <v>20</v>
      </c>
      <c r="E30" s="3" t="s">
        <v>36</v>
      </c>
      <c r="F30" s="3">
        <v>2.0</v>
      </c>
      <c r="G30" s="4">
        <v>-27.61411</v>
      </c>
      <c r="H30" s="4">
        <v>-48.50516</v>
      </c>
      <c r="I30" s="5">
        <v>11.0</v>
      </c>
      <c r="J30" s="5" t="s">
        <v>31</v>
      </c>
      <c r="K30" s="5" t="s">
        <v>31</v>
      </c>
      <c r="L30" s="3"/>
      <c r="M30" s="5">
        <v>37.0</v>
      </c>
      <c r="N30" s="5">
        <v>8.0</v>
      </c>
      <c r="O30" s="3"/>
      <c r="P30" s="3"/>
      <c r="Q30" s="3"/>
      <c r="R30" s="6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5.75" customHeight="1">
      <c r="A31" s="3" t="s">
        <v>17</v>
      </c>
      <c r="B31" s="3" t="s">
        <v>18</v>
      </c>
      <c r="C31" s="3" t="s">
        <v>19</v>
      </c>
      <c r="D31" s="3" t="s">
        <v>20</v>
      </c>
      <c r="E31" s="3" t="s">
        <v>36</v>
      </c>
      <c r="F31" s="3">
        <v>2.0</v>
      </c>
      <c r="G31" s="4">
        <v>-27.61411</v>
      </c>
      <c r="H31" s="4">
        <v>-48.50516</v>
      </c>
      <c r="I31" s="5">
        <v>12.0</v>
      </c>
      <c r="J31" s="5" t="s">
        <v>43</v>
      </c>
      <c r="K31" s="5" t="s">
        <v>43</v>
      </c>
      <c r="L31" s="3"/>
      <c r="M31" s="5" t="s">
        <v>44</v>
      </c>
      <c r="N31" s="5">
        <v>13.0</v>
      </c>
      <c r="O31" s="3"/>
      <c r="P31" s="3"/>
      <c r="Q31" s="3"/>
      <c r="R31" s="6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15.75" customHeight="1">
      <c r="A32" s="3" t="s">
        <v>17</v>
      </c>
      <c r="B32" s="3" t="s">
        <v>18</v>
      </c>
      <c r="C32" s="3" t="s">
        <v>19</v>
      </c>
      <c r="D32" s="3" t="s">
        <v>20</v>
      </c>
      <c r="E32" s="3" t="s">
        <v>36</v>
      </c>
      <c r="F32" s="3">
        <v>2.0</v>
      </c>
      <c r="G32" s="4">
        <v>-27.61411</v>
      </c>
      <c r="H32" s="4">
        <v>-48.50516</v>
      </c>
      <c r="I32" s="5">
        <v>13.0</v>
      </c>
      <c r="J32" s="5" t="s">
        <v>31</v>
      </c>
      <c r="K32" s="5" t="s">
        <v>31</v>
      </c>
      <c r="L32" s="3"/>
      <c r="M32" s="5" t="s">
        <v>45</v>
      </c>
      <c r="N32" s="3"/>
      <c r="O32" s="3"/>
      <c r="P32" s="3"/>
      <c r="Q32" s="3"/>
      <c r="R32" s="6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15.75" customHeight="1">
      <c r="A33" s="3" t="s">
        <v>17</v>
      </c>
      <c r="B33" s="3" t="s">
        <v>18</v>
      </c>
      <c r="C33" s="3" t="s">
        <v>19</v>
      </c>
      <c r="D33" s="3" t="s">
        <v>20</v>
      </c>
      <c r="E33" s="3" t="s">
        <v>46</v>
      </c>
      <c r="F33" s="3">
        <v>3.0</v>
      </c>
      <c r="G33" s="4">
        <v>-27.61431</v>
      </c>
      <c r="H33" s="4">
        <v>-48.50521</v>
      </c>
      <c r="I33" s="3">
        <v>1.0</v>
      </c>
      <c r="J33" s="5" t="s">
        <v>31</v>
      </c>
      <c r="K33" s="5" t="s">
        <v>31</v>
      </c>
      <c r="L33" s="3"/>
      <c r="M33" s="5">
        <v>22.0</v>
      </c>
      <c r="N33" s="5">
        <v>5.0</v>
      </c>
      <c r="O33" s="3"/>
      <c r="P33" s="3"/>
      <c r="Q33" s="3"/>
      <c r="R33" s="6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15.75" customHeight="1">
      <c r="A34" s="3" t="s">
        <v>17</v>
      </c>
      <c r="B34" s="3" t="s">
        <v>18</v>
      </c>
      <c r="C34" s="3" t="s">
        <v>19</v>
      </c>
      <c r="D34" s="3" t="s">
        <v>20</v>
      </c>
      <c r="E34" s="3" t="s">
        <v>46</v>
      </c>
      <c r="F34" s="3">
        <v>3.0</v>
      </c>
      <c r="G34" s="4">
        <v>-27.61431</v>
      </c>
      <c r="H34" s="4">
        <v>-48.50521</v>
      </c>
      <c r="I34" s="3">
        <v>2.0</v>
      </c>
      <c r="J34" s="5" t="s">
        <v>24</v>
      </c>
      <c r="K34" s="5" t="s">
        <v>24</v>
      </c>
      <c r="L34" s="3"/>
      <c r="M34" s="5">
        <v>15.5</v>
      </c>
      <c r="N34" s="5">
        <v>5.0</v>
      </c>
      <c r="O34" s="3"/>
      <c r="P34" s="3"/>
      <c r="Q34" s="3"/>
      <c r="R34" s="6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15.75" customHeight="1">
      <c r="A35" s="3" t="s">
        <v>17</v>
      </c>
      <c r="B35" s="3" t="s">
        <v>18</v>
      </c>
      <c r="C35" s="3" t="s">
        <v>19</v>
      </c>
      <c r="D35" s="3" t="s">
        <v>20</v>
      </c>
      <c r="E35" s="3" t="s">
        <v>46</v>
      </c>
      <c r="F35" s="3">
        <v>3.0</v>
      </c>
      <c r="G35" s="4">
        <v>-27.61431</v>
      </c>
      <c r="H35" s="4">
        <v>-48.50521</v>
      </c>
      <c r="I35" s="3">
        <v>3.0</v>
      </c>
      <c r="J35" s="5" t="s">
        <v>47</v>
      </c>
      <c r="K35" s="5" t="s">
        <v>48</v>
      </c>
      <c r="L35" s="3"/>
      <c r="M35" s="5">
        <v>15.5</v>
      </c>
      <c r="N35" s="5">
        <v>4.5</v>
      </c>
      <c r="O35" s="3"/>
      <c r="P35" s="3"/>
      <c r="Q35" s="3"/>
      <c r="R35" s="6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5.75" customHeight="1">
      <c r="A36" s="3" t="s">
        <v>17</v>
      </c>
      <c r="B36" s="3" t="s">
        <v>18</v>
      </c>
      <c r="C36" s="3" t="s">
        <v>19</v>
      </c>
      <c r="D36" s="3" t="s">
        <v>20</v>
      </c>
      <c r="E36" s="3" t="s">
        <v>46</v>
      </c>
      <c r="F36" s="3">
        <v>3.0</v>
      </c>
      <c r="G36" s="4">
        <v>-27.61431</v>
      </c>
      <c r="H36" s="4">
        <v>-48.50521</v>
      </c>
      <c r="I36" s="3">
        <v>4.0</v>
      </c>
      <c r="J36" s="5" t="s">
        <v>24</v>
      </c>
      <c r="K36" s="5" t="s">
        <v>24</v>
      </c>
      <c r="L36" s="3"/>
      <c r="M36" s="5">
        <v>20.0</v>
      </c>
      <c r="N36" s="5">
        <v>6.0</v>
      </c>
      <c r="O36" s="3"/>
      <c r="P36" s="3"/>
      <c r="Q36" s="3"/>
      <c r="R36" s="6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15.75" customHeight="1">
      <c r="A37" s="3" t="s">
        <v>17</v>
      </c>
      <c r="B37" s="3" t="s">
        <v>18</v>
      </c>
      <c r="C37" s="3" t="s">
        <v>19</v>
      </c>
      <c r="D37" s="3" t="s">
        <v>20</v>
      </c>
      <c r="E37" s="3" t="s">
        <v>46</v>
      </c>
      <c r="F37" s="3">
        <v>3.0</v>
      </c>
      <c r="G37" s="4">
        <v>-27.61431</v>
      </c>
      <c r="H37" s="4">
        <v>-48.50521</v>
      </c>
      <c r="I37" s="3">
        <v>5.0</v>
      </c>
      <c r="J37" s="5" t="s">
        <v>49</v>
      </c>
      <c r="K37" s="5" t="s">
        <v>49</v>
      </c>
      <c r="L37" s="3"/>
      <c r="M37" s="5">
        <v>16.5</v>
      </c>
      <c r="N37" s="5">
        <v>4.0</v>
      </c>
      <c r="O37" s="3"/>
      <c r="P37" s="3"/>
      <c r="Q37" s="3"/>
      <c r="R37" s="6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15.75" customHeight="1">
      <c r="A38" s="3" t="s">
        <v>17</v>
      </c>
      <c r="B38" s="3" t="s">
        <v>18</v>
      </c>
      <c r="C38" s="3" t="s">
        <v>19</v>
      </c>
      <c r="D38" s="3" t="s">
        <v>20</v>
      </c>
      <c r="E38" s="3" t="s">
        <v>46</v>
      </c>
      <c r="F38" s="3">
        <v>3.0</v>
      </c>
      <c r="G38" s="4">
        <v>-27.61431</v>
      </c>
      <c r="H38" s="4">
        <v>-48.50521</v>
      </c>
      <c r="I38" s="3">
        <v>6.0</v>
      </c>
      <c r="J38" s="5" t="s">
        <v>47</v>
      </c>
      <c r="K38" s="5" t="s">
        <v>48</v>
      </c>
      <c r="L38" s="3"/>
      <c r="M38" s="5">
        <v>26.5</v>
      </c>
      <c r="N38" s="5">
        <v>6.0</v>
      </c>
      <c r="O38" s="3"/>
      <c r="P38" s="3"/>
      <c r="Q38" s="3"/>
      <c r="R38" s="6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15.75" customHeight="1">
      <c r="A39" s="3" t="s">
        <v>17</v>
      </c>
      <c r="B39" s="3" t="s">
        <v>18</v>
      </c>
      <c r="C39" s="3" t="s">
        <v>19</v>
      </c>
      <c r="D39" s="3" t="s">
        <v>20</v>
      </c>
      <c r="E39" s="3" t="s">
        <v>46</v>
      </c>
      <c r="F39" s="3">
        <v>3.0</v>
      </c>
      <c r="G39" s="4">
        <v>-27.61431</v>
      </c>
      <c r="H39" s="4">
        <v>-48.50521</v>
      </c>
      <c r="I39" s="3">
        <v>7.0</v>
      </c>
      <c r="J39" s="5" t="s">
        <v>50</v>
      </c>
      <c r="K39" s="5" t="s">
        <v>50</v>
      </c>
      <c r="L39" s="3"/>
      <c r="M39" s="5" t="s">
        <v>51</v>
      </c>
      <c r="N39" s="5">
        <v>16.0</v>
      </c>
      <c r="O39" s="3"/>
      <c r="P39" s="3"/>
      <c r="Q39" s="3"/>
      <c r="R39" s="6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15.75" customHeight="1">
      <c r="A40" s="3" t="s">
        <v>17</v>
      </c>
      <c r="B40" s="3" t="s">
        <v>18</v>
      </c>
      <c r="C40" s="3" t="s">
        <v>19</v>
      </c>
      <c r="D40" s="3" t="s">
        <v>20</v>
      </c>
      <c r="E40" s="3" t="s">
        <v>46</v>
      </c>
      <c r="F40" s="3">
        <v>3.0</v>
      </c>
      <c r="G40" s="4">
        <v>-27.61431</v>
      </c>
      <c r="H40" s="4">
        <v>-48.50521</v>
      </c>
      <c r="I40" s="3">
        <v>8.0</v>
      </c>
      <c r="J40" s="5" t="s">
        <v>28</v>
      </c>
      <c r="K40" s="5" t="s">
        <v>28</v>
      </c>
      <c r="L40" s="3"/>
      <c r="M40" s="5">
        <v>38.5</v>
      </c>
      <c r="N40" s="5">
        <v>11.0</v>
      </c>
      <c r="O40" s="3"/>
      <c r="P40" s="3"/>
      <c r="Q40" s="3"/>
      <c r="R40" s="6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15.75" customHeight="1">
      <c r="A41" s="3" t="s">
        <v>17</v>
      </c>
      <c r="B41" s="3" t="s">
        <v>18</v>
      </c>
      <c r="C41" s="3" t="s">
        <v>19</v>
      </c>
      <c r="D41" s="3" t="s">
        <v>20</v>
      </c>
      <c r="E41" s="3" t="s">
        <v>46</v>
      </c>
      <c r="F41" s="3">
        <v>3.0</v>
      </c>
      <c r="G41" s="4">
        <v>-27.61431</v>
      </c>
      <c r="H41" s="4">
        <v>-48.50521</v>
      </c>
      <c r="I41" s="3">
        <v>9.0</v>
      </c>
      <c r="J41" s="5" t="s">
        <v>47</v>
      </c>
      <c r="K41" s="5" t="s">
        <v>48</v>
      </c>
      <c r="L41" s="3"/>
      <c r="M41" s="5">
        <v>25.5</v>
      </c>
      <c r="N41" s="5">
        <v>10.0</v>
      </c>
      <c r="O41" s="3"/>
      <c r="P41" s="3"/>
      <c r="Q41" s="3"/>
      <c r="R41" s="6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5.75" customHeight="1">
      <c r="A42" s="3" t="s">
        <v>17</v>
      </c>
      <c r="B42" s="3" t="s">
        <v>18</v>
      </c>
      <c r="C42" s="3" t="s">
        <v>19</v>
      </c>
      <c r="D42" s="3" t="s">
        <v>20</v>
      </c>
      <c r="E42" s="3" t="s">
        <v>46</v>
      </c>
      <c r="F42" s="3">
        <v>3.0</v>
      </c>
      <c r="G42" s="4">
        <v>-27.61431</v>
      </c>
      <c r="H42" s="4">
        <v>-48.50521</v>
      </c>
      <c r="I42" s="3">
        <v>10.0</v>
      </c>
      <c r="J42" s="5" t="s">
        <v>52</v>
      </c>
      <c r="K42" s="5" t="s">
        <v>52</v>
      </c>
      <c r="L42" s="3"/>
      <c r="M42" s="5" t="s">
        <v>53</v>
      </c>
      <c r="N42" s="5">
        <v>9.0</v>
      </c>
      <c r="O42" s="3"/>
      <c r="P42" s="3"/>
      <c r="Q42" s="3"/>
      <c r="R42" s="6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15.75" customHeight="1">
      <c r="A43" s="3" t="s">
        <v>17</v>
      </c>
      <c r="B43" s="3" t="s">
        <v>18</v>
      </c>
      <c r="C43" s="3" t="s">
        <v>19</v>
      </c>
      <c r="D43" s="3" t="s">
        <v>20</v>
      </c>
      <c r="E43" s="3" t="s">
        <v>46</v>
      </c>
      <c r="F43" s="3">
        <v>3.0</v>
      </c>
      <c r="G43" s="4">
        <v>-27.61431</v>
      </c>
      <c r="H43" s="4">
        <v>-48.50521</v>
      </c>
      <c r="I43" s="3">
        <v>11.0</v>
      </c>
      <c r="J43" s="5" t="s">
        <v>24</v>
      </c>
      <c r="K43" s="5" t="s">
        <v>24</v>
      </c>
      <c r="L43" s="3"/>
      <c r="M43" s="5">
        <v>18.0</v>
      </c>
      <c r="N43" s="5">
        <v>5.0</v>
      </c>
      <c r="O43" s="3"/>
      <c r="P43" s="3"/>
      <c r="Q43" s="3"/>
      <c r="R43" s="6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15.75" customHeight="1">
      <c r="A44" s="3" t="s">
        <v>17</v>
      </c>
      <c r="B44" s="3" t="s">
        <v>18</v>
      </c>
      <c r="C44" s="3" t="s">
        <v>19</v>
      </c>
      <c r="D44" s="3" t="s">
        <v>20</v>
      </c>
      <c r="E44" s="3" t="s">
        <v>46</v>
      </c>
      <c r="F44" s="3">
        <v>3.0</v>
      </c>
      <c r="G44" s="4">
        <v>-27.61431</v>
      </c>
      <c r="H44" s="4">
        <v>-48.50521</v>
      </c>
      <c r="I44" s="3">
        <v>12.0</v>
      </c>
      <c r="J44" s="5" t="s">
        <v>54</v>
      </c>
      <c r="K44" s="5" t="s">
        <v>55</v>
      </c>
      <c r="L44" s="3"/>
      <c r="M44" s="5">
        <v>22.0</v>
      </c>
      <c r="N44" s="5">
        <v>7.0</v>
      </c>
      <c r="O44" s="3"/>
      <c r="P44" s="3"/>
      <c r="Q44" s="3"/>
      <c r="R44" s="6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15.75" customHeight="1">
      <c r="A45" s="3" t="s">
        <v>17</v>
      </c>
      <c r="B45" s="3" t="s">
        <v>18</v>
      </c>
      <c r="C45" s="3" t="s">
        <v>19</v>
      </c>
      <c r="D45" s="3" t="s">
        <v>20</v>
      </c>
      <c r="E45" s="3" t="s">
        <v>46</v>
      </c>
      <c r="F45" s="3">
        <v>3.0</v>
      </c>
      <c r="G45" s="4">
        <v>-27.61431</v>
      </c>
      <c r="H45" s="4">
        <v>-48.50521</v>
      </c>
      <c r="I45" s="3">
        <v>13.0</v>
      </c>
      <c r="J45" s="5" t="s">
        <v>56</v>
      </c>
      <c r="K45" s="5" t="s">
        <v>56</v>
      </c>
      <c r="L45" s="3"/>
      <c r="M45" s="5">
        <v>19.0</v>
      </c>
      <c r="N45" s="5">
        <v>3.5</v>
      </c>
      <c r="O45" s="3"/>
      <c r="P45" s="3"/>
      <c r="Q45" s="3"/>
      <c r="R45" s="6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15.75" customHeight="1">
      <c r="A46" s="3" t="s">
        <v>17</v>
      </c>
      <c r="B46" s="3" t="s">
        <v>18</v>
      </c>
      <c r="C46" s="3" t="s">
        <v>19</v>
      </c>
      <c r="D46" s="3" t="s">
        <v>20</v>
      </c>
      <c r="E46" s="3" t="s">
        <v>46</v>
      </c>
      <c r="F46" s="3">
        <v>3.0</v>
      </c>
      <c r="G46" s="4">
        <v>-27.61431</v>
      </c>
      <c r="H46" s="4">
        <v>-48.50521</v>
      </c>
      <c r="I46" s="3">
        <v>14.0</v>
      </c>
      <c r="J46" s="5" t="s">
        <v>57</v>
      </c>
      <c r="K46" s="5" t="s">
        <v>57</v>
      </c>
      <c r="L46" s="3"/>
      <c r="M46" s="5" t="s">
        <v>58</v>
      </c>
      <c r="N46" s="5">
        <v>15.0</v>
      </c>
      <c r="O46" s="3"/>
      <c r="P46" s="3"/>
      <c r="Q46" s="3"/>
      <c r="R46" s="6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15.75" customHeight="1">
      <c r="A47" s="3" t="s">
        <v>17</v>
      </c>
      <c r="B47" s="3" t="s">
        <v>18</v>
      </c>
      <c r="C47" s="3" t="s">
        <v>19</v>
      </c>
      <c r="D47" s="3" t="s">
        <v>20</v>
      </c>
      <c r="E47" s="3" t="s">
        <v>46</v>
      </c>
      <c r="F47" s="3">
        <v>3.0</v>
      </c>
      <c r="G47" s="4">
        <v>-27.61431</v>
      </c>
      <c r="H47" s="4">
        <v>-48.50521</v>
      </c>
      <c r="I47" s="3">
        <v>15.0</v>
      </c>
      <c r="J47" s="5" t="s">
        <v>59</v>
      </c>
      <c r="K47" s="5" t="s">
        <v>60</v>
      </c>
      <c r="L47" s="3"/>
      <c r="M47" s="5">
        <v>38.0</v>
      </c>
      <c r="N47" s="5">
        <v>9.0</v>
      </c>
      <c r="O47" s="3"/>
      <c r="P47" s="3"/>
      <c r="Q47" s="3"/>
      <c r="R47" s="6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5.75" customHeight="1">
      <c r="A48" s="3" t="s">
        <v>17</v>
      </c>
      <c r="B48" s="3" t="s">
        <v>18</v>
      </c>
      <c r="C48" s="3" t="s">
        <v>19</v>
      </c>
      <c r="D48" s="3" t="s">
        <v>20</v>
      </c>
      <c r="E48" s="3" t="s">
        <v>46</v>
      </c>
      <c r="F48" s="3">
        <v>3.0</v>
      </c>
      <c r="G48" s="4">
        <v>-27.61431</v>
      </c>
      <c r="H48" s="4">
        <v>-48.50521</v>
      </c>
      <c r="I48" s="3">
        <v>16.0</v>
      </c>
      <c r="J48" s="5" t="s">
        <v>47</v>
      </c>
      <c r="K48" s="5" t="s">
        <v>48</v>
      </c>
      <c r="L48" s="3"/>
      <c r="M48" s="5" t="s">
        <v>61</v>
      </c>
      <c r="N48" s="5">
        <v>7.0</v>
      </c>
      <c r="O48" s="3"/>
      <c r="P48" s="3"/>
      <c r="Q48" s="3"/>
      <c r="R48" s="6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15.75" customHeight="1">
      <c r="A49" s="3" t="s">
        <v>17</v>
      </c>
      <c r="B49" s="3" t="s">
        <v>18</v>
      </c>
      <c r="C49" s="3" t="s">
        <v>19</v>
      </c>
      <c r="D49" s="3" t="s">
        <v>20</v>
      </c>
      <c r="E49" s="3" t="s">
        <v>62</v>
      </c>
      <c r="F49" s="3">
        <v>4.0</v>
      </c>
      <c r="G49" s="4">
        <v>-27.61491</v>
      </c>
      <c r="H49" s="4">
        <v>-48.50526</v>
      </c>
      <c r="I49" s="5">
        <v>1.0</v>
      </c>
      <c r="J49" s="5" t="s">
        <v>24</v>
      </c>
      <c r="K49" s="5" t="s">
        <v>24</v>
      </c>
      <c r="L49" s="3"/>
      <c r="M49" s="5">
        <v>39.0</v>
      </c>
      <c r="N49" s="5">
        <v>8.0</v>
      </c>
      <c r="O49" s="3"/>
      <c r="P49" s="3"/>
      <c r="Q49" s="3"/>
      <c r="R49" s="6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5.75" customHeight="1">
      <c r="A50" s="3" t="s">
        <v>17</v>
      </c>
      <c r="B50" s="3" t="s">
        <v>18</v>
      </c>
      <c r="C50" s="3" t="s">
        <v>19</v>
      </c>
      <c r="D50" s="3" t="s">
        <v>20</v>
      </c>
      <c r="E50" s="3" t="s">
        <v>62</v>
      </c>
      <c r="F50" s="3">
        <v>4.0</v>
      </c>
      <c r="G50" s="4">
        <v>-27.61491</v>
      </c>
      <c r="H50" s="4">
        <v>-48.50526</v>
      </c>
      <c r="I50" s="5">
        <v>2.0</v>
      </c>
      <c r="J50" s="5" t="s">
        <v>63</v>
      </c>
      <c r="K50" s="5" t="s">
        <v>63</v>
      </c>
      <c r="L50" s="3" t="s">
        <v>64</v>
      </c>
      <c r="M50" s="5" t="s">
        <v>65</v>
      </c>
      <c r="N50" s="5">
        <v>18.0</v>
      </c>
      <c r="O50" s="5" t="s">
        <v>66</v>
      </c>
      <c r="P50" s="3"/>
      <c r="Q50" s="3"/>
      <c r="R50" s="6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15.75" customHeight="1">
      <c r="A51" s="3" t="s">
        <v>17</v>
      </c>
      <c r="B51" s="3" t="s">
        <v>18</v>
      </c>
      <c r="C51" s="3" t="s">
        <v>19</v>
      </c>
      <c r="D51" s="3" t="s">
        <v>20</v>
      </c>
      <c r="E51" s="3" t="s">
        <v>62</v>
      </c>
      <c r="F51" s="3">
        <v>4.0</v>
      </c>
      <c r="G51" s="4">
        <v>-27.61491</v>
      </c>
      <c r="H51" s="4">
        <v>-48.50526</v>
      </c>
      <c r="I51" s="5">
        <v>3.0</v>
      </c>
      <c r="J51" s="5" t="s">
        <v>56</v>
      </c>
      <c r="K51" s="5" t="s">
        <v>56</v>
      </c>
      <c r="L51" s="3"/>
      <c r="M51" s="5">
        <v>15.0</v>
      </c>
      <c r="N51" s="5">
        <v>8.0</v>
      </c>
      <c r="O51" s="5"/>
      <c r="P51" s="3"/>
      <c r="Q51" s="3"/>
      <c r="R51" s="6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15.75" customHeight="1">
      <c r="A52" s="3" t="s">
        <v>17</v>
      </c>
      <c r="B52" s="3" t="s">
        <v>18</v>
      </c>
      <c r="C52" s="3" t="s">
        <v>19</v>
      </c>
      <c r="D52" s="3" t="s">
        <v>20</v>
      </c>
      <c r="E52" s="3" t="s">
        <v>62</v>
      </c>
      <c r="F52" s="3">
        <v>4.0</v>
      </c>
      <c r="G52" s="4">
        <v>-27.61491</v>
      </c>
      <c r="H52" s="4">
        <v>-48.50526</v>
      </c>
      <c r="I52" s="5">
        <v>4.0</v>
      </c>
      <c r="J52" s="5" t="s">
        <v>67</v>
      </c>
      <c r="K52" s="5" t="s">
        <v>67</v>
      </c>
      <c r="L52" s="3"/>
      <c r="M52" s="5">
        <v>27.0</v>
      </c>
      <c r="N52" s="5">
        <v>6.0</v>
      </c>
      <c r="O52" s="5"/>
      <c r="P52" s="3" t="s">
        <v>68</v>
      </c>
      <c r="Q52" s="3" t="s">
        <v>69</v>
      </c>
      <c r="R52" s="6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15.75" customHeight="1">
      <c r="A53" s="3" t="s">
        <v>17</v>
      </c>
      <c r="B53" s="3" t="s">
        <v>18</v>
      </c>
      <c r="C53" s="3" t="s">
        <v>19</v>
      </c>
      <c r="D53" s="3" t="s">
        <v>20</v>
      </c>
      <c r="E53" s="3" t="s">
        <v>62</v>
      </c>
      <c r="F53" s="3">
        <v>4.0</v>
      </c>
      <c r="G53" s="4">
        <v>-27.61491</v>
      </c>
      <c r="H53" s="4">
        <v>-48.50526</v>
      </c>
      <c r="I53" s="5">
        <v>5.0</v>
      </c>
      <c r="J53" s="5" t="s">
        <v>56</v>
      </c>
      <c r="K53" s="5" t="s">
        <v>56</v>
      </c>
      <c r="L53" s="3"/>
      <c r="M53" s="5">
        <v>16.0</v>
      </c>
      <c r="N53" s="5">
        <v>4.0</v>
      </c>
      <c r="O53" s="5"/>
      <c r="P53" s="3"/>
      <c r="Q53" s="3"/>
      <c r="R53" s="6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15.75" customHeight="1">
      <c r="A54" s="3" t="s">
        <v>17</v>
      </c>
      <c r="B54" s="3" t="s">
        <v>18</v>
      </c>
      <c r="C54" s="3" t="s">
        <v>19</v>
      </c>
      <c r="D54" s="3" t="s">
        <v>20</v>
      </c>
      <c r="E54" s="3" t="s">
        <v>62</v>
      </c>
      <c r="F54" s="3">
        <v>4.0</v>
      </c>
      <c r="G54" s="4">
        <v>-27.61491</v>
      </c>
      <c r="H54" s="4">
        <v>-48.50526</v>
      </c>
      <c r="I54" s="5">
        <v>6.0</v>
      </c>
      <c r="J54" s="5" t="s">
        <v>70</v>
      </c>
      <c r="K54" s="5" t="s">
        <v>71</v>
      </c>
      <c r="L54" s="3"/>
      <c r="M54" s="5">
        <v>40.0</v>
      </c>
      <c r="N54" s="5">
        <v>12.0</v>
      </c>
      <c r="O54" s="5" t="s">
        <v>72</v>
      </c>
      <c r="P54" s="3"/>
      <c r="Q54" s="3"/>
      <c r="R54" s="6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15.75" customHeight="1">
      <c r="A55" s="3" t="s">
        <v>17</v>
      </c>
      <c r="B55" s="3" t="s">
        <v>18</v>
      </c>
      <c r="C55" s="3" t="s">
        <v>19</v>
      </c>
      <c r="D55" s="3" t="s">
        <v>20</v>
      </c>
      <c r="E55" s="3" t="s">
        <v>62</v>
      </c>
      <c r="F55" s="3">
        <v>4.0</v>
      </c>
      <c r="G55" s="4">
        <v>-27.61491</v>
      </c>
      <c r="H55" s="4">
        <v>-48.50526</v>
      </c>
      <c r="I55" s="5">
        <v>7.0</v>
      </c>
      <c r="J55" s="5" t="s">
        <v>73</v>
      </c>
      <c r="K55" s="5" t="s">
        <v>73</v>
      </c>
      <c r="L55" s="3" t="s">
        <v>64</v>
      </c>
      <c r="M55" s="5">
        <v>47.0</v>
      </c>
      <c r="N55" s="5">
        <v>10.0</v>
      </c>
      <c r="O55" s="5" t="s">
        <v>74</v>
      </c>
      <c r="P55" s="3"/>
      <c r="Q55" s="3"/>
      <c r="R55" s="6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5.75" customHeight="1">
      <c r="A56" s="3" t="s">
        <v>17</v>
      </c>
      <c r="B56" s="3" t="s">
        <v>18</v>
      </c>
      <c r="C56" s="3" t="s">
        <v>19</v>
      </c>
      <c r="D56" s="3" t="s">
        <v>20</v>
      </c>
      <c r="E56" s="3" t="s">
        <v>62</v>
      </c>
      <c r="F56" s="3">
        <v>4.0</v>
      </c>
      <c r="G56" s="4">
        <v>-27.61491</v>
      </c>
      <c r="H56" s="4">
        <v>-48.50526</v>
      </c>
      <c r="I56" s="5">
        <v>8.0</v>
      </c>
      <c r="J56" s="5" t="s">
        <v>73</v>
      </c>
      <c r="K56" s="5" t="s">
        <v>73</v>
      </c>
      <c r="L56" s="3" t="s">
        <v>64</v>
      </c>
      <c r="M56" s="5" t="s">
        <v>75</v>
      </c>
      <c r="N56" s="5">
        <v>6.0</v>
      </c>
      <c r="O56" s="5" t="s">
        <v>74</v>
      </c>
      <c r="P56" s="3"/>
      <c r="Q56" s="3"/>
      <c r="R56" s="6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5.75" customHeight="1">
      <c r="A57" s="3" t="s">
        <v>17</v>
      </c>
      <c r="B57" s="3" t="s">
        <v>18</v>
      </c>
      <c r="C57" s="3" t="s">
        <v>19</v>
      </c>
      <c r="D57" s="3" t="s">
        <v>20</v>
      </c>
      <c r="E57" s="3" t="s">
        <v>62</v>
      </c>
      <c r="F57" s="3">
        <v>4.0</v>
      </c>
      <c r="G57" s="4">
        <v>-27.61491</v>
      </c>
      <c r="H57" s="4">
        <v>-48.50526</v>
      </c>
      <c r="I57" s="5">
        <v>9.0</v>
      </c>
      <c r="J57" s="5" t="s">
        <v>24</v>
      </c>
      <c r="K57" s="5" t="s">
        <v>24</v>
      </c>
      <c r="L57" s="3"/>
      <c r="M57" s="5">
        <v>35.0</v>
      </c>
      <c r="N57" s="5">
        <v>9.0</v>
      </c>
      <c r="O57" s="5"/>
      <c r="P57" s="3"/>
      <c r="Q57" s="3"/>
      <c r="R57" s="6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5.75" customHeight="1">
      <c r="A58" s="3" t="s">
        <v>17</v>
      </c>
      <c r="B58" s="3" t="s">
        <v>18</v>
      </c>
      <c r="C58" s="3" t="s">
        <v>19</v>
      </c>
      <c r="D58" s="3" t="s">
        <v>20</v>
      </c>
      <c r="E58" s="3" t="s">
        <v>62</v>
      </c>
      <c r="F58" s="3">
        <v>4.0</v>
      </c>
      <c r="G58" s="4">
        <v>-27.61491</v>
      </c>
      <c r="H58" s="4">
        <v>-48.50526</v>
      </c>
      <c r="I58" s="5">
        <v>10.0</v>
      </c>
      <c r="J58" s="5" t="s">
        <v>73</v>
      </c>
      <c r="K58" s="5" t="s">
        <v>73</v>
      </c>
      <c r="L58" s="3" t="s">
        <v>64</v>
      </c>
      <c r="M58" s="5">
        <v>60.0</v>
      </c>
      <c r="N58" s="5">
        <v>13.0</v>
      </c>
      <c r="O58" s="5" t="s">
        <v>76</v>
      </c>
      <c r="P58" s="3" t="s">
        <v>77</v>
      </c>
      <c r="Q58" s="3"/>
      <c r="R58" s="6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5.75" customHeight="1">
      <c r="A59" s="3" t="s">
        <v>17</v>
      </c>
      <c r="B59" s="3" t="s">
        <v>18</v>
      </c>
      <c r="C59" s="3" t="s">
        <v>19</v>
      </c>
      <c r="D59" s="3" t="s">
        <v>20</v>
      </c>
      <c r="E59" s="3" t="s">
        <v>62</v>
      </c>
      <c r="F59" s="3">
        <v>4.0</v>
      </c>
      <c r="G59" s="4">
        <v>-27.61491</v>
      </c>
      <c r="H59" s="4">
        <v>-48.50526</v>
      </c>
      <c r="I59" s="5">
        <v>11.0</v>
      </c>
      <c r="J59" s="5" t="s">
        <v>78</v>
      </c>
      <c r="K59" s="5" t="s">
        <v>78</v>
      </c>
      <c r="L59" s="3"/>
      <c r="M59" s="5">
        <v>50.0</v>
      </c>
      <c r="N59" s="5">
        <v>9.0</v>
      </c>
      <c r="O59" s="3"/>
      <c r="P59" s="3"/>
      <c r="Q59" s="3"/>
      <c r="R59" s="6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5.75" customHeight="1">
      <c r="A60" s="3" t="s">
        <v>17</v>
      </c>
      <c r="B60" s="3" t="s">
        <v>18</v>
      </c>
      <c r="C60" s="3" t="s">
        <v>19</v>
      </c>
      <c r="D60" s="3" t="s">
        <v>20</v>
      </c>
      <c r="E60" s="3" t="s">
        <v>62</v>
      </c>
      <c r="F60" s="3">
        <v>4.0</v>
      </c>
      <c r="G60" s="4">
        <v>-27.61491</v>
      </c>
      <c r="H60" s="4">
        <v>-48.50526</v>
      </c>
      <c r="I60" s="5">
        <v>12.0</v>
      </c>
      <c r="J60" s="5" t="s">
        <v>54</v>
      </c>
      <c r="K60" s="5" t="s">
        <v>55</v>
      </c>
      <c r="L60" s="3"/>
      <c r="M60" s="5">
        <v>24.0</v>
      </c>
      <c r="N60" s="5">
        <v>9.0</v>
      </c>
      <c r="O60" s="3"/>
      <c r="P60" s="3"/>
      <c r="Q60" s="3"/>
      <c r="R60" s="6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5.75" customHeight="1">
      <c r="A61" s="3" t="s">
        <v>17</v>
      </c>
      <c r="B61" s="3" t="s">
        <v>18</v>
      </c>
      <c r="C61" s="3" t="s">
        <v>19</v>
      </c>
      <c r="D61" s="3" t="s">
        <v>20</v>
      </c>
      <c r="E61" s="3" t="s">
        <v>62</v>
      </c>
      <c r="F61" s="3">
        <v>4.0</v>
      </c>
      <c r="G61" s="4">
        <v>-27.61491</v>
      </c>
      <c r="H61" s="4">
        <v>-48.50526</v>
      </c>
      <c r="I61" s="5">
        <v>13.0</v>
      </c>
      <c r="J61" s="5" t="s">
        <v>73</v>
      </c>
      <c r="K61" s="5" t="s">
        <v>73</v>
      </c>
      <c r="L61" s="3" t="s">
        <v>64</v>
      </c>
      <c r="M61" s="5">
        <v>18.5</v>
      </c>
      <c r="N61" s="5">
        <v>6.0</v>
      </c>
      <c r="O61" s="3"/>
      <c r="P61" s="3"/>
      <c r="Q61" s="3"/>
      <c r="R61" s="6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5.75" customHeight="1">
      <c r="A62" s="3" t="s">
        <v>17</v>
      </c>
      <c r="B62" s="3" t="s">
        <v>18</v>
      </c>
      <c r="C62" s="3" t="s">
        <v>19</v>
      </c>
      <c r="D62" s="3" t="s">
        <v>20</v>
      </c>
      <c r="E62" s="3" t="s">
        <v>62</v>
      </c>
      <c r="F62" s="3">
        <v>4.0</v>
      </c>
      <c r="G62" s="4">
        <v>-27.61491</v>
      </c>
      <c r="H62" s="4">
        <v>-48.50526</v>
      </c>
      <c r="I62" s="5">
        <v>14.0</v>
      </c>
      <c r="J62" s="5" t="s">
        <v>55</v>
      </c>
      <c r="K62" s="5" t="s">
        <v>55</v>
      </c>
      <c r="L62" s="3"/>
      <c r="M62" s="5">
        <v>25.0</v>
      </c>
      <c r="N62" s="5">
        <v>7.0</v>
      </c>
      <c r="O62" s="3"/>
      <c r="P62" s="3"/>
      <c r="Q62" s="3"/>
      <c r="R62" s="6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5.75" customHeight="1">
      <c r="A63" s="3" t="s">
        <v>17</v>
      </c>
      <c r="B63" s="3" t="s">
        <v>18</v>
      </c>
      <c r="C63" s="3" t="s">
        <v>19</v>
      </c>
      <c r="D63" s="3" t="s">
        <v>20</v>
      </c>
      <c r="E63" s="3" t="s">
        <v>62</v>
      </c>
      <c r="F63" s="3">
        <v>4.0</v>
      </c>
      <c r="G63" s="4">
        <v>-27.61491</v>
      </c>
      <c r="H63" s="4">
        <v>-48.50526</v>
      </c>
      <c r="I63" s="5">
        <v>15.0</v>
      </c>
      <c r="J63" s="5" t="s">
        <v>73</v>
      </c>
      <c r="K63" s="5" t="s">
        <v>73</v>
      </c>
      <c r="L63" s="3" t="s">
        <v>64</v>
      </c>
      <c r="M63" s="5">
        <v>75.0</v>
      </c>
      <c r="N63" s="5">
        <v>13.0</v>
      </c>
      <c r="O63" s="3"/>
      <c r="P63" s="3"/>
      <c r="Q63" s="3"/>
      <c r="R63" s="6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5.75" customHeight="1">
      <c r="A64" s="3" t="s">
        <v>17</v>
      </c>
      <c r="B64" s="3" t="s">
        <v>18</v>
      </c>
      <c r="C64" s="3" t="s">
        <v>19</v>
      </c>
      <c r="D64" s="3" t="s">
        <v>20</v>
      </c>
      <c r="E64" s="3" t="s">
        <v>62</v>
      </c>
      <c r="F64" s="3">
        <v>4.0</v>
      </c>
      <c r="G64" s="4">
        <v>-27.61491</v>
      </c>
      <c r="H64" s="4">
        <v>-48.50526</v>
      </c>
      <c r="I64" s="5">
        <v>16.0</v>
      </c>
      <c r="J64" s="5" t="s">
        <v>79</v>
      </c>
      <c r="K64" s="5" t="s">
        <v>79</v>
      </c>
      <c r="L64" s="3"/>
      <c r="M64" s="5">
        <v>30.0</v>
      </c>
      <c r="N64" s="5">
        <v>9.0</v>
      </c>
      <c r="O64" s="3"/>
      <c r="P64" s="3"/>
      <c r="Q64" s="3"/>
      <c r="R64" s="6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5.75" customHeight="1">
      <c r="A65" s="3" t="s">
        <v>17</v>
      </c>
      <c r="B65" s="3" t="s">
        <v>18</v>
      </c>
      <c r="C65" s="3" t="s">
        <v>80</v>
      </c>
      <c r="D65" s="3" t="s">
        <v>81</v>
      </c>
      <c r="E65" s="3" t="s">
        <v>82</v>
      </c>
      <c r="F65" s="3">
        <v>5.0</v>
      </c>
      <c r="G65" s="4">
        <v>-27.61371</v>
      </c>
      <c r="H65" s="4">
        <v>-48.50663</v>
      </c>
      <c r="I65" s="5">
        <v>1.0</v>
      </c>
      <c r="J65" s="5" t="s">
        <v>83</v>
      </c>
      <c r="K65" s="5" t="s">
        <v>83</v>
      </c>
      <c r="L65" s="3"/>
      <c r="M65" s="5">
        <v>61.0</v>
      </c>
      <c r="N65" s="5">
        <v>9.0</v>
      </c>
      <c r="O65" s="3"/>
      <c r="P65" s="3"/>
      <c r="Q65" s="3"/>
      <c r="R65" s="6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5.75" customHeight="1">
      <c r="A66" s="3" t="s">
        <v>17</v>
      </c>
      <c r="B66" s="3" t="s">
        <v>18</v>
      </c>
      <c r="C66" s="3" t="s">
        <v>80</v>
      </c>
      <c r="D66" s="3" t="s">
        <v>81</v>
      </c>
      <c r="E66" s="3" t="s">
        <v>82</v>
      </c>
      <c r="F66" s="3">
        <v>5.0</v>
      </c>
      <c r="G66" s="4">
        <v>-27.61371</v>
      </c>
      <c r="H66" s="4">
        <v>-48.50663</v>
      </c>
      <c r="I66" s="5">
        <v>2.0</v>
      </c>
      <c r="J66" s="5" t="s">
        <v>84</v>
      </c>
      <c r="K66" s="5" t="s">
        <v>85</v>
      </c>
      <c r="L66" s="3"/>
      <c r="M66" s="5">
        <v>34.0</v>
      </c>
      <c r="N66" s="5">
        <v>8.5</v>
      </c>
      <c r="O66" s="3"/>
      <c r="P66" s="3"/>
      <c r="Q66" s="3"/>
      <c r="R66" s="6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5.75" customHeight="1">
      <c r="A67" s="3" t="s">
        <v>17</v>
      </c>
      <c r="B67" s="3" t="s">
        <v>18</v>
      </c>
      <c r="C67" s="3" t="s">
        <v>80</v>
      </c>
      <c r="D67" s="3" t="s">
        <v>81</v>
      </c>
      <c r="E67" s="3" t="s">
        <v>82</v>
      </c>
      <c r="F67" s="3">
        <v>5.0</v>
      </c>
      <c r="G67" s="4">
        <v>-27.61371</v>
      </c>
      <c r="H67" s="4">
        <v>-48.50663</v>
      </c>
      <c r="I67" s="5">
        <v>3.0</v>
      </c>
      <c r="J67" s="5" t="s">
        <v>86</v>
      </c>
      <c r="K67" s="5" t="s">
        <v>86</v>
      </c>
      <c r="L67" s="3"/>
      <c r="M67" s="5">
        <v>16.0</v>
      </c>
      <c r="N67" s="5">
        <v>5.5</v>
      </c>
      <c r="O67" s="5" t="s">
        <v>87</v>
      </c>
      <c r="P67" s="3"/>
      <c r="Q67" s="3"/>
      <c r="R67" s="6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5.75" customHeight="1">
      <c r="A68" s="3" t="s">
        <v>17</v>
      </c>
      <c r="B68" s="3" t="s">
        <v>18</v>
      </c>
      <c r="C68" s="3" t="s">
        <v>80</v>
      </c>
      <c r="D68" s="3" t="s">
        <v>81</v>
      </c>
      <c r="E68" s="3" t="s">
        <v>82</v>
      </c>
      <c r="F68" s="3">
        <v>5.0</v>
      </c>
      <c r="G68" s="4">
        <v>-27.61371</v>
      </c>
      <c r="H68" s="4">
        <v>-48.50663</v>
      </c>
      <c r="I68" s="5">
        <v>4.0</v>
      </c>
      <c r="J68" s="5" t="s">
        <v>88</v>
      </c>
      <c r="K68" s="5" t="s">
        <v>88</v>
      </c>
      <c r="L68" s="3"/>
      <c r="M68" s="5">
        <v>22.0</v>
      </c>
      <c r="N68" s="5">
        <v>6.0</v>
      </c>
      <c r="O68" s="5" t="s">
        <v>89</v>
      </c>
      <c r="P68" s="3" t="s">
        <v>90</v>
      </c>
      <c r="Q68" s="3"/>
      <c r="R68" s="6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5.75" customHeight="1">
      <c r="A69" s="3" t="s">
        <v>17</v>
      </c>
      <c r="B69" s="3" t="s">
        <v>18</v>
      </c>
      <c r="C69" s="3" t="s">
        <v>80</v>
      </c>
      <c r="D69" s="3" t="s">
        <v>81</v>
      </c>
      <c r="E69" s="3" t="s">
        <v>82</v>
      </c>
      <c r="F69" s="3">
        <v>5.0</v>
      </c>
      <c r="G69" s="4">
        <v>-27.61371</v>
      </c>
      <c r="H69" s="4">
        <v>-48.50663</v>
      </c>
      <c r="I69" s="5">
        <v>5.0</v>
      </c>
      <c r="J69" s="7" t="s">
        <v>91</v>
      </c>
      <c r="K69" s="7" t="s">
        <v>30</v>
      </c>
      <c r="L69" s="3" t="s">
        <v>64</v>
      </c>
      <c r="M69" s="5" t="s">
        <v>92</v>
      </c>
      <c r="N69" s="5">
        <v>10.0</v>
      </c>
      <c r="O69" s="5" t="s">
        <v>93</v>
      </c>
      <c r="P69" s="3"/>
      <c r="Q69" s="3"/>
      <c r="R69" s="6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5.75" customHeight="1">
      <c r="A70" s="3" t="s">
        <v>17</v>
      </c>
      <c r="B70" s="3" t="s">
        <v>18</v>
      </c>
      <c r="C70" s="3" t="s">
        <v>80</v>
      </c>
      <c r="D70" s="3" t="s">
        <v>81</v>
      </c>
      <c r="E70" s="3" t="s">
        <v>82</v>
      </c>
      <c r="F70" s="3">
        <v>5.0</v>
      </c>
      <c r="G70" s="4">
        <v>-27.61371</v>
      </c>
      <c r="H70" s="4">
        <v>-48.50663</v>
      </c>
      <c r="I70" s="5">
        <v>6.0</v>
      </c>
      <c r="J70" s="5" t="s">
        <v>63</v>
      </c>
      <c r="K70" s="5" t="s">
        <v>63</v>
      </c>
      <c r="L70" s="3" t="s">
        <v>64</v>
      </c>
      <c r="M70" s="5">
        <v>35.0</v>
      </c>
      <c r="N70" s="5">
        <v>9.0</v>
      </c>
      <c r="O70" s="5" t="s">
        <v>94</v>
      </c>
      <c r="P70" s="3"/>
      <c r="Q70" s="3"/>
      <c r="R70" s="6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5.75" customHeight="1">
      <c r="A71" s="3" t="s">
        <v>17</v>
      </c>
      <c r="B71" s="3" t="s">
        <v>18</v>
      </c>
      <c r="C71" s="3" t="s">
        <v>80</v>
      </c>
      <c r="D71" s="3" t="s">
        <v>81</v>
      </c>
      <c r="E71" s="3" t="s">
        <v>82</v>
      </c>
      <c r="F71" s="3">
        <v>5.0</v>
      </c>
      <c r="G71" s="4">
        <v>-27.61371</v>
      </c>
      <c r="H71" s="4">
        <v>-48.50663</v>
      </c>
      <c r="I71" s="5">
        <v>7.0</v>
      </c>
      <c r="J71" s="5" t="s">
        <v>55</v>
      </c>
      <c r="K71" s="5" t="s">
        <v>55</v>
      </c>
      <c r="L71" s="3"/>
      <c r="M71" s="5">
        <v>15.0</v>
      </c>
      <c r="N71" s="5">
        <v>7.0</v>
      </c>
      <c r="O71" s="3"/>
      <c r="P71" s="3"/>
      <c r="Q71" s="3"/>
      <c r="R71" s="6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5.75" customHeight="1">
      <c r="A72" s="3" t="s">
        <v>17</v>
      </c>
      <c r="B72" s="3" t="s">
        <v>18</v>
      </c>
      <c r="C72" s="3" t="s">
        <v>80</v>
      </c>
      <c r="D72" s="3" t="s">
        <v>81</v>
      </c>
      <c r="E72" s="3" t="s">
        <v>82</v>
      </c>
      <c r="F72" s="3">
        <v>5.0</v>
      </c>
      <c r="G72" s="4">
        <v>-27.61371</v>
      </c>
      <c r="H72" s="4">
        <v>-48.50663</v>
      </c>
      <c r="I72" s="5">
        <v>8.0</v>
      </c>
      <c r="J72" s="5" t="s">
        <v>95</v>
      </c>
      <c r="K72" s="5" t="s">
        <v>95</v>
      </c>
      <c r="L72" s="3"/>
      <c r="M72" s="5">
        <v>25.0</v>
      </c>
      <c r="N72" s="5">
        <v>9.0</v>
      </c>
      <c r="O72" s="3"/>
      <c r="P72" s="3"/>
      <c r="Q72" s="3"/>
      <c r="R72" s="6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5.75" customHeight="1">
      <c r="A73" s="3" t="s">
        <v>17</v>
      </c>
      <c r="B73" s="3" t="s">
        <v>18</v>
      </c>
      <c r="C73" s="3" t="s">
        <v>80</v>
      </c>
      <c r="D73" s="3" t="s">
        <v>81</v>
      </c>
      <c r="E73" s="3" t="s">
        <v>82</v>
      </c>
      <c r="F73" s="3">
        <v>5.0</v>
      </c>
      <c r="G73" s="4">
        <v>-27.61371</v>
      </c>
      <c r="H73" s="4">
        <v>-48.50663</v>
      </c>
      <c r="I73" s="5">
        <v>9.0</v>
      </c>
      <c r="J73" s="5" t="s">
        <v>50</v>
      </c>
      <c r="K73" s="5" t="s">
        <v>50</v>
      </c>
      <c r="L73" s="3"/>
      <c r="M73" s="5">
        <v>31.0</v>
      </c>
      <c r="N73" s="5">
        <v>9.0</v>
      </c>
      <c r="O73" s="3"/>
      <c r="P73" s="3"/>
      <c r="Q73" s="3"/>
      <c r="R73" s="6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5.75" customHeight="1">
      <c r="A74" s="3" t="s">
        <v>17</v>
      </c>
      <c r="B74" s="3" t="s">
        <v>18</v>
      </c>
      <c r="C74" s="3" t="s">
        <v>80</v>
      </c>
      <c r="D74" s="3" t="s">
        <v>81</v>
      </c>
      <c r="E74" s="3" t="s">
        <v>82</v>
      </c>
      <c r="F74" s="3">
        <v>5.0</v>
      </c>
      <c r="G74" s="4">
        <v>-27.61371</v>
      </c>
      <c r="H74" s="4">
        <v>-48.50663</v>
      </c>
      <c r="I74" s="5">
        <v>10.0</v>
      </c>
      <c r="J74" s="5" t="s">
        <v>96</v>
      </c>
      <c r="K74" s="5" t="s">
        <v>97</v>
      </c>
      <c r="L74" s="3"/>
      <c r="M74" s="5">
        <v>21.5</v>
      </c>
      <c r="N74" s="5">
        <v>9.0</v>
      </c>
      <c r="O74" s="3"/>
      <c r="P74" s="3"/>
      <c r="Q74" s="3"/>
      <c r="R74" s="6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5.75" customHeight="1">
      <c r="A75" s="3" t="s">
        <v>17</v>
      </c>
      <c r="B75" s="3" t="s">
        <v>18</v>
      </c>
      <c r="C75" s="3" t="s">
        <v>80</v>
      </c>
      <c r="D75" s="3" t="s">
        <v>81</v>
      </c>
      <c r="E75" s="3" t="s">
        <v>82</v>
      </c>
      <c r="F75" s="3">
        <v>5.0</v>
      </c>
      <c r="G75" s="4">
        <v>-27.61371</v>
      </c>
      <c r="H75" s="4">
        <v>-48.50663</v>
      </c>
      <c r="I75" s="5">
        <v>11.0</v>
      </c>
      <c r="J75" s="5" t="s">
        <v>98</v>
      </c>
      <c r="K75" s="5" t="s">
        <v>98</v>
      </c>
      <c r="L75" s="3"/>
      <c r="M75" s="5">
        <v>45.0</v>
      </c>
      <c r="N75" s="5">
        <v>15.0</v>
      </c>
      <c r="O75" s="3"/>
      <c r="P75" s="3"/>
      <c r="Q75" s="8" t="s">
        <v>99</v>
      </c>
      <c r="R75" s="6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15.75" customHeight="1">
      <c r="A76" s="3" t="s">
        <v>17</v>
      </c>
      <c r="B76" s="3" t="s">
        <v>18</v>
      </c>
      <c r="C76" s="3" t="s">
        <v>80</v>
      </c>
      <c r="D76" s="3" t="s">
        <v>81</v>
      </c>
      <c r="E76" s="3" t="s">
        <v>82</v>
      </c>
      <c r="F76" s="3">
        <v>5.0</v>
      </c>
      <c r="G76" s="4">
        <v>-27.61371</v>
      </c>
      <c r="H76" s="4">
        <v>-48.50663</v>
      </c>
      <c r="I76" s="5">
        <v>12.0</v>
      </c>
      <c r="J76" s="5" t="s">
        <v>33</v>
      </c>
      <c r="K76" s="5" t="s">
        <v>33</v>
      </c>
      <c r="L76" s="3"/>
      <c r="M76" s="5">
        <v>91.0</v>
      </c>
      <c r="N76" s="5">
        <v>10.0</v>
      </c>
      <c r="O76" s="3"/>
      <c r="P76" s="3"/>
      <c r="Q76" s="3"/>
      <c r="R76" s="6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5.75" customHeight="1">
      <c r="A77" s="3" t="s">
        <v>17</v>
      </c>
      <c r="B77" s="3" t="s">
        <v>18</v>
      </c>
      <c r="C77" s="3" t="s">
        <v>80</v>
      </c>
      <c r="D77" s="3" t="s">
        <v>81</v>
      </c>
      <c r="E77" s="3" t="s">
        <v>82</v>
      </c>
      <c r="F77" s="3">
        <v>5.0</v>
      </c>
      <c r="G77" s="4">
        <v>-27.61371</v>
      </c>
      <c r="H77" s="4">
        <v>-48.50663</v>
      </c>
      <c r="I77" s="5">
        <v>13.0</v>
      </c>
      <c r="J77" s="5" t="s">
        <v>100</v>
      </c>
      <c r="K77" s="5" t="s">
        <v>100</v>
      </c>
      <c r="L77" s="3"/>
      <c r="M77" s="5" t="s">
        <v>101</v>
      </c>
      <c r="N77" s="5">
        <v>10.0</v>
      </c>
      <c r="O77" s="3"/>
      <c r="P77" s="3"/>
      <c r="Q77" s="3"/>
      <c r="R77" s="6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5.75" customHeight="1">
      <c r="A78" s="3" t="s">
        <v>17</v>
      </c>
      <c r="B78" s="3" t="s">
        <v>18</v>
      </c>
      <c r="C78" s="3" t="s">
        <v>80</v>
      </c>
      <c r="D78" s="3" t="s">
        <v>81</v>
      </c>
      <c r="E78" s="3" t="s">
        <v>82</v>
      </c>
      <c r="F78" s="3">
        <v>5.0</v>
      </c>
      <c r="G78" s="4">
        <v>-27.61371</v>
      </c>
      <c r="H78" s="4">
        <v>-48.50663</v>
      </c>
      <c r="I78" s="5">
        <v>14.0</v>
      </c>
      <c r="J78" s="5" t="s">
        <v>102</v>
      </c>
      <c r="K78" s="5" t="s">
        <v>102</v>
      </c>
      <c r="L78" s="3"/>
      <c r="M78" s="5">
        <v>25.5</v>
      </c>
      <c r="N78" s="5">
        <v>12.0</v>
      </c>
      <c r="O78" s="3"/>
      <c r="P78" s="3"/>
      <c r="Q78" s="3"/>
      <c r="R78" s="6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5.75" customHeight="1">
      <c r="A79" s="3" t="s">
        <v>17</v>
      </c>
      <c r="B79" s="3" t="s">
        <v>18</v>
      </c>
      <c r="C79" s="3" t="s">
        <v>80</v>
      </c>
      <c r="D79" s="3" t="s">
        <v>81</v>
      </c>
      <c r="E79" s="3" t="s">
        <v>82</v>
      </c>
      <c r="F79" s="3">
        <v>5.0</v>
      </c>
      <c r="G79" s="4">
        <v>-27.61371</v>
      </c>
      <c r="H79" s="4">
        <v>-48.50663</v>
      </c>
      <c r="I79" s="5">
        <v>15.0</v>
      </c>
      <c r="J79" s="5" t="s">
        <v>98</v>
      </c>
      <c r="K79" s="5" t="s">
        <v>98</v>
      </c>
      <c r="L79" s="3"/>
      <c r="M79" s="5">
        <v>22.0</v>
      </c>
      <c r="N79" s="5">
        <v>9.0</v>
      </c>
      <c r="O79" s="3"/>
      <c r="P79" s="3"/>
      <c r="Q79" s="3"/>
      <c r="R79" s="6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5.75" customHeight="1">
      <c r="A80" s="3" t="s">
        <v>17</v>
      </c>
      <c r="B80" s="3" t="s">
        <v>18</v>
      </c>
      <c r="C80" s="3" t="s">
        <v>80</v>
      </c>
      <c r="D80" s="3" t="s">
        <v>81</v>
      </c>
      <c r="E80" s="3" t="s">
        <v>82</v>
      </c>
      <c r="F80" s="3">
        <v>5.0</v>
      </c>
      <c r="G80" s="4">
        <v>-27.61371</v>
      </c>
      <c r="H80" s="4">
        <v>-48.50663</v>
      </c>
      <c r="I80" s="5">
        <v>16.0</v>
      </c>
      <c r="J80" s="5" t="s">
        <v>84</v>
      </c>
      <c r="K80" s="5" t="s">
        <v>85</v>
      </c>
      <c r="L80" s="3"/>
      <c r="M80" s="5" t="s">
        <v>103</v>
      </c>
      <c r="N80" s="5">
        <v>11.0</v>
      </c>
      <c r="O80" s="3"/>
      <c r="P80" s="3"/>
      <c r="Q80" s="3"/>
      <c r="R80" s="6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5.75" customHeight="1">
      <c r="A81" s="3" t="s">
        <v>17</v>
      </c>
      <c r="B81" s="3" t="s">
        <v>18</v>
      </c>
      <c r="C81" s="3" t="s">
        <v>80</v>
      </c>
      <c r="D81" s="3" t="s">
        <v>81</v>
      </c>
      <c r="E81" s="3" t="s">
        <v>82</v>
      </c>
      <c r="F81" s="3">
        <v>5.0</v>
      </c>
      <c r="G81" s="4">
        <v>-27.61371</v>
      </c>
      <c r="H81" s="4">
        <v>-48.50663</v>
      </c>
      <c r="I81" s="5">
        <v>17.0</v>
      </c>
      <c r="J81" s="5" t="s">
        <v>104</v>
      </c>
      <c r="K81" s="5" t="s">
        <v>104</v>
      </c>
      <c r="L81" s="3"/>
      <c r="M81" s="5">
        <v>16.0</v>
      </c>
      <c r="N81" s="5">
        <v>8.0</v>
      </c>
      <c r="O81" s="3"/>
      <c r="P81" s="3"/>
      <c r="Q81" s="3"/>
      <c r="R81" s="6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5.75" customHeight="1">
      <c r="A82" s="3" t="s">
        <v>17</v>
      </c>
      <c r="B82" s="3" t="s">
        <v>18</v>
      </c>
      <c r="C82" s="3" t="s">
        <v>80</v>
      </c>
      <c r="D82" s="3" t="s">
        <v>81</v>
      </c>
      <c r="E82" s="3" t="s">
        <v>82</v>
      </c>
      <c r="F82" s="3">
        <v>5.0</v>
      </c>
      <c r="G82" s="4">
        <v>-27.61371</v>
      </c>
      <c r="H82" s="4">
        <v>-48.50663</v>
      </c>
      <c r="I82" s="5">
        <v>18.0</v>
      </c>
      <c r="J82" s="5" t="s">
        <v>31</v>
      </c>
      <c r="K82" s="5" t="s">
        <v>31</v>
      </c>
      <c r="L82" s="3"/>
      <c r="M82" s="5">
        <v>30.0</v>
      </c>
      <c r="N82" s="5">
        <v>10.0</v>
      </c>
      <c r="O82" s="3"/>
      <c r="P82" s="3"/>
      <c r="Q82" s="3"/>
      <c r="R82" s="6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5.75" customHeight="1">
      <c r="A83" s="3" t="s">
        <v>17</v>
      </c>
      <c r="B83" s="3" t="s">
        <v>18</v>
      </c>
      <c r="C83" s="3" t="s">
        <v>80</v>
      </c>
      <c r="D83" s="3" t="s">
        <v>81</v>
      </c>
      <c r="E83" s="3" t="s">
        <v>82</v>
      </c>
      <c r="F83" s="3">
        <v>5.0</v>
      </c>
      <c r="G83" s="4">
        <v>-27.61371</v>
      </c>
      <c r="H83" s="4">
        <v>-48.50663</v>
      </c>
      <c r="I83" s="5">
        <v>19.0</v>
      </c>
      <c r="J83" s="5" t="s">
        <v>105</v>
      </c>
      <c r="K83" s="5" t="s">
        <v>105</v>
      </c>
      <c r="L83" s="3"/>
      <c r="M83" s="5" t="s">
        <v>106</v>
      </c>
      <c r="N83" s="5">
        <v>5.0</v>
      </c>
      <c r="O83" s="3"/>
      <c r="P83" s="3" t="s">
        <v>90</v>
      </c>
      <c r="Q83" s="3"/>
      <c r="R83" s="6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15.75" customHeight="1">
      <c r="A84" s="3" t="s">
        <v>17</v>
      </c>
      <c r="B84" s="3" t="s">
        <v>18</v>
      </c>
      <c r="C84" s="3" t="s">
        <v>80</v>
      </c>
      <c r="D84" s="3" t="s">
        <v>81</v>
      </c>
      <c r="E84" s="3" t="s">
        <v>82</v>
      </c>
      <c r="F84" s="3">
        <v>5.0</v>
      </c>
      <c r="G84" s="4">
        <v>-27.61371</v>
      </c>
      <c r="H84" s="4">
        <v>-48.50663</v>
      </c>
      <c r="I84" s="5">
        <v>20.0</v>
      </c>
      <c r="J84" s="5" t="s">
        <v>50</v>
      </c>
      <c r="K84" s="5" t="s">
        <v>50</v>
      </c>
      <c r="L84" s="3"/>
      <c r="M84" s="5">
        <v>78.0</v>
      </c>
      <c r="N84" s="5">
        <v>11.0</v>
      </c>
      <c r="O84" s="3"/>
      <c r="P84" s="3"/>
      <c r="Q84" s="3"/>
      <c r="R84" s="6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5.75" customHeight="1">
      <c r="A85" s="3" t="s">
        <v>17</v>
      </c>
      <c r="B85" s="3" t="s">
        <v>18</v>
      </c>
      <c r="C85" s="3" t="s">
        <v>80</v>
      </c>
      <c r="D85" s="3" t="s">
        <v>81</v>
      </c>
      <c r="E85" s="3" t="s">
        <v>82</v>
      </c>
      <c r="F85" s="3">
        <v>5.0</v>
      </c>
      <c r="G85" s="4">
        <v>-27.61371</v>
      </c>
      <c r="H85" s="4">
        <v>-48.50663</v>
      </c>
      <c r="I85" s="5">
        <v>21.0</v>
      </c>
      <c r="J85" s="5" t="s">
        <v>50</v>
      </c>
      <c r="K85" s="5" t="s">
        <v>50</v>
      </c>
      <c r="L85" s="3"/>
      <c r="M85" s="5">
        <v>29.0</v>
      </c>
      <c r="N85" s="5">
        <v>8.0</v>
      </c>
      <c r="O85" s="3"/>
      <c r="P85" s="3" t="s">
        <v>107</v>
      </c>
      <c r="Q85" s="3"/>
      <c r="R85" s="6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15.75" customHeight="1">
      <c r="A86" s="3" t="s">
        <v>17</v>
      </c>
      <c r="B86" s="3" t="s">
        <v>18</v>
      </c>
      <c r="C86" s="3" t="s">
        <v>80</v>
      </c>
      <c r="D86" s="3" t="s">
        <v>81</v>
      </c>
      <c r="E86" s="3" t="s">
        <v>82</v>
      </c>
      <c r="F86" s="3">
        <v>5.0</v>
      </c>
      <c r="G86" s="4">
        <v>-27.61371</v>
      </c>
      <c r="H86" s="4">
        <v>-48.50663</v>
      </c>
      <c r="I86" s="5">
        <v>22.0</v>
      </c>
      <c r="J86" s="5" t="s">
        <v>108</v>
      </c>
      <c r="K86" s="5" t="s">
        <v>108</v>
      </c>
      <c r="L86" s="3"/>
      <c r="M86" s="5">
        <v>78.5</v>
      </c>
      <c r="N86" s="5">
        <v>12.0</v>
      </c>
      <c r="O86" s="3"/>
      <c r="P86" s="3"/>
      <c r="Q86" s="3"/>
      <c r="R86" s="6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15.75" customHeight="1">
      <c r="A87" s="3" t="s">
        <v>17</v>
      </c>
      <c r="B87" s="3" t="s">
        <v>18</v>
      </c>
      <c r="C87" s="3" t="s">
        <v>80</v>
      </c>
      <c r="D87" s="3" t="s">
        <v>81</v>
      </c>
      <c r="E87" s="3" t="s">
        <v>82</v>
      </c>
      <c r="F87" s="3">
        <v>5.0</v>
      </c>
      <c r="G87" s="4">
        <v>-27.61371</v>
      </c>
      <c r="H87" s="4">
        <v>-48.50663</v>
      </c>
      <c r="I87" s="5">
        <v>23.0</v>
      </c>
      <c r="J87" s="5" t="s">
        <v>31</v>
      </c>
      <c r="K87" s="5" t="s">
        <v>31</v>
      </c>
      <c r="L87" s="3"/>
      <c r="M87" s="5">
        <v>29.0</v>
      </c>
      <c r="N87" s="5">
        <v>12.0</v>
      </c>
      <c r="O87" s="3"/>
      <c r="P87" s="3"/>
      <c r="Q87" s="3"/>
      <c r="R87" s="6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15.75" customHeight="1">
      <c r="A88" s="3" t="s">
        <v>17</v>
      </c>
      <c r="B88" s="3" t="s">
        <v>18</v>
      </c>
      <c r="C88" s="3" t="s">
        <v>80</v>
      </c>
      <c r="D88" s="3" t="s">
        <v>81</v>
      </c>
      <c r="E88" s="3" t="s">
        <v>82</v>
      </c>
      <c r="F88" s="3">
        <v>5.0</v>
      </c>
      <c r="G88" s="4">
        <v>-27.61371</v>
      </c>
      <c r="H88" s="4">
        <v>-48.50663</v>
      </c>
      <c r="I88" s="5">
        <v>24.0</v>
      </c>
      <c r="J88" s="9" t="s">
        <v>109</v>
      </c>
      <c r="K88" s="9" t="s">
        <v>109</v>
      </c>
      <c r="L88" s="3" t="s">
        <v>64</v>
      </c>
      <c r="M88" s="5">
        <v>22.0</v>
      </c>
      <c r="N88" s="5">
        <v>10.0</v>
      </c>
      <c r="O88" s="3" t="s">
        <v>110</v>
      </c>
      <c r="P88" s="3"/>
      <c r="Q88" s="3"/>
      <c r="R88" s="6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15.75" customHeight="1">
      <c r="A89" s="3" t="s">
        <v>17</v>
      </c>
      <c r="B89" s="3" t="s">
        <v>18</v>
      </c>
      <c r="C89" s="3" t="s">
        <v>80</v>
      </c>
      <c r="D89" s="3" t="s">
        <v>81</v>
      </c>
      <c r="E89" s="3" t="s">
        <v>82</v>
      </c>
      <c r="F89" s="3">
        <v>5.0</v>
      </c>
      <c r="G89" s="4">
        <v>-27.61371</v>
      </c>
      <c r="H89" s="4">
        <v>-48.50663</v>
      </c>
      <c r="I89" s="5">
        <v>25.0</v>
      </c>
      <c r="J89" s="5" t="s">
        <v>111</v>
      </c>
      <c r="K89" s="5" t="s">
        <v>111</v>
      </c>
      <c r="L89" s="3"/>
      <c r="M89" s="5">
        <v>152.0</v>
      </c>
      <c r="N89" s="5">
        <v>18.0</v>
      </c>
      <c r="O89" s="3"/>
      <c r="P89" s="3"/>
      <c r="Q89" s="3"/>
      <c r="R89" s="6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5.75" customHeight="1">
      <c r="A90" s="3" t="s">
        <v>17</v>
      </c>
      <c r="B90" s="3" t="s">
        <v>18</v>
      </c>
      <c r="C90" s="3" t="s">
        <v>80</v>
      </c>
      <c r="D90" s="3" t="s">
        <v>81</v>
      </c>
      <c r="E90" s="3" t="s">
        <v>82</v>
      </c>
      <c r="F90" s="3">
        <v>5.0</v>
      </c>
      <c r="G90" s="4">
        <v>-27.61371</v>
      </c>
      <c r="H90" s="4">
        <v>-48.50663</v>
      </c>
      <c r="I90" s="5">
        <v>26.0</v>
      </c>
      <c r="J90" s="5" t="s">
        <v>112</v>
      </c>
      <c r="K90" s="5" t="s">
        <v>112</v>
      </c>
      <c r="L90" s="3"/>
      <c r="M90" s="5" t="s">
        <v>113</v>
      </c>
      <c r="N90" s="5">
        <v>3.0</v>
      </c>
      <c r="O90" s="3"/>
      <c r="P90" s="3"/>
      <c r="Q90" s="3"/>
      <c r="R90" s="6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5.75" customHeight="1">
      <c r="A91" s="3" t="s">
        <v>17</v>
      </c>
      <c r="B91" s="3" t="s">
        <v>18</v>
      </c>
      <c r="C91" s="3" t="s">
        <v>80</v>
      </c>
      <c r="D91" s="3" t="s">
        <v>81</v>
      </c>
      <c r="E91" s="3" t="s">
        <v>82</v>
      </c>
      <c r="F91" s="3">
        <v>5.0</v>
      </c>
      <c r="G91" s="4">
        <v>-27.61371</v>
      </c>
      <c r="H91" s="4">
        <v>-48.50663</v>
      </c>
      <c r="I91" s="5">
        <v>27.0</v>
      </c>
      <c r="J91" s="5" t="s">
        <v>54</v>
      </c>
      <c r="K91" s="5" t="s">
        <v>55</v>
      </c>
      <c r="L91" s="3"/>
      <c r="M91" s="5" t="s">
        <v>114</v>
      </c>
      <c r="N91" s="5">
        <v>5.0</v>
      </c>
      <c r="O91" s="10"/>
      <c r="P91" s="3"/>
      <c r="Q91" s="3"/>
      <c r="R91" s="6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5.75" customHeight="1">
      <c r="A92" s="3" t="s">
        <v>17</v>
      </c>
      <c r="B92" s="3" t="s">
        <v>18</v>
      </c>
      <c r="C92" s="3" t="s">
        <v>80</v>
      </c>
      <c r="D92" s="3" t="s">
        <v>81</v>
      </c>
      <c r="E92" s="3" t="s">
        <v>82</v>
      </c>
      <c r="F92" s="3">
        <v>5.0</v>
      </c>
      <c r="G92" s="4">
        <v>-27.61371</v>
      </c>
      <c r="H92" s="4">
        <v>-48.50663</v>
      </c>
      <c r="I92" s="5">
        <v>28.0</v>
      </c>
      <c r="J92" s="5" t="s">
        <v>50</v>
      </c>
      <c r="K92" s="5" t="s">
        <v>50</v>
      </c>
      <c r="L92" s="3"/>
      <c r="M92" s="5">
        <v>18.0</v>
      </c>
      <c r="N92" s="5">
        <v>9.0</v>
      </c>
      <c r="O92" s="10" t="s">
        <v>115</v>
      </c>
      <c r="P92" s="3"/>
      <c r="Q92" s="3" t="s">
        <v>116</v>
      </c>
      <c r="R92" s="6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5.75" customHeight="1">
      <c r="A93" s="3" t="s">
        <v>17</v>
      </c>
      <c r="B93" s="3" t="s">
        <v>18</v>
      </c>
      <c r="C93" s="3" t="s">
        <v>80</v>
      </c>
      <c r="D93" s="3" t="s">
        <v>81</v>
      </c>
      <c r="E93" s="3" t="s">
        <v>82</v>
      </c>
      <c r="F93" s="3">
        <v>5.0</v>
      </c>
      <c r="G93" s="4">
        <v>-27.61371</v>
      </c>
      <c r="H93" s="4">
        <v>-48.50663</v>
      </c>
      <c r="I93" s="5">
        <v>29.0</v>
      </c>
      <c r="J93" s="5" t="s">
        <v>54</v>
      </c>
      <c r="K93" s="5" t="s">
        <v>55</v>
      </c>
      <c r="L93" s="3"/>
      <c r="M93" s="5">
        <v>32.0</v>
      </c>
      <c r="N93" s="5">
        <v>6.0</v>
      </c>
      <c r="O93" s="3"/>
      <c r="P93" s="3"/>
      <c r="Q93" s="3"/>
      <c r="R93" s="6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5.75" customHeight="1">
      <c r="A94" s="3" t="s">
        <v>17</v>
      </c>
      <c r="B94" s="3" t="s">
        <v>18</v>
      </c>
      <c r="C94" s="3" t="s">
        <v>80</v>
      </c>
      <c r="D94" s="3" t="s">
        <v>81</v>
      </c>
      <c r="E94" s="3" t="s">
        <v>82</v>
      </c>
      <c r="F94" s="3">
        <v>5.0</v>
      </c>
      <c r="G94" s="4">
        <v>-27.61371</v>
      </c>
      <c r="H94" s="4">
        <v>-48.50663</v>
      </c>
      <c r="I94" s="5">
        <v>30.0</v>
      </c>
      <c r="J94" s="5" t="s">
        <v>117</v>
      </c>
      <c r="K94" s="5" t="s">
        <v>117</v>
      </c>
      <c r="L94" s="3"/>
      <c r="M94" s="11">
        <v>16.0</v>
      </c>
      <c r="N94" s="3">
        <v>5.0</v>
      </c>
      <c r="O94" s="3"/>
      <c r="P94" s="3"/>
      <c r="Q94" s="3"/>
      <c r="R94" s="6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5.75" customHeight="1">
      <c r="A95" s="3" t="s">
        <v>17</v>
      </c>
      <c r="B95" s="3" t="s">
        <v>18</v>
      </c>
      <c r="C95" s="3" t="s">
        <v>80</v>
      </c>
      <c r="D95" s="3" t="s">
        <v>81</v>
      </c>
      <c r="E95" s="3" t="s">
        <v>82</v>
      </c>
      <c r="F95" s="3">
        <v>5.0</v>
      </c>
      <c r="G95" s="4">
        <v>-27.61371</v>
      </c>
      <c r="H95" s="4">
        <v>-48.50663</v>
      </c>
      <c r="I95" s="5">
        <v>31.0</v>
      </c>
      <c r="J95" s="5" t="s">
        <v>117</v>
      </c>
      <c r="K95" s="5" t="s">
        <v>117</v>
      </c>
      <c r="L95" s="3"/>
      <c r="M95" s="5" t="s">
        <v>118</v>
      </c>
      <c r="N95" s="3">
        <v>5.0</v>
      </c>
      <c r="O95" s="3"/>
      <c r="P95" s="3"/>
      <c r="Q95" s="3"/>
      <c r="R95" s="6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5.75" customHeight="1">
      <c r="A96" s="3" t="s">
        <v>17</v>
      </c>
      <c r="B96" s="3" t="s">
        <v>18</v>
      </c>
      <c r="C96" s="3" t="s">
        <v>80</v>
      </c>
      <c r="D96" s="3" t="s">
        <v>81</v>
      </c>
      <c r="E96" s="3" t="s">
        <v>119</v>
      </c>
      <c r="F96" s="3">
        <v>6.0</v>
      </c>
      <c r="G96" s="4">
        <v>-27.61392</v>
      </c>
      <c r="H96" s="4">
        <v>-48.50662</v>
      </c>
      <c r="I96" s="5">
        <v>1.0</v>
      </c>
      <c r="J96" s="5" t="s">
        <v>24</v>
      </c>
      <c r="K96" s="5" t="s">
        <v>24</v>
      </c>
      <c r="L96" s="3"/>
      <c r="M96" s="5">
        <v>40.0</v>
      </c>
      <c r="N96" s="5">
        <v>8.0</v>
      </c>
      <c r="O96" s="3"/>
      <c r="P96" s="3"/>
      <c r="Q96" s="3"/>
      <c r="R96" s="6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5.75" customHeight="1">
      <c r="A97" s="3" t="s">
        <v>17</v>
      </c>
      <c r="B97" s="3" t="s">
        <v>18</v>
      </c>
      <c r="C97" s="3" t="s">
        <v>80</v>
      </c>
      <c r="D97" s="3" t="s">
        <v>81</v>
      </c>
      <c r="E97" s="3" t="s">
        <v>119</v>
      </c>
      <c r="F97" s="3">
        <v>6.0</v>
      </c>
      <c r="G97" s="4">
        <v>-27.61392</v>
      </c>
      <c r="H97" s="4">
        <v>-48.50662</v>
      </c>
      <c r="I97" s="5">
        <v>2.0</v>
      </c>
      <c r="J97" s="5" t="s">
        <v>120</v>
      </c>
      <c r="K97" s="5" t="s">
        <v>120</v>
      </c>
      <c r="L97" s="3" t="s">
        <v>64</v>
      </c>
      <c r="M97" s="5">
        <v>35.0</v>
      </c>
      <c r="N97" s="5">
        <v>10.0</v>
      </c>
      <c r="O97" s="5" t="s">
        <v>121</v>
      </c>
      <c r="P97" s="3"/>
      <c r="Q97" s="3"/>
      <c r="R97" s="6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5.75" customHeight="1">
      <c r="A98" s="3" t="s">
        <v>17</v>
      </c>
      <c r="B98" s="3" t="s">
        <v>18</v>
      </c>
      <c r="C98" s="3" t="s">
        <v>80</v>
      </c>
      <c r="D98" s="3" t="s">
        <v>81</v>
      </c>
      <c r="E98" s="3" t="s">
        <v>119</v>
      </c>
      <c r="F98" s="3">
        <v>6.0</v>
      </c>
      <c r="G98" s="4">
        <v>-27.61392</v>
      </c>
      <c r="H98" s="4">
        <v>-48.50662</v>
      </c>
      <c r="I98" s="5">
        <v>3.0</v>
      </c>
      <c r="J98" s="5" t="s">
        <v>122</v>
      </c>
      <c r="K98" s="5" t="s">
        <v>122</v>
      </c>
      <c r="L98" s="3" t="s">
        <v>64</v>
      </c>
      <c r="M98" s="5">
        <v>27.5</v>
      </c>
      <c r="N98" s="5">
        <v>10.0</v>
      </c>
      <c r="O98" s="5" t="s">
        <v>123</v>
      </c>
      <c r="P98" s="5"/>
      <c r="Q98" s="3"/>
      <c r="R98" s="6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5.75" customHeight="1">
      <c r="A99" s="3" t="s">
        <v>17</v>
      </c>
      <c r="B99" s="3" t="s">
        <v>18</v>
      </c>
      <c r="C99" s="3" t="s">
        <v>80</v>
      </c>
      <c r="D99" s="3" t="s">
        <v>81</v>
      </c>
      <c r="E99" s="3" t="s">
        <v>119</v>
      </c>
      <c r="F99" s="3">
        <v>6.0</v>
      </c>
      <c r="G99" s="4">
        <v>-27.61392</v>
      </c>
      <c r="H99" s="4">
        <v>-48.50662</v>
      </c>
      <c r="I99" s="5">
        <v>4.0</v>
      </c>
      <c r="J99" s="7" t="s">
        <v>124</v>
      </c>
      <c r="K99" s="7" t="s">
        <v>125</v>
      </c>
      <c r="L99" s="3"/>
      <c r="M99" s="5">
        <v>15.5</v>
      </c>
      <c r="N99" s="5">
        <v>3.0</v>
      </c>
      <c r="O99" s="3"/>
      <c r="P99" s="5" t="s">
        <v>90</v>
      </c>
      <c r="Q99" s="3"/>
      <c r="R99" s="6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5.75" customHeight="1">
      <c r="A100" s="3" t="s">
        <v>17</v>
      </c>
      <c r="B100" s="3" t="s">
        <v>18</v>
      </c>
      <c r="C100" s="3" t="s">
        <v>80</v>
      </c>
      <c r="D100" s="3" t="s">
        <v>81</v>
      </c>
      <c r="E100" s="3" t="s">
        <v>119</v>
      </c>
      <c r="F100" s="3">
        <v>6.0</v>
      </c>
      <c r="G100" s="4">
        <v>-27.61392</v>
      </c>
      <c r="H100" s="4">
        <v>-48.50662</v>
      </c>
      <c r="I100" s="5">
        <v>5.0</v>
      </c>
      <c r="J100" s="5" t="s">
        <v>124</v>
      </c>
      <c r="K100" s="5" t="s">
        <v>125</v>
      </c>
      <c r="L100" s="3"/>
      <c r="M100" s="5" t="s">
        <v>126</v>
      </c>
      <c r="N100" s="5">
        <v>4.0</v>
      </c>
      <c r="O100" s="3"/>
      <c r="P100" s="3"/>
      <c r="Q100" s="3"/>
      <c r="R100" s="6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5.75" customHeight="1">
      <c r="A101" s="3" t="s">
        <v>17</v>
      </c>
      <c r="B101" s="3" t="s">
        <v>18</v>
      </c>
      <c r="C101" s="3" t="s">
        <v>80</v>
      </c>
      <c r="D101" s="3" t="s">
        <v>81</v>
      </c>
      <c r="E101" s="3" t="s">
        <v>119</v>
      </c>
      <c r="F101" s="3">
        <v>6.0</v>
      </c>
      <c r="G101" s="4">
        <v>-27.61392</v>
      </c>
      <c r="H101" s="4">
        <v>-48.50662</v>
      </c>
      <c r="I101" s="5">
        <v>6.0</v>
      </c>
      <c r="J101" s="5" t="s">
        <v>78</v>
      </c>
      <c r="K101" s="5" t="s">
        <v>78</v>
      </c>
      <c r="L101" s="3"/>
      <c r="M101" s="5">
        <v>17.0</v>
      </c>
      <c r="N101" s="5">
        <v>5.0</v>
      </c>
      <c r="O101" s="3"/>
      <c r="P101" s="3"/>
      <c r="Q101" s="3"/>
      <c r="R101" s="6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5.75" customHeight="1">
      <c r="A102" s="3" t="s">
        <v>17</v>
      </c>
      <c r="B102" s="3" t="s">
        <v>18</v>
      </c>
      <c r="C102" s="3" t="s">
        <v>80</v>
      </c>
      <c r="D102" s="3" t="s">
        <v>81</v>
      </c>
      <c r="E102" s="3" t="s">
        <v>119</v>
      </c>
      <c r="F102" s="3">
        <v>6.0</v>
      </c>
      <c r="G102" s="4">
        <v>-27.61392</v>
      </c>
      <c r="H102" s="4">
        <v>-48.50662</v>
      </c>
      <c r="I102" s="5">
        <v>7.0</v>
      </c>
      <c r="J102" s="5" t="s">
        <v>63</v>
      </c>
      <c r="K102" s="5" t="s">
        <v>63</v>
      </c>
      <c r="L102" s="3" t="s">
        <v>64</v>
      </c>
      <c r="M102" s="5" t="s">
        <v>127</v>
      </c>
      <c r="N102" s="5">
        <v>12.0</v>
      </c>
      <c r="O102" s="3" t="s">
        <v>128</v>
      </c>
      <c r="P102" s="3" t="s">
        <v>129</v>
      </c>
      <c r="Q102" s="3"/>
      <c r="R102" s="6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5.75" customHeight="1">
      <c r="A103" s="3" t="s">
        <v>17</v>
      </c>
      <c r="B103" s="3" t="s">
        <v>18</v>
      </c>
      <c r="C103" s="3" t="s">
        <v>80</v>
      </c>
      <c r="D103" s="3" t="s">
        <v>81</v>
      </c>
      <c r="E103" s="3" t="s">
        <v>119</v>
      </c>
      <c r="F103" s="3">
        <v>6.0</v>
      </c>
      <c r="G103" s="4">
        <v>-27.61392</v>
      </c>
      <c r="H103" s="4">
        <v>-48.50662</v>
      </c>
      <c r="I103" s="5">
        <v>8.0</v>
      </c>
      <c r="J103" s="12" t="s">
        <v>98</v>
      </c>
      <c r="K103" s="12" t="s">
        <v>98</v>
      </c>
      <c r="L103" s="3"/>
      <c r="M103" s="5">
        <v>33.0</v>
      </c>
      <c r="N103" s="5">
        <v>10.0</v>
      </c>
      <c r="O103" s="3"/>
      <c r="P103" s="3"/>
      <c r="Q103" s="3"/>
      <c r="R103" s="6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5.75" customHeight="1">
      <c r="A104" s="3" t="s">
        <v>17</v>
      </c>
      <c r="B104" s="3" t="s">
        <v>18</v>
      </c>
      <c r="C104" s="3" t="s">
        <v>80</v>
      </c>
      <c r="D104" s="3" t="s">
        <v>81</v>
      </c>
      <c r="E104" s="3" t="s">
        <v>119</v>
      </c>
      <c r="F104" s="3">
        <v>6.0</v>
      </c>
      <c r="G104" s="4">
        <v>-27.61392</v>
      </c>
      <c r="H104" s="4">
        <v>-48.50662</v>
      </c>
      <c r="I104" s="5">
        <v>9.0</v>
      </c>
      <c r="J104" s="5" t="s">
        <v>24</v>
      </c>
      <c r="K104" s="5" t="s">
        <v>24</v>
      </c>
      <c r="L104" s="3"/>
      <c r="M104" s="5">
        <v>26.0</v>
      </c>
      <c r="N104" s="5">
        <v>8.0</v>
      </c>
      <c r="O104" s="3"/>
      <c r="P104" s="3"/>
      <c r="Q104" s="3"/>
      <c r="R104" s="6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15.75" customHeight="1">
      <c r="A105" s="3" t="s">
        <v>17</v>
      </c>
      <c r="B105" s="3" t="s">
        <v>18</v>
      </c>
      <c r="C105" s="3" t="s">
        <v>80</v>
      </c>
      <c r="D105" s="3" t="s">
        <v>81</v>
      </c>
      <c r="E105" s="3" t="s">
        <v>119</v>
      </c>
      <c r="F105" s="3">
        <v>6.0</v>
      </c>
      <c r="G105" s="4">
        <v>-27.61392</v>
      </c>
      <c r="H105" s="4">
        <v>-48.50662</v>
      </c>
      <c r="I105" s="5">
        <v>10.0</v>
      </c>
      <c r="J105" s="5" t="s">
        <v>120</v>
      </c>
      <c r="K105" s="5" t="s">
        <v>120</v>
      </c>
      <c r="L105" s="3"/>
      <c r="M105" s="5">
        <v>26.0</v>
      </c>
      <c r="N105" s="5">
        <v>8.0</v>
      </c>
      <c r="O105" s="3"/>
      <c r="P105" s="3" t="s">
        <v>90</v>
      </c>
      <c r="Q105" s="3"/>
      <c r="R105" s="6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15.75" customHeight="1">
      <c r="A106" s="3" t="s">
        <v>17</v>
      </c>
      <c r="B106" s="3" t="s">
        <v>18</v>
      </c>
      <c r="C106" s="3" t="s">
        <v>80</v>
      </c>
      <c r="D106" s="3" t="s">
        <v>81</v>
      </c>
      <c r="E106" s="3" t="s">
        <v>130</v>
      </c>
      <c r="F106" s="3">
        <v>7.0</v>
      </c>
      <c r="G106" s="4">
        <v>-27.61386</v>
      </c>
      <c r="H106" s="4">
        <v>-48.5065</v>
      </c>
      <c r="I106" s="5">
        <v>1.0</v>
      </c>
      <c r="J106" s="5" t="s">
        <v>100</v>
      </c>
      <c r="K106" s="5" t="s">
        <v>100</v>
      </c>
      <c r="L106" s="3"/>
      <c r="M106" s="5">
        <v>43.0</v>
      </c>
      <c r="N106" s="5">
        <v>10.0</v>
      </c>
      <c r="O106" s="3"/>
      <c r="P106" s="3"/>
      <c r="Q106" s="3"/>
      <c r="R106" s="6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5.75" customHeight="1">
      <c r="A107" s="3" t="s">
        <v>17</v>
      </c>
      <c r="B107" s="3" t="s">
        <v>18</v>
      </c>
      <c r="C107" s="3" t="s">
        <v>80</v>
      </c>
      <c r="D107" s="3" t="s">
        <v>81</v>
      </c>
      <c r="E107" s="3" t="s">
        <v>130</v>
      </c>
      <c r="F107" s="3">
        <v>7.0</v>
      </c>
      <c r="G107" s="4">
        <v>-27.61386</v>
      </c>
      <c r="H107" s="4">
        <v>-48.5065</v>
      </c>
      <c r="I107" s="5">
        <v>2.0</v>
      </c>
      <c r="J107" s="5" t="s">
        <v>131</v>
      </c>
      <c r="K107" s="5" t="s">
        <v>108</v>
      </c>
      <c r="L107" s="3"/>
      <c r="M107" s="5">
        <v>9.0</v>
      </c>
      <c r="N107" s="5">
        <v>12.0</v>
      </c>
      <c r="O107" s="3"/>
      <c r="P107" s="3"/>
      <c r="Q107" s="3"/>
      <c r="R107" s="6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15.75" customHeight="1">
      <c r="A108" s="3" t="s">
        <v>17</v>
      </c>
      <c r="B108" s="3" t="s">
        <v>18</v>
      </c>
      <c r="C108" s="3" t="s">
        <v>80</v>
      </c>
      <c r="D108" s="3" t="s">
        <v>81</v>
      </c>
      <c r="E108" s="3" t="s">
        <v>130</v>
      </c>
      <c r="F108" s="3">
        <v>7.0</v>
      </c>
      <c r="G108" s="4">
        <v>-27.61386</v>
      </c>
      <c r="H108" s="4">
        <v>-48.5065</v>
      </c>
      <c r="I108" s="5">
        <v>3.0</v>
      </c>
      <c r="J108" s="5" t="s">
        <v>31</v>
      </c>
      <c r="K108" s="5" t="s">
        <v>31</v>
      </c>
      <c r="L108" s="3"/>
      <c r="M108" s="5">
        <v>36.0</v>
      </c>
      <c r="N108" s="5">
        <v>9.0</v>
      </c>
      <c r="O108" s="3"/>
      <c r="P108" s="3"/>
      <c r="Q108" s="3"/>
      <c r="R108" s="6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15.75" customHeight="1">
      <c r="A109" s="3" t="s">
        <v>17</v>
      </c>
      <c r="B109" s="3" t="s">
        <v>18</v>
      </c>
      <c r="C109" s="3" t="s">
        <v>80</v>
      </c>
      <c r="D109" s="3" t="s">
        <v>81</v>
      </c>
      <c r="E109" s="3" t="s">
        <v>130</v>
      </c>
      <c r="F109" s="3">
        <v>7.0</v>
      </c>
      <c r="G109" s="4">
        <v>-27.61386</v>
      </c>
      <c r="H109" s="4">
        <v>-48.5065</v>
      </c>
      <c r="I109" s="5">
        <v>4.0</v>
      </c>
      <c r="J109" s="5" t="s">
        <v>132</v>
      </c>
      <c r="K109" s="5" t="s">
        <v>132</v>
      </c>
      <c r="L109" s="3"/>
      <c r="M109" s="5" t="s">
        <v>133</v>
      </c>
      <c r="N109" s="5">
        <v>5.0</v>
      </c>
      <c r="O109" s="3"/>
      <c r="P109" s="3"/>
      <c r="Q109" s="3"/>
      <c r="R109" s="6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5.75" customHeight="1">
      <c r="A110" s="3" t="s">
        <v>17</v>
      </c>
      <c r="B110" s="3" t="s">
        <v>18</v>
      </c>
      <c r="C110" s="3" t="s">
        <v>80</v>
      </c>
      <c r="D110" s="3" t="s">
        <v>81</v>
      </c>
      <c r="E110" s="3" t="s">
        <v>130</v>
      </c>
      <c r="F110" s="3">
        <v>7.0</v>
      </c>
      <c r="G110" s="4">
        <v>-27.61386</v>
      </c>
      <c r="H110" s="4">
        <v>-48.5065</v>
      </c>
      <c r="I110" s="5">
        <v>5.0</v>
      </c>
      <c r="J110" s="5" t="s">
        <v>54</v>
      </c>
      <c r="K110" s="5" t="s">
        <v>55</v>
      </c>
      <c r="L110" s="3"/>
      <c r="M110" s="5">
        <v>24.0</v>
      </c>
      <c r="N110" s="5">
        <v>10.0</v>
      </c>
      <c r="O110" s="3"/>
      <c r="P110" s="5"/>
      <c r="Q110" s="3"/>
      <c r="R110" s="6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15.75" customHeight="1">
      <c r="A111" s="3" t="s">
        <v>17</v>
      </c>
      <c r="B111" s="3" t="s">
        <v>18</v>
      </c>
      <c r="C111" s="3" t="s">
        <v>80</v>
      </c>
      <c r="D111" s="3" t="s">
        <v>81</v>
      </c>
      <c r="E111" s="3" t="s">
        <v>130</v>
      </c>
      <c r="F111" s="3">
        <v>7.0</v>
      </c>
      <c r="G111" s="4">
        <v>-27.61386</v>
      </c>
      <c r="H111" s="4">
        <v>-48.5065</v>
      </c>
      <c r="I111" s="5">
        <v>6.0</v>
      </c>
      <c r="J111" s="5" t="s">
        <v>54</v>
      </c>
      <c r="K111" s="5" t="s">
        <v>55</v>
      </c>
      <c r="L111" s="3"/>
      <c r="M111" s="5">
        <v>25.0</v>
      </c>
      <c r="N111" s="5">
        <v>10.0</v>
      </c>
      <c r="O111" s="3"/>
      <c r="P111" s="5" t="s">
        <v>134</v>
      </c>
      <c r="Q111" s="3"/>
      <c r="R111" s="6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15.75" customHeight="1">
      <c r="A112" s="3" t="s">
        <v>17</v>
      </c>
      <c r="B112" s="3" t="s">
        <v>18</v>
      </c>
      <c r="C112" s="3" t="s">
        <v>80</v>
      </c>
      <c r="D112" s="3" t="s">
        <v>81</v>
      </c>
      <c r="E112" s="3" t="s">
        <v>130</v>
      </c>
      <c r="F112" s="3">
        <v>7.0</v>
      </c>
      <c r="G112" s="4">
        <v>-27.61386</v>
      </c>
      <c r="H112" s="4">
        <v>-48.5065</v>
      </c>
      <c r="I112" s="5">
        <v>7.0</v>
      </c>
      <c r="J112" s="5" t="s">
        <v>132</v>
      </c>
      <c r="K112" s="5" t="s">
        <v>132</v>
      </c>
      <c r="L112" s="3"/>
      <c r="M112" s="5" t="s">
        <v>135</v>
      </c>
      <c r="N112" s="5">
        <v>6.5</v>
      </c>
      <c r="O112" s="3"/>
      <c r="P112" s="3"/>
      <c r="Q112" s="3"/>
      <c r="R112" s="6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5.75" customHeight="1">
      <c r="A113" s="3" t="s">
        <v>17</v>
      </c>
      <c r="B113" s="3" t="s">
        <v>18</v>
      </c>
      <c r="C113" s="3" t="s">
        <v>80</v>
      </c>
      <c r="D113" s="3" t="s">
        <v>81</v>
      </c>
      <c r="E113" s="3" t="s">
        <v>130</v>
      </c>
      <c r="F113" s="3">
        <v>7.0</v>
      </c>
      <c r="G113" s="4">
        <v>-27.61386</v>
      </c>
      <c r="H113" s="4">
        <v>-48.5065</v>
      </c>
      <c r="I113" s="5">
        <v>8.0</v>
      </c>
      <c r="J113" s="5" t="s">
        <v>100</v>
      </c>
      <c r="K113" s="5" t="s">
        <v>100</v>
      </c>
      <c r="L113" s="3"/>
      <c r="M113" s="5">
        <v>29.5</v>
      </c>
      <c r="N113" s="5">
        <v>7.0</v>
      </c>
      <c r="O113" s="3"/>
      <c r="P113" s="3"/>
      <c r="Q113" s="3"/>
      <c r="R113" s="6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15.75" customHeight="1">
      <c r="A114" s="3" t="s">
        <v>17</v>
      </c>
      <c r="B114" s="3" t="s">
        <v>18</v>
      </c>
      <c r="C114" s="3" t="s">
        <v>80</v>
      </c>
      <c r="D114" s="3" t="s">
        <v>81</v>
      </c>
      <c r="E114" s="3" t="s">
        <v>130</v>
      </c>
      <c r="F114" s="3">
        <v>7.0</v>
      </c>
      <c r="G114" s="4">
        <v>-27.61386</v>
      </c>
      <c r="H114" s="4">
        <v>-48.5065</v>
      </c>
      <c r="I114" s="5">
        <v>9.0</v>
      </c>
      <c r="J114" s="5" t="s">
        <v>100</v>
      </c>
      <c r="K114" s="5" t="s">
        <v>100</v>
      </c>
      <c r="L114" s="3"/>
      <c r="M114" s="5">
        <v>16.5</v>
      </c>
      <c r="N114" s="5">
        <v>5.5</v>
      </c>
      <c r="O114" s="3"/>
      <c r="P114" s="3"/>
      <c r="Q114" s="3"/>
      <c r="R114" s="6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15.75" customHeight="1">
      <c r="A115" s="3" t="s">
        <v>17</v>
      </c>
      <c r="B115" s="3" t="s">
        <v>18</v>
      </c>
      <c r="C115" s="3" t="s">
        <v>80</v>
      </c>
      <c r="D115" s="3" t="s">
        <v>81</v>
      </c>
      <c r="E115" s="3" t="s">
        <v>130</v>
      </c>
      <c r="F115" s="3">
        <v>7.0</v>
      </c>
      <c r="G115" s="4">
        <v>-27.61386</v>
      </c>
      <c r="H115" s="4">
        <v>-48.5065</v>
      </c>
      <c r="I115" s="5">
        <v>10.0</v>
      </c>
      <c r="J115" s="5" t="s">
        <v>102</v>
      </c>
      <c r="K115" s="5" t="s">
        <v>102</v>
      </c>
      <c r="L115" s="3" t="s">
        <v>64</v>
      </c>
      <c r="M115" s="5" t="s">
        <v>136</v>
      </c>
      <c r="N115" s="5">
        <v>6.5</v>
      </c>
      <c r="O115" s="3" t="s">
        <v>137</v>
      </c>
      <c r="P115" s="3" t="s">
        <v>90</v>
      </c>
      <c r="Q115" s="3"/>
      <c r="R115" s="6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15.75" customHeight="1">
      <c r="A116" s="3" t="s">
        <v>17</v>
      </c>
      <c r="B116" s="3" t="s">
        <v>18</v>
      </c>
      <c r="C116" s="3" t="s">
        <v>80</v>
      </c>
      <c r="D116" s="3" t="s">
        <v>81</v>
      </c>
      <c r="E116" s="3" t="s">
        <v>130</v>
      </c>
      <c r="F116" s="3">
        <v>7.0</v>
      </c>
      <c r="G116" s="4">
        <v>-27.61386</v>
      </c>
      <c r="H116" s="4">
        <v>-48.5065</v>
      </c>
      <c r="I116" s="5">
        <v>11.0</v>
      </c>
      <c r="J116" s="5" t="s">
        <v>24</v>
      </c>
      <c r="K116" s="5" t="s">
        <v>24</v>
      </c>
      <c r="L116" s="3"/>
      <c r="M116" s="5">
        <v>37.0</v>
      </c>
      <c r="N116" s="5">
        <v>8.0</v>
      </c>
      <c r="O116" s="3"/>
      <c r="P116" s="3"/>
      <c r="Q116" s="3"/>
      <c r="R116" s="6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15.75" customHeight="1">
      <c r="A117" s="3" t="s">
        <v>17</v>
      </c>
      <c r="B117" s="3" t="s">
        <v>18</v>
      </c>
      <c r="C117" s="3" t="s">
        <v>80</v>
      </c>
      <c r="D117" s="3" t="s">
        <v>81</v>
      </c>
      <c r="E117" s="3" t="s">
        <v>130</v>
      </c>
      <c r="F117" s="3">
        <v>7.0</v>
      </c>
      <c r="G117" s="4">
        <v>-27.61386</v>
      </c>
      <c r="H117" s="4">
        <v>-48.5065</v>
      </c>
      <c r="I117" s="5">
        <v>12.0</v>
      </c>
      <c r="J117" s="5" t="s">
        <v>24</v>
      </c>
      <c r="K117" s="5" t="s">
        <v>24</v>
      </c>
      <c r="L117" s="3"/>
      <c r="M117" s="5">
        <v>29.0</v>
      </c>
      <c r="N117" s="5">
        <v>8.0</v>
      </c>
      <c r="O117" s="3"/>
      <c r="P117" s="3"/>
      <c r="Q117" s="3"/>
      <c r="R117" s="6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15.75" customHeight="1">
      <c r="A118" s="3" t="s">
        <v>17</v>
      </c>
      <c r="B118" s="3" t="s">
        <v>18</v>
      </c>
      <c r="C118" s="3" t="s">
        <v>80</v>
      </c>
      <c r="D118" s="3" t="s">
        <v>81</v>
      </c>
      <c r="E118" s="3" t="s">
        <v>130</v>
      </c>
      <c r="F118" s="3">
        <v>7.0</v>
      </c>
      <c r="G118" s="4">
        <v>-27.61386</v>
      </c>
      <c r="H118" s="4">
        <v>-48.5065</v>
      </c>
      <c r="I118" s="5">
        <v>13.0</v>
      </c>
      <c r="J118" s="5" t="s">
        <v>100</v>
      </c>
      <c r="K118" s="5" t="s">
        <v>100</v>
      </c>
      <c r="L118" s="3"/>
      <c r="M118" s="5">
        <v>24.0</v>
      </c>
      <c r="N118" s="5">
        <v>8.0</v>
      </c>
      <c r="O118" s="3"/>
      <c r="P118" s="3"/>
      <c r="Q118" s="3"/>
      <c r="R118" s="6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15.75" customHeight="1">
      <c r="A119" s="3" t="s">
        <v>17</v>
      </c>
      <c r="B119" s="3" t="s">
        <v>18</v>
      </c>
      <c r="C119" s="3" t="s">
        <v>80</v>
      </c>
      <c r="D119" s="3" t="s">
        <v>81</v>
      </c>
      <c r="E119" s="3" t="s">
        <v>130</v>
      </c>
      <c r="F119" s="3">
        <v>7.0</v>
      </c>
      <c r="G119" s="4">
        <v>-27.61386</v>
      </c>
      <c r="H119" s="4">
        <v>-48.5065</v>
      </c>
      <c r="I119" s="5">
        <v>14.0</v>
      </c>
      <c r="J119" s="5" t="s">
        <v>50</v>
      </c>
      <c r="K119" s="5" t="s">
        <v>50</v>
      </c>
      <c r="L119" s="3"/>
      <c r="M119" s="5">
        <v>96.0</v>
      </c>
      <c r="N119" s="5">
        <v>15.0</v>
      </c>
      <c r="O119" s="3" t="s">
        <v>138</v>
      </c>
      <c r="P119" s="3"/>
      <c r="Q119" s="3"/>
      <c r="R119" s="6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15.75" customHeight="1">
      <c r="A120" s="3" t="s">
        <v>17</v>
      </c>
      <c r="B120" s="3" t="s">
        <v>18</v>
      </c>
      <c r="C120" s="3" t="s">
        <v>80</v>
      </c>
      <c r="D120" s="3" t="s">
        <v>81</v>
      </c>
      <c r="E120" s="3" t="s">
        <v>130</v>
      </c>
      <c r="F120" s="3">
        <v>7.0</v>
      </c>
      <c r="G120" s="4">
        <v>-27.61386</v>
      </c>
      <c r="H120" s="4">
        <v>-48.5065</v>
      </c>
      <c r="I120" s="5">
        <v>15.0</v>
      </c>
      <c r="J120" s="5" t="s">
        <v>63</v>
      </c>
      <c r="K120" s="5" t="s">
        <v>63</v>
      </c>
      <c r="L120" s="3" t="s">
        <v>64</v>
      </c>
      <c r="M120" s="5">
        <v>80.0</v>
      </c>
      <c r="N120" s="5">
        <v>13.0</v>
      </c>
      <c r="O120" s="3"/>
      <c r="P120" s="3"/>
      <c r="Q120" s="3"/>
      <c r="R120" s="6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15.75" customHeight="1">
      <c r="A121" s="3" t="s">
        <v>17</v>
      </c>
      <c r="B121" s="3" t="s">
        <v>18</v>
      </c>
      <c r="C121" s="3" t="s">
        <v>80</v>
      </c>
      <c r="D121" s="3" t="s">
        <v>81</v>
      </c>
      <c r="E121" s="3" t="s">
        <v>130</v>
      </c>
      <c r="F121" s="3">
        <v>7.0</v>
      </c>
      <c r="G121" s="4">
        <v>-27.61386</v>
      </c>
      <c r="H121" s="4">
        <v>-48.5065</v>
      </c>
      <c r="I121" s="5">
        <v>16.0</v>
      </c>
      <c r="J121" s="5" t="s">
        <v>54</v>
      </c>
      <c r="K121" s="5" t="s">
        <v>55</v>
      </c>
      <c r="L121" s="3"/>
      <c r="M121" s="5">
        <v>15.5</v>
      </c>
      <c r="N121" s="5">
        <v>4.0</v>
      </c>
      <c r="O121" s="3"/>
      <c r="P121" s="3"/>
      <c r="Q121" s="3"/>
      <c r="R121" s="6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5.75" customHeight="1">
      <c r="A122" s="3" t="s">
        <v>17</v>
      </c>
      <c r="B122" s="3" t="s">
        <v>18</v>
      </c>
      <c r="C122" s="3" t="s">
        <v>80</v>
      </c>
      <c r="D122" s="3" t="s">
        <v>81</v>
      </c>
      <c r="E122" s="3" t="s">
        <v>130</v>
      </c>
      <c r="F122" s="3">
        <v>7.0</v>
      </c>
      <c r="G122" s="4">
        <v>-27.61386</v>
      </c>
      <c r="H122" s="4">
        <v>-48.5065</v>
      </c>
      <c r="I122" s="5">
        <v>17.0</v>
      </c>
      <c r="J122" s="5" t="s">
        <v>31</v>
      </c>
      <c r="K122" s="5" t="s">
        <v>31</v>
      </c>
      <c r="L122" s="3"/>
      <c r="M122" s="5">
        <v>15.5</v>
      </c>
      <c r="N122" s="5">
        <v>6.0</v>
      </c>
      <c r="O122" s="3"/>
      <c r="P122" s="3"/>
      <c r="Q122" s="3"/>
      <c r="R122" s="6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15.75" customHeight="1">
      <c r="A123" s="3" t="s">
        <v>17</v>
      </c>
      <c r="B123" s="3" t="s">
        <v>18</v>
      </c>
      <c r="C123" s="3" t="s">
        <v>80</v>
      </c>
      <c r="D123" s="3" t="s">
        <v>81</v>
      </c>
      <c r="E123" s="3" t="s">
        <v>130</v>
      </c>
      <c r="F123" s="3">
        <v>7.0</v>
      </c>
      <c r="G123" s="4">
        <v>-27.61386</v>
      </c>
      <c r="H123" s="4">
        <v>-48.5065</v>
      </c>
      <c r="I123" s="5">
        <v>18.0</v>
      </c>
      <c r="J123" s="5" t="s">
        <v>24</v>
      </c>
      <c r="K123" s="5" t="s">
        <v>24</v>
      </c>
      <c r="L123" s="3"/>
      <c r="M123" s="5">
        <v>61.5</v>
      </c>
      <c r="N123" s="5">
        <v>9.0</v>
      </c>
      <c r="O123" s="3"/>
      <c r="P123" s="3"/>
      <c r="Q123" s="3"/>
      <c r="R123" s="6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15.75" customHeight="1">
      <c r="A124" s="3" t="s">
        <v>17</v>
      </c>
      <c r="B124" s="3" t="s">
        <v>18</v>
      </c>
      <c r="C124" s="3" t="s">
        <v>80</v>
      </c>
      <c r="D124" s="3" t="s">
        <v>81</v>
      </c>
      <c r="E124" s="3" t="s">
        <v>130</v>
      </c>
      <c r="F124" s="3">
        <v>7.0</v>
      </c>
      <c r="G124" s="4">
        <v>-27.61386</v>
      </c>
      <c r="H124" s="4">
        <v>-48.5065</v>
      </c>
      <c r="I124" s="5">
        <v>19.0</v>
      </c>
      <c r="J124" s="5" t="s">
        <v>24</v>
      </c>
      <c r="K124" s="5" t="s">
        <v>24</v>
      </c>
      <c r="L124" s="3"/>
      <c r="M124" s="5">
        <v>23.0</v>
      </c>
      <c r="N124" s="5">
        <v>4.0</v>
      </c>
      <c r="O124" s="3"/>
      <c r="P124" s="3"/>
      <c r="Q124" s="3"/>
      <c r="R124" s="6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15.75" customHeight="1">
      <c r="A125" s="3" t="s">
        <v>17</v>
      </c>
      <c r="B125" s="3" t="s">
        <v>18</v>
      </c>
      <c r="C125" s="3" t="s">
        <v>80</v>
      </c>
      <c r="D125" s="3" t="s">
        <v>81</v>
      </c>
      <c r="E125" s="3" t="s">
        <v>130</v>
      </c>
      <c r="F125" s="3">
        <v>7.0</v>
      </c>
      <c r="G125" s="4">
        <v>-27.61386</v>
      </c>
      <c r="H125" s="4">
        <v>-48.5065</v>
      </c>
      <c r="I125" s="5">
        <v>20.0</v>
      </c>
      <c r="J125" s="5" t="s">
        <v>24</v>
      </c>
      <c r="K125" s="5" t="s">
        <v>24</v>
      </c>
      <c r="L125" s="3"/>
      <c r="M125" s="5">
        <v>23.5</v>
      </c>
      <c r="N125" s="5">
        <v>6.0</v>
      </c>
      <c r="O125" s="3"/>
      <c r="P125" s="3"/>
      <c r="Q125" s="3"/>
      <c r="R125" s="6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15.75" customHeight="1">
      <c r="A126" s="3" t="s">
        <v>17</v>
      </c>
      <c r="B126" s="3" t="s">
        <v>18</v>
      </c>
      <c r="C126" s="3" t="s">
        <v>80</v>
      </c>
      <c r="D126" s="3" t="s">
        <v>81</v>
      </c>
      <c r="E126" s="3" t="s">
        <v>130</v>
      </c>
      <c r="F126" s="3">
        <v>7.0</v>
      </c>
      <c r="G126" s="4">
        <v>-27.61386</v>
      </c>
      <c r="H126" s="4">
        <v>-48.5065</v>
      </c>
      <c r="I126" s="5">
        <v>21.0</v>
      </c>
      <c r="J126" s="5" t="s">
        <v>100</v>
      </c>
      <c r="K126" s="5" t="s">
        <v>100</v>
      </c>
      <c r="L126" s="3"/>
      <c r="M126" s="5">
        <v>62.0</v>
      </c>
      <c r="N126" s="5">
        <v>7.0</v>
      </c>
      <c r="O126" s="3"/>
      <c r="P126" s="3"/>
      <c r="Q126" s="3"/>
      <c r="R126" s="6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15.75" customHeight="1">
      <c r="A127" s="3" t="s">
        <v>17</v>
      </c>
      <c r="B127" s="3" t="s">
        <v>18</v>
      </c>
      <c r="C127" s="3" t="s">
        <v>80</v>
      </c>
      <c r="D127" s="3" t="s">
        <v>81</v>
      </c>
      <c r="E127" s="3" t="s">
        <v>130</v>
      </c>
      <c r="F127" s="3">
        <v>7.0</v>
      </c>
      <c r="G127" s="4">
        <v>-27.61386</v>
      </c>
      <c r="H127" s="4">
        <v>-48.5065</v>
      </c>
      <c r="I127" s="5">
        <v>22.0</v>
      </c>
      <c r="J127" s="5" t="s">
        <v>100</v>
      </c>
      <c r="K127" s="5" t="s">
        <v>100</v>
      </c>
      <c r="L127" s="3"/>
      <c r="M127" s="5">
        <v>58.0</v>
      </c>
      <c r="N127" s="5">
        <v>9.0</v>
      </c>
      <c r="O127" s="3"/>
      <c r="P127" s="3"/>
      <c r="Q127" s="3"/>
      <c r="R127" s="6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15.75" customHeight="1">
      <c r="A128" s="3" t="s">
        <v>17</v>
      </c>
      <c r="B128" s="3" t="s">
        <v>18</v>
      </c>
      <c r="C128" s="3" t="s">
        <v>80</v>
      </c>
      <c r="D128" s="3" t="s">
        <v>81</v>
      </c>
      <c r="E128" s="3" t="s">
        <v>130</v>
      </c>
      <c r="F128" s="3">
        <v>7.0</v>
      </c>
      <c r="G128" s="4">
        <v>-27.61386</v>
      </c>
      <c r="H128" s="4">
        <v>-48.5065</v>
      </c>
      <c r="I128" s="5">
        <v>23.0</v>
      </c>
      <c r="J128" s="5" t="s">
        <v>100</v>
      </c>
      <c r="K128" s="5" t="s">
        <v>100</v>
      </c>
      <c r="L128" s="3"/>
      <c r="M128" s="5">
        <v>17.5</v>
      </c>
      <c r="N128" s="5">
        <v>3.0</v>
      </c>
      <c r="O128" s="3"/>
      <c r="P128" s="3"/>
      <c r="Q128" s="3"/>
      <c r="R128" s="6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15.75" customHeight="1">
      <c r="A129" s="3" t="s">
        <v>17</v>
      </c>
      <c r="B129" s="3" t="s">
        <v>18</v>
      </c>
      <c r="C129" s="3" t="s">
        <v>80</v>
      </c>
      <c r="D129" s="3" t="s">
        <v>81</v>
      </c>
      <c r="E129" s="3" t="s">
        <v>130</v>
      </c>
      <c r="F129" s="3">
        <v>7.0</v>
      </c>
      <c r="G129" s="4">
        <v>-27.61386</v>
      </c>
      <c r="H129" s="4">
        <v>-48.5065</v>
      </c>
      <c r="I129" s="5">
        <v>24.0</v>
      </c>
      <c r="J129" s="5" t="s">
        <v>100</v>
      </c>
      <c r="K129" s="5" t="s">
        <v>100</v>
      </c>
      <c r="L129" s="3"/>
      <c r="M129" s="5" t="s">
        <v>139</v>
      </c>
      <c r="N129" s="5">
        <v>10.0</v>
      </c>
      <c r="O129" s="3"/>
      <c r="P129" s="3"/>
      <c r="Q129" s="3"/>
      <c r="R129" s="6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15.75" customHeight="1">
      <c r="A130" s="3" t="s">
        <v>17</v>
      </c>
      <c r="B130" s="3" t="s">
        <v>18</v>
      </c>
      <c r="C130" s="3" t="s">
        <v>80</v>
      </c>
      <c r="D130" s="3" t="s">
        <v>81</v>
      </c>
      <c r="E130" s="3" t="s">
        <v>130</v>
      </c>
      <c r="F130" s="3">
        <v>7.0</v>
      </c>
      <c r="G130" s="4">
        <v>-27.61386</v>
      </c>
      <c r="H130" s="4">
        <v>-48.5065</v>
      </c>
      <c r="I130" s="5">
        <v>25.0</v>
      </c>
      <c r="J130" s="5" t="s">
        <v>140</v>
      </c>
      <c r="K130" s="5" t="s">
        <v>140</v>
      </c>
      <c r="L130" s="3"/>
      <c r="M130" s="5">
        <v>18.0</v>
      </c>
      <c r="N130" s="5">
        <v>6.0</v>
      </c>
      <c r="O130" s="3"/>
      <c r="P130" s="3"/>
      <c r="Q130" s="3"/>
      <c r="R130" s="6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15.75" customHeight="1">
      <c r="A131" s="3" t="s">
        <v>17</v>
      </c>
      <c r="B131" s="3" t="s">
        <v>18</v>
      </c>
      <c r="C131" s="3" t="s">
        <v>80</v>
      </c>
      <c r="D131" s="3" t="s">
        <v>81</v>
      </c>
      <c r="E131" s="3" t="s">
        <v>130</v>
      </c>
      <c r="F131" s="3">
        <v>7.0</v>
      </c>
      <c r="G131" s="4">
        <v>-27.61386</v>
      </c>
      <c r="H131" s="4">
        <v>-48.5065</v>
      </c>
      <c r="I131" s="5">
        <v>26.0</v>
      </c>
      <c r="J131" s="5" t="s">
        <v>140</v>
      </c>
      <c r="K131" s="5" t="s">
        <v>140</v>
      </c>
      <c r="L131" s="3"/>
      <c r="M131" s="5" t="s">
        <v>141</v>
      </c>
      <c r="N131" s="5">
        <v>10.0</v>
      </c>
      <c r="O131" s="3"/>
      <c r="P131" s="3"/>
      <c r="Q131" s="3"/>
      <c r="R131" s="6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15.75" customHeight="1">
      <c r="A132" s="3" t="s">
        <v>17</v>
      </c>
      <c r="B132" s="3" t="s">
        <v>18</v>
      </c>
      <c r="C132" s="3" t="s">
        <v>80</v>
      </c>
      <c r="D132" s="3" t="s">
        <v>81</v>
      </c>
      <c r="E132" s="3" t="s">
        <v>142</v>
      </c>
      <c r="F132" s="3">
        <v>8.0</v>
      </c>
      <c r="G132" s="4">
        <v>-27.61409</v>
      </c>
      <c r="H132" s="4">
        <v>-48.50623</v>
      </c>
      <c r="I132" s="5">
        <v>1.0</v>
      </c>
      <c r="J132" s="5" t="s">
        <v>24</v>
      </c>
      <c r="K132" s="5" t="s">
        <v>24</v>
      </c>
      <c r="L132" s="3"/>
      <c r="M132" s="5" t="s">
        <v>143</v>
      </c>
      <c r="N132" s="5">
        <v>10.0</v>
      </c>
      <c r="O132" s="3"/>
      <c r="P132" s="3"/>
      <c r="Q132" s="3"/>
      <c r="R132" s="6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5.75" customHeight="1">
      <c r="A133" s="3" t="s">
        <v>17</v>
      </c>
      <c r="B133" s="3" t="s">
        <v>18</v>
      </c>
      <c r="C133" s="3" t="s">
        <v>80</v>
      </c>
      <c r="D133" s="3" t="s">
        <v>81</v>
      </c>
      <c r="E133" s="3" t="s">
        <v>142</v>
      </c>
      <c r="F133" s="3">
        <v>8.0</v>
      </c>
      <c r="G133" s="4">
        <v>-27.61409</v>
      </c>
      <c r="H133" s="4">
        <v>-48.50623</v>
      </c>
      <c r="I133" s="5">
        <v>2.0</v>
      </c>
      <c r="J133" s="5" t="s">
        <v>31</v>
      </c>
      <c r="K133" s="5" t="s">
        <v>31</v>
      </c>
      <c r="L133" s="3"/>
      <c r="M133" s="5" t="s">
        <v>144</v>
      </c>
      <c r="N133" s="5">
        <v>9.0</v>
      </c>
      <c r="O133" s="3"/>
      <c r="P133" s="3"/>
      <c r="Q133" s="3"/>
      <c r="R133" s="6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15.75" customHeight="1">
      <c r="A134" s="3" t="s">
        <v>17</v>
      </c>
      <c r="B134" s="3" t="s">
        <v>18</v>
      </c>
      <c r="C134" s="3" t="s">
        <v>80</v>
      </c>
      <c r="D134" s="3" t="s">
        <v>81</v>
      </c>
      <c r="E134" s="3" t="s">
        <v>142</v>
      </c>
      <c r="F134" s="3">
        <v>8.0</v>
      </c>
      <c r="G134" s="4">
        <v>-27.61409</v>
      </c>
      <c r="H134" s="4">
        <v>-48.50623</v>
      </c>
      <c r="I134" s="5">
        <v>3.0</v>
      </c>
      <c r="J134" s="5" t="s">
        <v>132</v>
      </c>
      <c r="K134" s="5" t="s">
        <v>132</v>
      </c>
      <c r="L134" s="3"/>
      <c r="M134" s="5">
        <v>18.0</v>
      </c>
      <c r="N134" s="5">
        <v>5.5</v>
      </c>
      <c r="O134" s="3"/>
      <c r="P134" s="3" t="s">
        <v>90</v>
      </c>
      <c r="Q134" s="3"/>
      <c r="R134" s="6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3" t="s">
        <v>17</v>
      </c>
      <c r="B135" s="3" t="s">
        <v>18</v>
      </c>
      <c r="C135" s="3" t="s">
        <v>80</v>
      </c>
      <c r="D135" s="3" t="s">
        <v>81</v>
      </c>
      <c r="E135" s="3" t="s">
        <v>142</v>
      </c>
      <c r="F135" s="3">
        <v>8.0</v>
      </c>
      <c r="G135" s="4">
        <v>-27.61409</v>
      </c>
      <c r="H135" s="4">
        <v>-48.50623</v>
      </c>
      <c r="I135" s="5">
        <v>4.0</v>
      </c>
      <c r="J135" s="5" t="s">
        <v>63</v>
      </c>
      <c r="K135" s="5" t="s">
        <v>63</v>
      </c>
      <c r="L135" s="3"/>
      <c r="M135" s="5">
        <v>60.0</v>
      </c>
      <c r="N135" s="5">
        <v>9.0</v>
      </c>
      <c r="O135" s="3"/>
      <c r="P135" s="3" t="s">
        <v>90</v>
      </c>
      <c r="Q135" s="3"/>
      <c r="R135" s="6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3" t="s">
        <v>17</v>
      </c>
      <c r="B136" s="3" t="s">
        <v>18</v>
      </c>
      <c r="C136" s="3" t="s">
        <v>80</v>
      </c>
      <c r="D136" s="3" t="s">
        <v>81</v>
      </c>
      <c r="E136" s="3" t="s">
        <v>142</v>
      </c>
      <c r="F136" s="3">
        <v>8.0</v>
      </c>
      <c r="G136" s="4">
        <v>-27.61409</v>
      </c>
      <c r="H136" s="4">
        <v>-48.50623</v>
      </c>
      <c r="I136" s="5">
        <v>5.0</v>
      </c>
      <c r="J136" s="5" t="s">
        <v>63</v>
      </c>
      <c r="K136" s="5" t="s">
        <v>63</v>
      </c>
      <c r="L136" s="3"/>
      <c r="M136" s="5" t="s">
        <v>145</v>
      </c>
      <c r="N136" s="5">
        <v>9.5</v>
      </c>
      <c r="O136" s="3"/>
      <c r="P136" s="3"/>
      <c r="Q136" s="3"/>
      <c r="R136" s="6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3" t="s">
        <v>17</v>
      </c>
      <c r="B137" s="3" t="s">
        <v>18</v>
      </c>
      <c r="C137" s="3" t="s">
        <v>80</v>
      </c>
      <c r="D137" s="3" t="s">
        <v>81</v>
      </c>
      <c r="E137" s="3" t="s">
        <v>142</v>
      </c>
      <c r="F137" s="3">
        <v>8.0</v>
      </c>
      <c r="G137" s="4">
        <v>-27.61409</v>
      </c>
      <c r="H137" s="4">
        <v>-48.50623</v>
      </c>
      <c r="I137" s="5">
        <v>6.0</v>
      </c>
      <c r="J137" s="5" t="s">
        <v>24</v>
      </c>
      <c r="K137" s="5" t="s">
        <v>24</v>
      </c>
      <c r="L137" s="3"/>
      <c r="M137" s="5">
        <v>26.0</v>
      </c>
      <c r="N137" s="5">
        <v>6.0</v>
      </c>
      <c r="O137" s="3"/>
      <c r="P137" s="3"/>
      <c r="Q137" s="3"/>
      <c r="R137" s="6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3" t="s">
        <v>17</v>
      </c>
      <c r="B138" s="3" t="s">
        <v>18</v>
      </c>
      <c r="C138" s="3" t="s">
        <v>80</v>
      </c>
      <c r="D138" s="3" t="s">
        <v>81</v>
      </c>
      <c r="E138" s="3" t="s">
        <v>142</v>
      </c>
      <c r="F138" s="3">
        <v>8.0</v>
      </c>
      <c r="G138" s="4">
        <v>-27.61409</v>
      </c>
      <c r="H138" s="4">
        <v>-48.50623</v>
      </c>
      <c r="I138" s="5">
        <v>7.0</v>
      </c>
      <c r="J138" s="5" t="s">
        <v>31</v>
      </c>
      <c r="K138" s="5" t="s">
        <v>31</v>
      </c>
      <c r="L138" s="3"/>
      <c r="M138" s="5">
        <v>15.0</v>
      </c>
      <c r="N138" s="5">
        <v>5.0</v>
      </c>
      <c r="O138" s="3"/>
      <c r="P138" s="3"/>
      <c r="Q138" s="3"/>
      <c r="R138" s="6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3" t="s">
        <v>17</v>
      </c>
      <c r="B139" s="3" t="s">
        <v>18</v>
      </c>
      <c r="C139" s="3" t="s">
        <v>80</v>
      </c>
      <c r="D139" s="3" t="s">
        <v>81</v>
      </c>
      <c r="E139" s="3" t="s">
        <v>142</v>
      </c>
      <c r="F139" s="3">
        <v>8.0</v>
      </c>
      <c r="G139" s="4">
        <v>-27.61409</v>
      </c>
      <c r="H139" s="4">
        <v>-48.50623</v>
      </c>
      <c r="I139" s="5">
        <v>8.0</v>
      </c>
      <c r="J139" s="5" t="s">
        <v>31</v>
      </c>
      <c r="K139" s="5" t="s">
        <v>31</v>
      </c>
      <c r="L139" s="3"/>
      <c r="M139" s="5">
        <v>30.5</v>
      </c>
      <c r="N139" s="5">
        <v>7.0</v>
      </c>
      <c r="O139" s="3"/>
      <c r="P139" s="3"/>
      <c r="Q139" s="3"/>
      <c r="R139" s="6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3" t="s">
        <v>17</v>
      </c>
      <c r="B140" s="3" t="s">
        <v>18</v>
      </c>
      <c r="C140" s="3" t="s">
        <v>80</v>
      </c>
      <c r="D140" s="3" t="s">
        <v>81</v>
      </c>
      <c r="E140" s="3" t="s">
        <v>142</v>
      </c>
      <c r="F140" s="3">
        <v>8.0</v>
      </c>
      <c r="G140" s="4">
        <v>-27.61409</v>
      </c>
      <c r="H140" s="4">
        <v>-48.50623</v>
      </c>
      <c r="I140" s="5">
        <v>9.0</v>
      </c>
      <c r="J140" s="5" t="s">
        <v>146</v>
      </c>
      <c r="K140" s="5" t="s">
        <v>146</v>
      </c>
      <c r="L140" s="3"/>
      <c r="M140" s="5">
        <v>56.0</v>
      </c>
      <c r="N140" s="5">
        <v>10.0</v>
      </c>
      <c r="O140" s="3"/>
      <c r="P140" s="3"/>
      <c r="Q140" s="3"/>
      <c r="R140" s="6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3" t="s">
        <v>17</v>
      </c>
      <c r="B141" s="3" t="s">
        <v>18</v>
      </c>
      <c r="C141" s="3" t="s">
        <v>80</v>
      </c>
      <c r="D141" s="3" t="s">
        <v>81</v>
      </c>
      <c r="E141" s="3" t="s">
        <v>142</v>
      </c>
      <c r="F141" s="3">
        <v>8.0</v>
      </c>
      <c r="G141" s="4">
        <v>-27.61409</v>
      </c>
      <c r="H141" s="4">
        <v>-48.50623</v>
      </c>
      <c r="I141" s="5">
        <v>10.0</v>
      </c>
      <c r="J141" s="5" t="s">
        <v>79</v>
      </c>
      <c r="K141" s="5" t="s">
        <v>79</v>
      </c>
      <c r="L141" s="3"/>
      <c r="M141" s="5">
        <v>60.0</v>
      </c>
      <c r="N141" s="5">
        <v>11.0</v>
      </c>
      <c r="O141" s="3"/>
      <c r="P141" s="3"/>
      <c r="Q141" s="3"/>
      <c r="R141" s="6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3" t="s">
        <v>17</v>
      </c>
      <c r="B142" s="3" t="s">
        <v>18</v>
      </c>
      <c r="C142" s="3" t="s">
        <v>80</v>
      </c>
      <c r="D142" s="3" t="s">
        <v>81</v>
      </c>
      <c r="E142" s="3" t="s">
        <v>142</v>
      </c>
      <c r="F142" s="3">
        <v>8.0</v>
      </c>
      <c r="G142" s="4">
        <v>-27.61409</v>
      </c>
      <c r="H142" s="4">
        <v>-48.50623</v>
      </c>
      <c r="I142" s="5">
        <v>11.0</v>
      </c>
      <c r="J142" s="5" t="s">
        <v>147</v>
      </c>
      <c r="K142" s="5" t="s">
        <v>147</v>
      </c>
      <c r="L142" s="3"/>
      <c r="M142" s="5" t="s">
        <v>148</v>
      </c>
      <c r="N142" s="5">
        <v>10.0</v>
      </c>
      <c r="O142" s="3"/>
      <c r="P142" s="3"/>
      <c r="Q142" s="3"/>
      <c r="R142" s="6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3" t="s">
        <v>149</v>
      </c>
      <c r="B143" s="3" t="s">
        <v>150</v>
      </c>
      <c r="C143" s="3" t="s">
        <v>19</v>
      </c>
      <c r="D143" s="3" t="s">
        <v>151</v>
      </c>
      <c r="E143" s="3" t="s">
        <v>152</v>
      </c>
      <c r="F143" s="3">
        <v>1.0</v>
      </c>
      <c r="G143" s="4">
        <v>-27.59125</v>
      </c>
      <c r="H143" s="4">
        <v>-48.476</v>
      </c>
      <c r="I143" s="5">
        <v>1.0</v>
      </c>
      <c r="J143" s="5" t="s">
        <v>104</v>
      </c>
      <c r="K143" s="5" t="s">
        <v>104</v>
      </c>
      <c r="L143" s="3"/>
      <c r="M143" s="5">
        <v>22.0</v>
      </c>
      <c r="N143" s="5">
        <v>9.0</v>
      </c>
      <c r="O143" s="5"/>
      <c r="P143" s="3"/>
      <c r="Q143" s="3"/>
      <c r="R143" s="6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3" t="s">
        <v>149</v>
      </c>
      <c r="B144" s="3" t="s">
        <v>150</v>
      </c>
      <c r="C144" s="3" t="s">
        <v>19</v>
      </c>
      <c r="D144" s="3" t="s">
        <v>151</v>
      </c>
      <c r="E144" s="3" t="s">
        <v>152</v>
      </c>
      <c r="F144" s="3">
        <v>1.0</v>
      </c>
      <c r="G144" s="4">
        <v>-27.59125</v>
      </c>
      <c r="H144" s="4">
        <v>-48.476</v>
      </c>
      <c r="I144" s="5">
        <v>2.0</v>
      </c>
      <c r="J144" s="5" t="s">
        <v>153</v>
      </c>
      <c r="K144" s="5" t="s">
        <v>153</v>
      </c>
      <c r="L144" s="3"/>
      <c r="M144" s="5">
        <v>26.0</v>
      </c>
      <c r="N144" s="5">
        <v>10.0</v>
      </c>
      <c r="O144" s="5"/>
      <c r="P144" s="3"/>
      <c r="Q144" s="3"/>
      <c r="R144" s="6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3" t="s">
        <v>149</v>
      </c>
      <c r="B145" s="3" t="s">
        <v>150</v>
      </c>
      <c r="C145" s="3" t="s">
        <v>19</v>
      </c>
      <c r="D145" s="3" t="s">
        <v>151</v>
      </c>
      <c r="E145" s="3" t="s">
        <v>152</v>
      </c>
      <c r="F145" s="3">
        <v>1.0</v>
      </c>
      <c r="G145" s="4">
        <v>-27.59125</v>
      </c>
      <c r="H145" s="4">
        <v>-48.476</v>
      </c>
      <c r="I145" s="5">
        <v>3.0</v>
      </c>
      <c r="J145" s="5" t="s">
        <v>31</v>
      </c>
      <c r="K145" s="5" t="s">
        <v>31</v>
      </c>
      <c r="L145" s="3"/>
      <c r="M145" s="5">
        <v>35.0</v>
      </c>
      <c r="N145" s="5">
        <v>11.0</v>
      </c>
      <c r="O145" s="5"/>
      <c r="P145" s="3"/>
      <c r="Q145" s="3"/>
      <c r="R145" s="6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15.75" customHeight="1">
      <c r="A146" s="3" t="s">
        <v>149</v>
      </c>
      <c r="B146" s="3" t="s">
        <v>150</v>
      </c>
      <c r="C146" s="3" t="s">
        <v>19</v>
      </c>
      <c r="D146" s="3" t="s">
        <v>151</v>
      </c>
      <c r="E146" s="3" t="s">
        <v>152</v>
      </c>
      <c r="F146" s="3">
        <v>1.0</v>
      </c>
      <c r="G146" s="4">
        <v>-27.59125</v>
      </c>
      <c r="H146" s="4">
        <v>-48.476</v>
      </c>
      <c r="I146" s="5">
        <v>4.0</v>
      </c>
      <c r="J146" s="5" t="s">
        <v>27</v>
      </c>
      <c r="K146" s="5" t="s">
        <v>27</v>
      </c>
      <c r="L146" s="3"/>
      <c r="M146" s="5">
        <v>85.0</v>
      </c>
      <c r="N146" s="5">
        <v>13.0</v>
      </c>
      <c r="O146" s="5"/>
      <c r="P146" s="3"/>
      <c r="Q146" s="3"/>
      <c r="R146" s="6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15.75" customHeight="1">
      <c r="A147" s="3" t="s">
        <v>149</v>
      </c>
      <c r="B147" s="3" t="s">
        <v>150</v>
      </c>
      <c r="C147" s="3" t="s">
        <v>19</v>
      </c>
      <c r="D147" s="3" t="s">
        <v>151</v>
      </c>
      <c r="E147" s="3" t="s">
        <v>152</v>
      </c>
      <c r="F147" s="3">
        <v>1.0</v>
      </c>
      <c r="G147" s="4">
        <v>-27.59125</v>
      </c>
      <c r="H147" s="4">
        <v>-48.476</v>
      </c>
      <c r="I147" s="5">
        <v>5.0</v>
      </c>
      <c r="J147" s="5" t="s">
        <v>27</v>
      </c>
      <c r="K147" s="5" t="s">
        <v>27</v>
      </c>
      <c r="L147" s="3"/>
      <c r="M147" s="5">
        <v>48.0</v>
      </c>
      <c r="N147" s="5">
        <v>14.0</v>
      </c>
      <c r="O147" s="5"/>
      <c r="P147" s="3"/>
      <c r="Q147" s="3"/>
      <c r="R147" s="6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15.75" customHeight="1">
      <c r="A148" s="3" t="s">
        <v>149</v>
      </c>
      <c r="B148" s="3" t="s">
        <v>150</v>
      </c>
      <c r="C148" s="3" t="s">
        <v>19</v>
      </c>
      <c r="D148" s="3" t="s">
        <v>151</v>
      </c>
      <c r="E148" s="3" t="s">
        <v>152</v>
      </c>
      <c r="F148" s="3">
        <v>1.0</v>
      </c>
      <c r="G148" s="4">
        <v>-27.59125</v>
      </c>
      <c r="H148" s="4">
        <v>-48.476</v>
      </c>
      <c r="I148" s="5">
        <v>6.0</v>
      </c>
      <c r="J148" s="5" t="s">
        <v>104</v>
      </c>
      <c r="K148" s="5" t="s">
        <v>104</v>
      </c>
      <c r="L148" s="3"/>
      <c r="M148" s="5">
        <v>27.0</v>
      </c>
      <c r="N148" s="5">
        <v>9.0</v>
      </c>
      <c r="O148" s="5"/>
      <c r="P148" s="3"/>
      <c r="Q148" s="3"/>
      <c r="R148" s="6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15.75" customHeight="1">
      <c r="A149" s="3" t="s">
        <v>149</v>
      </c>
      <c r="B149" s="3" t="s">
        <v>150</v>
      </c>
      <c r="C149" s="3" t="s">
        <v>19</v>
      </c>
      <c r="D149" s="3" t="s">
        <v>151</v>
      </c>
      <c r="E149" s="3" t="s">
        <v>152</v>
      </c>
      <c r="F149" s="3">
        <v>1.0</v>
      </c>
      <c r="G149" s="4">
        <v>-27.59125</v>
      </c>
      <c r="H149" s="4">
        <v>-48.476</v>
      </c>
      <c r="I149" s="5">
        <v>7.0</v>
      </c>
      <c r="J149" s="5" t="s">
        <v>154</v>
      </c>
      <c r="K149" s="5" t="s">
        <v>154</v>
      </c>
      <c r="L149" s="3"/>
      <c r="M149" s="5">
        <v>34.0</v>
      </c>
      <c r="N149" s="5">
        <v>11.0</v>
      </c>
      <c r="O149" s="5"/>
      <c r="P149" s="3"/>
      <c r="Q149" s="3"/>
      <c r="R149" s="6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15.75" customHeight="1">
      <c r="A150" s="3" t="s">
        <v>149</v>
      </c>
      <c r="B150" s="3" t="s">
        <v>150</v>
      </c>
      <c r="C150" s="3" t="s">
        <v>19</v>
      </c>
      <c r="D150" s="3" t="s">
        <v>151</v>
      </c>
      <c r="E150" s="3" t="s">
        <v>152</v>
      </c>
      <c r="F150" s="3">
        <v>1.0</v>
      </c>
      <c r="G150" s="4">
        <v>-27.59125</v>
      </c>
      <c r="H150" s="4">
        <v>-48.476</v>
      </c>
      <c r="I150" s="5">
        <v>8.0</v>
      </c>
      <c r="J150" s="5" t="s">
        <v>56</v>
      </c>
      <c r="K150" s="5" t="s">
        <v>56</v>
      </c>
      <c r="L150" s="3"/>
      <c r="M150" s="5">
        <v>16.0</v>
      </c>
      <c r="N150" s="5">
        <v>8.0</v>
      </c>
      <c r="O150" s="5"/>
      <c r="P150" s="3"/>
      <c r="Q150" s="3"/>
      <c r="R150" s="6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15.75" customHeight="1">
      <c r="A151" s="3" t="s">
        <v>149</v>
      </c>
      <c r="B151" s="3" t="s">
        <v>150</v>
      </c>
      <c r="C151" s="3" t="s">
        <v>19</v>
      </c>
      <c r="D151" s="3" t="s">
        <v>151</v>
      </c>
      <c r="E151" s="3" t="s">
        <v>152</v>
      </c>
      <c r="F151" s="3">
        <v>1.0</v>
      </c>
      <c r="G151" s="4">
        <v>-27.59125</v>
      </c>
      <c r="H151" s="4">
        <v>-48.476</v>
      </c>
      <c r="I151" s="5">
        <v>9.0</v>
      </c>
      <c r="J151" s="5" t="s">
        <v>49</v>
      </c>
      <c r="K151" s="5" t="s">
        <v>49</v>
      </c>
      <c r="L151" s="3" t="s">
        <v>64</v>
      </c>
      <c r="M151" s="5">
        <v>22.0</v>
      </c>
      <c r="N151" s="5">
        <v>9.0</v>
      </c>
      <c r="O151" s="5" t="s">
        <v>155</v>
      </c>
      <c r="P151" s="3"/>
      <c r="Q151" s="3"/>
      <c r="R151" s="6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15.75" customHeight="1">
      <c r="A152" s="3" t="s">
        <v>149</v>
      </c>
      <c r="B152" s="3" t="s">
        <v>150</v>
      </c>
      <c r="C152" s="3" t="s">
        <v>19</v>
      </c>
      <c r="D152" s="3" t="s">
        <v>151</v>
      </c>
      <c r="E152" s="3" t="s">
        <v>152</v>
      </c>
      <c r="F152" s="3">
        <v>1.0</v>
      </c>
      <c r="G152" s="4">
        <v>-27.59125</v>
      </c>
      <c r="H152" s="4">
        <v>-48.476</v>
      </c>
      <c r="I152" s="5">
        <v>10.0</v>
      </c>
      <c r="J152" s="5" t="s">
        <v>24</v>
      </c>
      <c r="K152" s="5" t="s">
        <v>24</v>
      </c>
      <c r="L152" s="3"/>
      <c r="M152" s="5">
        <v>17.0</v>
      </c>
      <c r="N152" s="5">
        <v>9.0</v>
      </c>
      <c r="O152" s="5"/>
      <c r="P152" s="3"/>
      <c r="Q152" s="3"/>
      <c r="R152" s="6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75" customHeight="1">
      <c r="A153" s="3" t="s">
        <v>149</v>
      </c>
      <c r="B153" s="3" t="s">
        <v>150</v>
      </c>
      <c r="C153" s="3" t="s">
        <v>19</v>
      </c>
      <c r="D153" s="3" t="s">
        <v>151</v>
      </c>
      <c r="E153" s="3" t="s">
        <v>152</v>
      </c>
      <c r="F153" s="3">
        <v>1.0</v>
      </c>
      <c r="G153" s="4">
        <v>-27.59125</v>
      </c>
      <c r="H153" s="4">
        <v>-48.476</v>
      </c>
      <c r="I153" s="5">
        <v>11.0</v>
      </c>
      <c r="J153" s="5" t="s">
        <v>105</v>
      </c>
      <c r="K153" s="5" t="s">
        <v>105</v>
      </c>
      <c r="L153" s="3" t="s">
        <v>64</v>
      </c>
      <c r="M153" s="5">
        <v>22.0</v>
      </c>
      <c r="N153" s="5">
        <v>6.0</v>
      </c>
      <c r="O153" s="5" t="s">
        <v>156</v>
      </c>
      <c r="P153" s="3"/>
      <c r="Q153" s="3"/>
      <c r="R153" s="6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15.75" customHeight="1">
      <c r="A154" s="3" t="s">
        <v>149</v>
      </c>
      <c r="B154" s="3" t="s">
        <v>150</v>
      </c>
      <c r="C154" s="3" t="s">
        <v>19</v>
      </c>
      <c r="D154" s="3" t="s">
        <v>151</v>
      </c>
      <c r="E154" s="3" t="s">
        <v>152</v>
      </c>
      <c r="F154" s="3">
        <v>1.0</v>
      </c>
      <c r="G154" s="4">
        <v>-27.59125</v>
      </c>
      <c r="H154" s="4">
        <v>-48.476</v>
      </c>
      <c r="I154" s="5">
        <v>12.0</v>
      </c>
      <c r="J154" s="5" t="s">
        <v>105</v>
      </c>
      <c r="K154" s="5" t="s">
        <v>105</v>
      </c>
      <c r="L154" s="3" t="s">
        <v>64</v>
      </c>
      <c r="M154" s="5">
        <v>15.0</v>
      </c>
      <c r="N154" s="5">
        <v>6.0</v>
      </c>
      <c r="O154" s="5" t="s">
        <v>157</v>
      </c>
      <c r="P154" s="3"/>
      <c r="Q154" s="3"/>
      <c r="R154" s="6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15.75" customHeight="1">
      <c r="A155" s="3" t="s">
        <v>149</v>
      </c>
      <c r="B155" s="3" t="s">
        <v>150</v>
      </c>
      <c r="C155" s="3" t="s">
        <v>19</v>
      </c>
      <c r="D155" s="3" t="s">
        <v>151</v>
      </c>
      <c r="E155" s="3" t="s">
        <v>152</v>
      </c>
      <c r="F155" s="3">
        <v>1.0</v>
      </c>
      <c r="G155" s="4">
        <v>-27.59125</v>
      </c>
      <c r="H155" s="4">
        <v>-48.476</v>
      </c>
      <c r="I155" s="5">
        <v>13.0</v>
      </c>
      <c r="J155" s="12" t="s">
        <v>158</v>
      </c>
      <c r="K155" s="12" t="s">
        <v>159</v>
      </c>
      <c r="L155" s="3" t="s">
        <v>64</v>
      </c>
      <c r="M155" s="5">
        <v>15.5</v>
      </c>
      <c r="N155" s="5">
        <v>7.0</v>
      </c>
      <c r="O155" s="5" t="s">
        <v>160</v>
      </c>
      <c r="P155" s="3"/>
      <c r="Q155" s="3"/>
      <c r="R155" s="6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15.75" customHeight="1">
      <c r="A156" s="3" t="s">
        <v>149</v>
      </c>
      <c r="B156" s="3" t="s">
        <v>150</v>
      </c>
      <c r="C156" s="3" t="s">
        <v>19</v>
      </c>
      <c r="D156" s="3" t="s">
        <v>151</v>
      </c>
      <c r="E156" s="3" t="s">
        <v>152</v>
      </c>
      <c r="F156" s="3">
        <v>1.0</v>
      </c>
      <c r="G156" s="4">
        <v>-27.59125</v>
      </c>
      <c r="H156" s="4">
        <v>-48.476</v>
      </c>
      <c r="I156" s="5">
        <v>14.0</v>
      </c>
      <c r="J156" s="5" t="s">
        <v>146</v>
      </c>
      <c r="K156" s="5" t="s">
        <v>146</v>
      </c>
      <c r="L156" s="3"/>
      <c r="M156" s="5">
        <v>19.0</v>
      </c>
      <c r="N156" s="5">
        <v>7.0</v>
      </c>
      <c r="O156" s="5"/>
      <c r="P156" s="3"/>
      <c r="Q156" s="3"/>
      <c r="R156" s="6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15.75" customHeight="1">
      <c r="A157" s="3" t="s">
        <v>149</v>
      </c>
      <c r="B157" s="3" t="s">
        <v>150</v>
      </c>
      <c r="C157" s="3" t="s">
        <v>19</v>
      </c>
      <c r="D157" s="3" t="s">
        <v>151</v>
      </c>
      <c r="E157" s="3" t="s">
        <v>152</v>
      </c>
      <c r="F157" s="3">
        <v>1.0</v>
      </c>
      <c r="G157" s="4">
        <v>-27.59125</v>
      </c>
      <c r="H157" s="4">
        <v>-48.476</v>
      </c>
      <c r="I157" s="5">
        <v>15.0</v>
      </c>
      <c r="J157" s="5" t="s">
        <v>161</v>
      </c>
      <c r="K157" s="5" t="s">
        <v>162</v>
      </c>
      <c r="L157" s="3" t="s">
        <v>64</v>
      </c>
      <c r="M157" s="5">
        <v>17.0</v>
      </c>
      <c r="N157" s="5">
        <v>8.0</v>
      </c>
      <c r="O157" s="5" t="s">
        <v>163</v>
      </c>
      <c r="P157" s="3"/>
      <c r="Q157" s="3"/>
      <c r="R157" s="6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15.75" customHeight="1">
      <c r="A158" s="3" t="s">
        <v>149</v>
      </c>
      <c r="B158" s="3" t="s">
        <v>150</v>
      </c>
      <c r="C158" s="3" t="s">
        <v>19</v>
      </c>
      <c r="D158" s="3" t="s">
        <v>151</v>
      </c>
      <c r="E158" s="3" t="s">
        <v>152</v>
      </c>
      <c r="F158" s="3">
        <v>1.0</v>
      </c>
      <c r="G158" s="4">
        <v>-27.59125</v>
      </c>
      <c r="H158" s="4">
        <v>-48.476</v>
      </c>
      <c r="I158" s="5">
        <v>16.0</v>
      </c>
      <c r="J158" s="5" t="s">
        <v>104</v>
      </c>
      <c r="K158" s="5" t="s">
        <v>104</v>
      </c>
      <c r="L158" s="3"/>
      <c r="M158" s="5">
        <v>29.0</v>
      </c>
      <c r="N158" s="5">
        <v>12.0</v>
      </c>
      <c r="O158" s="5"/>
      <c r="P158" s="3"/>
      <c r="Q158" s="3"/>
      <c r="R158" s="6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15.75" customHeight="1">
      <c r="A159" s="3" t="s">
        <v>149</v>
      </c>
      <c r="B159" s="3" t="s">
        <v>150</v>
      </c>
      <c r="C159" s="3" t="s">
        <v>19</v>
      </c>
      <c r="D159" s="3" t="s">
        <v>151</v>
      </c>
      <c r="E159" s="3" t="s">
        <v>152</v>
      </c>
      <c r="F159" s="3">
        <v>1.0</v>
      </c>
      <c r="G159" s="4">
        <v>-27.59125</v>
      </c>
      <c r="H159" s="4">
        <v>-48.476</v>
      </c>
      <c r="I159" s="5">
        <v>17.0</v>
      </c>
      <c r="J159" s="5" t="s">
        <v>27</v>
      </c>
      <c r="K159" s="5" t="s">
        <v>27</v>
      </c>
      <c r="L159" s="3"/>
      <c r="M159" s="5">
        <v>93.0</v>
      </c>
      <c r="N159" s="5">
        <v>14.0</v>
      </c>
      <c r="O159" s="5"/>
      <c r="P159" s="3"/>
      <c r="Q159" s="3"/>
      <c r="R159" s="6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15.75" customHeight="1">
      <c r="A160" s="3" t="s">
        <v>149</v>
      </c>
      <c r="B160" s="3" t="s">
        <v>150</v>
      </c>
      <c r="C160" s="3" t="s">
        <v>19</v>
      </c>
      <c r="D160" s="3" t="s">
        <v>151</v>
      </c>
      <c r="E160" s="3" t="s">
        <v>152</v>
      </c>
      <c r="F160" s="3">
        <v>1.0</v>
      </c>
      <c r="G160" s="4">
        <v>-27.59125</v>
      </c>
      <c r="H160" s="4">
        <v>-48.476</v>
      </c>
      <c r="I160" s="5">
        <v>18.0</v>
      </c>
      <c r="J160" s="5" t="s">
        <v>153</v>
      </c>
      <c r="K160" s="5" t="s">
        <v>153</v>
      </c>
      <c r="L160" s="3"/>
      <c r="M160" s="5">
        <v>24.0</v>
      </c>
      <c r="N160" s="5">
        <v>5.0</v>
      </c>
      <c r="O160" s="5"/>
      <c r="P160" s="3"/>
      <c r="Q160" s="3"/>
      <c r="R160" s="6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15.75" customHeight="1">
      <c r="A161" s="3" t="s">
        <v>149</v>
      </c>
      <c r="B161" s="3" t="s">
        <v>150</v>
      </c>
      <c r="C161" s="3" t="s">
        <v>19</v>
      </c>
      <c r="D161" s="3" t="s">
        <v>151</v>
      </c>
      <c r="E161" s="3" t="s">
        <v>152</v>
      </c>
      <c r="F161" s="3">
        <v>1.0</v>
      </c>
      <c r="G161" s="4">
        <v>-27.59125</v>
      </c>
      <c r="H161" s="4">
        <v>-48.476</v>
      </c>
      <c r="I161" s="5">
        <v>19.0</v>
      </c>
      <c r="J161" s="5" t="s">
        <v>153</v>
      </c>
      <c r="K161" s="5" t="s">
        <v>153</v>
      </c>
      <c r="L161" s="3"/>
      <c r="M161" s="5">
        <v>47.0</v>
      </c>
      <c r="N161" s="5">
        <v>10.0</v>
      </c>
      <c r="O161" s="5"/>
      <c r="P161" s="3"/>
      <c r="Q161" s="3"/>
      <c r="R161" s="6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15.75" customHeight="1">
      <c r="A162" s="3" t="s">
        <v>149</v>
      </c>
      <c r="B162" s="3" t="s">
        <v>150</v>
      </c>
      <c r="C162" s="3" t="s">
        <v>19</v>
      </c>
      <c r="D162" s="3" t="s">
        <v>151</v>
      </c>
      <c r="E162" s="3" t="s">
        <v>152</v>
      </c>
      <c r="F162" s="3">
        <v>1.0</v>
      </c>
      <c r="G162" s="4">
        <v>-27.59125</v>
      </c>
      <c r="H162" s="4">
        <v>-48.476</v>
      </c>
      <c r="I162" s="5">
        <v>20.0</v>
      </c>
      <c r="J162" s="5" t="s">
        <v>164</v>
      </c>
      <c r="K162" s="5" t="s">
        <v>164</v>
      </c>
      <c r="L162" s="3"/>
      <c r="M162" s="5">
        <v>46.0</v>
      </c>
      <c r="N162" s="5">
        <v>12.0</v>
      </c>
      <c r="O162" s="5" t="s">
        <v>165</v>
      </c>
      <c r="P162" s="3"/>
      <c r="Q162" s="3"/>
      <c r="R162" s="6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15.75" customHeight="1">
      <c r="A163" s="3" t="s">
        <v>149</v>
      </c>
      <c r="B163" s="3" t="s">
        <v>150</v>
      </c>
      <c r="C163" s="3" t="s">
        <v>19</v>
      </c>
      <c r="D163" s="3" t="s">
        <v>151</v>
      </c>
      <c r="E163" s="3" t="s">
        <v>152</v>
      </c>
      <c r="F163" s="3">
        <v>1.0</v>
      </c>
      <c r="G163" s="4">
        <v>-27.59125</v>
      </c>
      <c r="H163" s="4">
        <v>-48.476</v>
      </c>
      <c r="I163" s="5">
        <v>21.0</v>
      </c>
      <c r="J163" s="5" t="s">
        <v>164</v>
      </c>
      <c r="K163" s="5" t="s">
        <v>164</v>
      </c>
      <c r="L163" s="3"/>
      <c r="M163" s="5">
        <v>45.0</v>
      </c>
      <c r="N163" s="5">
        <v>12.0</v>
      </c>
      <c r="O163" s="5"/>
      <c r="P163" s="3"/>
      <c r="Q163" s="3"/>
      <c r="R163" s="6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15.75" customHeight="1">
      <c r="A164" s="3" t="s">
        <v>149</v>
      </c>
      <c r="B164" s="3" t="s">
        <v>150</v>
      </c>
      <c r="C164" s="3" t="s">
        <v>19</v>
      </c>
      <c r="D164" s="3" t="s">
        <v>151</v>
      </c>
      <c r="E164" s="3" t="s">
        <v>152</v>
      </c>
      <c r="F164" s="3">
        <v>1.0</v>
      </c>
      <c r="G164" s="4">
        <v>-27.59125</v>
      </c>
      <c r="H164" s="4">
        <v>-48.476</v>
      </c>
      <c r="I164" s="5">
        <v>22.0</v>
      </c>
      <c r="J164" s="5" t="s">
        <v>105</v>
      </c>
      <c r="K164" s="5" t="s">
        <v>105</v>
      </c>
      <c r="L164" s="3"/>
      <c r="M164" s="5">
        <v>16.0</v>
      </c>
      <c r="N164" s="5">
        <v>6.0</v>
      </c>
      <c r="O164" s="3"/>
      <c r="P164" s="3"/>
      <c r="Q164" s="5" t="s">
        <v>166</v>
      </c>
      <c r="R164" s="6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18.75" customHeight="1">
      <c r="A165" s="3" t="s">
        <v>149</v>
      </c>
      <c r="B165" s="3" t="s">
        <v>150</v>
      </c>
      <c r="C165" s="3" t="s">
        <v>19</v>
      </c>
      <c r="D165" s="3" t="s">
        <v>151</v>
      </c>
      <c r="E165" s="3" t="s">
        <v>152</v>
      </c>
      <c r="F165" s="3">
        <v>1.0</v>
      </c>
      <c r="G165" s="4">
        <v>-27.59125</v>
      </c>
      <c r="H165" s="4">
        <v>-48.476</v>
      </c>
      <c r="I165" s="5">
        <v>23.0</v>
      </c>
      <c r="J165" s="12" t="s">
        <v>167</v>
      </c>
      <c r="K165" s="12" t="s">
        <v>167</v>
      </c>
      <c r="L165" s="3" t="s">
        <v>64</v>
      </c>
      <c r="M165" s="5">
        <v>20.0</v>
      </c>
      <c r="N165" s="5">
        <v>8.0</v>
      </c>
      <c r="O165" s="3"/>
      <c r="P165" s="13" t="s">
        <v>168</v>
      </c>
      <c r="Q165" s="3"/>
      <c r="R165" s="6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15.75" customHeight="1">
      <c r="A166" s="3" t="s">
        <v>149</v>
      </c>
      <c r="B166" s="3" t="s">
        <v>150</v>
      </c>
      <c r="C166" s="3" t="s">
        <v>19</v>
      </c>
      <c r="D166" s="3" t="s">
        <v>151</v>
      </c>
      <c r="E166" s="3" t="s">
        <v>152</v>
      </c>
      <c r="F166" s="3">
        <v>1.0</v>
      </c>
      <c r="G166" s="4">
        <v>-27.59125</v>
      </c>
      <c r="H166" s="4">
        <v>-48.476</v>
      </c>
      <c r="I166" s="5">
        <v>24.0</v>
      </c>
      <c r="J166" s="5" t="s">
        <v>161</v>
      </c>
      <c r="K166" s="5" t="s">
        <v>162</v>
      </c>
      <c r="L166" s="3"/>
      <c r="M166" s="5">
        <v>25.5</v>
      </c>
      <c r="N166" s="5">
        <v>10.0</v>
      </c>
      <c r="O166" s="5"/>
      <c r="P166" s="3"/>
      <c r="Q166" s="3"/>
      <c r="R166" s="6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15.75" customHeight="1">
      <c r="A167" s="3" t="s">
        <v>149</v>
      </c>
      <c r="B167" s="3" t="s">
        <v>150</v>
      </c>
      <c r="C167" s="3" t="s">
        <v>19</v>
      </c>
      <c r="D167" s="3" t="s">
        <v>151</v>
      </c>
      <c r="E167" s="3" t="s">
        <v>152</v>
      </c>
      <c r="F167" s="3">
        <v>1.0</v>
      </c>
      <c r="G167" s="4">
        <v>-27.59125</v>
      </c>
      <c r="H167" s="4">
        <v>-48.476</v>
      </c>
      <c r="I167" s="5">
        <v>25.0</v>
      </c>
      <c r="J167" s="5" t="s">
        <v>40</v>
      </c>
      <c r="K167" s="5" t="s">
        <v>40</v>
      </c>
      <c r="L167" s="3"/>
      <c r="M167" s="5">
        <v>17.0</v>
      </c>
      <c r="N167" s="5">
        <v>8.0</v>
      </c>
      <c r="O167" s="5" t="s">
        <v>169</v>
      </c>
      <c r="P167" s="3"/>
      <c r="Q167" s="3"/>
      <c r="R167" s="6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15.75" customHeight="1">
      <c r="A168" s="3" t="s">
        <v>149</v>
      </c>
      <c r="B168" s="3" t="s">
        <v>150</v>
      </c>
      <c r="C168" s="3" t="s">
        <v>19</v>
      </c>
      <c r="D168" s="3" t="s">
        <v>151</v>
      </c>
      <c r="E168" s="3" t="s">
        <v>152</v>
      </c>
      <c r="F168" s="3">
        <v>1.0</v>
      </c>
      <c r="G168" s="4">
        <v>-27.59125</v>
      </c>
      <c r="H168" s="4">
        <v>-48.476</v>
      </c>
      <c r="I168" s="5">
        <v>26.0</v>
      </c>
      <c r="J168" s="5" t="s">
        <v>104</v>
      </c>
      <c r="K168" s="5" t="s">
        <v>104</v>
      </c>
      <c r="L168" s="3"/>
      <c r="M168" s="5">
        <v>28.5</v>
      </c>
      <c r="N168" s="5">
        <v>8.0</v>
      </c>
      <c r="O168" s="5"/>
      <c r="P168" s="3"/>
      <c r="Q168" s="3"/>
      <c r="R168" s="6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15.75" customHeight="1">
      <c r="A169" s="3" t="s">
        <v>149</v>
      </c>
      <c r="B169" s="3" t="s">
        <v>150</v>
      </c>
      <c r="C169" s="3" t="s">
        <v>19</v>
      </c>
      <c r="D169" s="3" t="s">
        <v>151</v>
      </c>
      <c r="E169" s="3" t="s">
        <v>152</v>
      </c>
      <c r="F169" s="3">
        <v>1.0</v>
      </c>
      <c r="G169" s="4">
        <v>-27.59125</v>
      </c>
      <c r="H169" s="4">
        <v>-48.476</v>
      </c>
      <c r="I169" s="5">
        <v>27.0</v>
      </c>
      <c r="J169" s="5" t="s">
        <v>104</v>
      </c>
      <c r="K169" s="5" t="s">
        <v>104</v>
      </c>
      <c r="L169" s="3"/>
      <c r="M169" s="5">
        <v>26.0</v>
      </c>
      <c r="N169" s="5">
        <v>11.0</v>
      </c>
      <c r="O169" s="5"/>
      <c r="P169" s="3"/>
      <c r="Q169" s="3"/>
      <c r="R169" s="6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15.75" customHeight="1">
      <c r="A170" s="3" t="s">
        <v>149</v>
      </c>
      <c r="B170" s="3" t="s">
        <v>150</v>
      </c>
      <c r="C170" s="3" t="s">
        <v>19</v>
      </c>
      <c r="D170" s="3" t="s">
        <v>151</v>
      </c>
      <c r="E170" s="3" t="s">
        <v>152</v>
      </c>
      <c r="F170" s="3">
        <v>1.0</v>
      </c>
      <c r="G170" s="4">
        <v>-27.59125</v>
      </c>
      <c r="H170" s="4">
        <v>-48.476</v>
      </c>
      <c r="I170" s="5">
        <v>28.0</v>
      </c>
      <c r="J170" s="5" t="s">
        <v>56</v>
      </c>
      <c r="K170" s="5" t="s">
        <v>56</v>
      </c>
      <c r="L170" s="3"/>
      <c r="M170" s="5">
        <v>21.0</v>
      </c>
      <c r="N170" s="5">
        <v>6.0</v>
      </c>
      <c r="O170" s="5"/>
      <c r="P170" s="3"/>
      <c r="Q170" s="3"/>
      <c r="R170" s="6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15.75" customHeight="1">
      <c r="A171" s="3" t="s">
        <v>149</v>
      </c>
      <c r="B171" s="3" t="s">
        <v>150</v>
      </c>
      <c r="C171" s="3" t="s">
        <v>19</v>
      </c>
      <c r="D171" s="3" t="s">
        <v>151</v>
      </c>
      <c r="E171" s="3" t="s">
        <v>152</v>
      </c>
      <c r="F171" s="3">
        <v>1.0</v>
      </c>
      <c r="G171" s="4">
        <v>-27.59125</v>
      </c>
      <c r="H171" s="4">
        <v>-48.476</v>
      </c>
      <c r="I171" s="5">
        <v>29.0</v>
      </c>
      <c r="J171" s="5" t="s">
        <v>170</v>
      </c>
      <c r="K171" s="5" t="s">
        <v>170</v>
      </c>
      <c r="L171" s="3" t="s">
        <v>64</v>
      </c>
      <c r="M171" s="5">
        <v>40.0</v>
      </c>
      <c r="N171" s="5">
        <v>12.0</v>
      </c>
      <c r="O171" s="5" t="s">
        <v>171</v>
      </c>
      <c r="P171" s="3"/>
      <c r="Q171" s="3"/>
      <c r="R171" s="6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15.75" customHeight="1">
      <c r="A172" s="3" t="s">
        <v>149</v>
      </c>
      <c r="B172" s="3" t="s">
        <v>150</v>
      </c>
      <c r="C172" s="3" t="s">
        <v>19</v>
      </c>
      <c r="D172" s="3" t="s">
        <v>151</v>
      </c>
      <c r="E172" s="3" t="s">
        <v>172</v>
      </c>
      <c r="F172" s="3">
        <v>2.0</v>
      </c>
      <c r="G172" s="4">
        <v>-27.59092</v>
      </c>
      <c r="H172" s="4">
        <v>-48.47587</v>
      </c>
      <c r="I172" s="5">
        <v>1.0</v>
      </c>
      <c r="J172" s="5" t="s">
        <v>104</v>
      </c>
      <c r="K172" s="5" t="s">
        <v>104</v>
      </c>
      <c r="L172" s="3"/>
      <c r="M172" s="5">
        <v>28.5</v>
      </c>
      <c r="N172" s="5">
        <v>5.0</v>
      </c>
      <c r="O172" s="5"/>
      <c r="P172" s="3"/>
      <c r="Q172" s="3"/>
      <c r="R172" s="6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5.75" customHeight="1">
      <c r="A173" s="3" t="s">
        <v>149</v>
      </c>
      <c r="B173" s="3" t="s">
        <v>150</v>
      </c>
      <c r="C173" s="3" t="s">
        <v>19</v>
      </c>
      <c r="D173" s="3" t="s">
        <v>151</v>
      </c>
      <c r="E173" s="3" t="s">
        <v>172</v>
      </c>
      <c r="F173" s="3">
        <v>2.0</v>
      </c>
      <c r="G173" s="4">
        <v>-27.59092</v>
      </c>
      <c r="H173" s="4">
        <v>-48.47587</v>
      </c>
      <c r="I173" s="5">
        <v>2.0</v>
      </c>
      <c r="J173" s="5" t="s">
        <v>173</v>
      </c>
      <c r="K173" s="5" t="s">
        <v>173</v>
      </c>
      <c r="L173" s="3"/>
      <c r="M173" s="5" t="s">
        <v>174</v>
      </c>
      <c r="N173" s="5">
        <v>13.0</v>
      </c>
      <c r="O173" s="5"/>
      <c r="P173" s="3"/>
      <c r="Q173" s="3"/>
      <c r="R173" s="6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5.75" customHeight="1">
      <c r="A174" s="3" t="s">
        <v>149</v>
      </c>
      <c r="B174" s="3" t="s">
        <v>150</v>
      </c>
      <c r="C174" s="3" t="s">
        <v>19</v>
      </c>
      <c r="D174" s="3" t="s">
        <v>151</v>
      </c>
      <c r="E174" s="3" t="s">
        <v>172</v>
      </c>
      <c r="F174" s="3">
        <v>2.0</v>
      </c>
      <c r="G174" s="4">
        <v>-27.59092</v>
      </c>
      <c r="H174" s="4">
        <v>-48.47587</v>
      </c>
      <c r="I174" s="5">
        <v>3.0</v>
      </c>
      <c r="J174" s="5" t="s">
        <v>175</v>
      </c>
      <c r="K174" s="5" t="s">
        <v>175</v>
      </c>
      <c r="L174" s="3"/>
      <c r="M174" s="5">
        <v>17.0</v>
      </c>
      <c r="N174" s="5">
        <v>6.0</v>
      </c>
      <c r="O174" s="5"/>
      <c r="P174" s="3"/>
      <c r="Q174" s="3"/>
      <c r="R174" s="6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15.75" customHeight="1">
      <c r="A175" s="3" t="s">
        <v>149</v>
      </c>
      <c r="B175" s="3" t="s">
        <v>150</v>
      </c>
      <c r="C175" s="3" t="s">
        <v>19</v>
      </c>
      <c r="D175" s="3" t="s">
        <v>151</v>
      </c>
      <c r="E175" s="3" t="s">
        <v>172</v>
      </c>
      <c r="F175" s="3">
        <v>2.0</v>
      </c>
      <c r="G175" s="4">
        <v>-27.59092</v>
      </c>
      <c r="H175" s="4">
        <v>-48.47587</v>
      </c>
      <c r="I175" s="5">
        <v>4.0</v>
      </c>
      <c r="J175" s="5" t="s">
        <v>26</v>
      </c>
      <c r="K175" s="5" t="s">
        <v>26</v>
      </c>
      <c r="L175" s="3"/>
      <c r="M175" s="5">
        <v>88.5</v>
      </c>
      <c r="N175" s="5">
        <v>15.0</v>
      </c>
      <c r="O175" s="5"/>
      <c r="P175" s="3"/>
      <c r="Q175" s="3"/>
      <c r="R175" s="6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15.75" customHeight="1">
      <c r="A176" s="3" t="s">
        <v>149</v>
      </c>
      <c r="B176" s="3" t="s">
        <v>150</v>
      </c>
      <c r="C176" s="3" t="s">
        <v>19</v>
      </c>
      <c r="D176" s="3" t="s">
        <v>151</v>
      </c>
      <c r="E176" s="3" t="s">
        <v>172</v>
      </c>
      <c r="F176" s="3">
        <v>2.0</v>
      </c>
      <c r="G176" s="4">
        <v>-27.59092</v>
      </c>
      <c r="H176" s="4">
        <v>-48.47587</v>
      </c>
      <c r="I176" s="5">
        <v>5.0</v>
      </c>
      <c r="J176" s="7" t="s">
        <v>176</v>
      </c>
      <c r="K176" s="7" t="s">
        <v>176</v>
      </c>
      <c r="L176" s="3" t="s">
        <v>64</v>
      </c>
      <c r="M176" s="5">
        <v>19.0</v>
      </c>
      <c r="N176" s="5">
        <v>5.0</v>
      </c>
      <c r="O176" s="5" t="s">
        <v>177</v>
      </c>
      <c r="P176" s="3"/>
      <c r="Q176" s="3"/>
      <c r="R176" s="6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15.75" customHeight="1">
      <c r="A177" s="3" t="s">
        <v>149</v>
      </c>
      <c r="B177" s="3" t="s">
        <v>150</v>
      </c>
      <c r="C177" s="3" t="s">
        <v>19</v>
      </c>
      <c r="D177" s="3" t="s">
        <v>151</v>
      </c>
      <c r="E177" s="3" t="s">
        <v>172</v>
      </c>
      <c r="F177" s="3">
        <v>2.0</v>
      </c>
      <c r="G177" s="4">
        <v>-27.59092</v>
      </c>
      <c r="H177" s="4">
        <v>-48.47587</v>
      </c>
      <c r="I177" s="5">
        <v>6.0</v>
      </c>
      <c r="J177" s="5" t="s">
        <v>105</v>
      </c>
      <c r="K177" s="5" t="s">
        <v>105</v>
      </c>
      <c r="L177" s="3" t="s">
        <v>64</v>
      </c>
      <c r="M177" s="5">
        <v>21.5</v>
      </c>
      <c r="N177" s="5">
        <v>6.0</v>
      </c>
      <c r="O177" s="5"/>
      <c r="P177" s="5"/>
      <c r="Q177" s="3"/>
      <c r="R177" s="6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15.75" customHeight="1">
      <c r="A178" s="3" t="s">
        <v>149</v>
      </c>
      <c r="B178" s="3" t="s">
        <v>150</v>
      </c>
      <c r="C178" s="3" t="s">
        <v>19</v>
      </c>
      <c r="D178" s="3" t="s">
        <v>151</v>
      </c>
      <c r="E178" s="3" t="s">
        <v>172</v>
      </c>
      <c r="F178" s="3">
        <v>2.0</v>
      </c>
      <c r="G178" s="4">
        <v>-27.59092</v>
      </c>
      <c r="H178" s="4">
        <v>-48.47587</v>
      </c>
      <c r="I178" s="5">
        <v>7.0</v>
      </c>
      <c r="J178" s="5" t="s">
        <v>24</v>
      </c>
      <c r="K178" s="5" t="s">
        <v>24</v>
      </c>
      <c r="L178" s="3"/>
      <c r="M178" s="5">
        <v>26.0</v>
      </c>
      <c r="N178" s="5">
        <v>10.0</v>
      </c>
      <c r="O178" s="5"/>
      <c r="P178" s="3"/>
      <c r="Q178" s="3"/>
      <c r="R178" s="6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15.75" customHeight="1">
      <c r="A179" s="3" t="s">
        <v>149</v>
      </c>
      <c r="B179" s="3" t="s">
        <v>150</v>
      </c>
      <c r="C179" s="3" t="s">
        <v>19</v>
      </c>
      <c r="D179" s="3" t="s">
        <v>151</v>
      </c>
      <c r="E179" s="3" t="s">
        <v>172</v>
      </c>
      <c r="F179" s="3">
        <v>2.0</v>
      </c>
      <c r="G179" s="4">
        <v>-27.59092</v>
      </c>
      <c r="H179" s="4">
        <v>-48.47587</v>
      </c>
      <c r="I179" s="5">
        <v>8.0</v>
      </c>
      <c r="J179" s="14" t="s">
        <v>178</v>
      </c>
      <c r="K179" s="14" t="s">
        <v>179</v>
      </c>
      <c r="L179" s="3" t="s">
        <v>64</v>
      </c>
      <c r="M179" s="5">
        <v>17.0</v>
      </c>
      <c r="N179" s="5">
        <v>6.0</v>
      </c>
      <c r="O179" s="5" t="s">
        <v>180</v>
      </c>
      <c r="P179" s="3" t="s">
        <v>77</v>
      </c>
      <c r="Q179" s="3"/>
      <c r="R179" s="6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15.75" customHeight="1">
      <c r="A180" s="3" t="s">
        <v>149</v>
      </c>
      <c r="B180" s="3" t="s">
        <v>150</v>
      </c>
      <c r="C180" s="3" t="s">
        <v>19</v>
      </c>
      <c r="D180" s="3" t="s">
        <v>151</v>
      </c>
      <c r="E180" s="3" t="s">
        <v>172</v>
      </c>
      <c r="F180" s="3">
        <v>2.0</v>
      </c>
      <c r="G180" s="4">
        <v>-27.59092</v>
      </c>
      <c r="H180" s="4">
        <v>-48.47587</v>
      </c>
      <c r="I180" s="5">
        <v>9.0</v>
      </c>
      <c r="J180" s="5" t="s">
        <v>105</v>
      </c>
      <c r="K180" s="5" t="s">
        <v>105</v>
      </c>
      <c r="L180" s="3"/>
      <c r="M180" s="5">
        <v>15.0</v>
      </c>
      <c r="N180" s="5">
        <v>4.5</v>
      </c>
      <c r="O180" s="3"/>
      <c r="P180" s="3"/>
      <c r="Q180" s="5" t="s">
        <v>181</v>
      </c>
      <c r="R180" s="6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15.75" customHeight="1">
      <c r="A181" s="3" t="s">
        <v>149</v>
      </c>
      <c r="B181" s="3" t="s">
        <v>150</v>
      </c>
      <c r="C181" s="3" t="s">
        <v>19</v>
      </c>
      <c r="D181" s="3" t="s">
        <v>151</v>
      </c>
      <c r="E181" s="3" t="s">
        <v>172</v>
      </c>
      <c r="F181" s="3">
        <v>2.0</v>
      </c>
      <c r="G181" s="4">
        <v>-27.59092</v>
      </c>
      <c r="H181" s="4">
        <v>-48.47587</v>
      </c>
      <c r="I181" s="5">
        <v>10.0</v>
      </c>
      <c r="J181" s="5" t="s">
        <v>105</v>
      </c>
      <c r="K181" s="5" t="s">
        <v>105</v>
      </c>
      <c r="L181" s="3"/>
      <c r="M181" s="5" t="s">
        <v>182</v>
      </c>
      <c r="N181" s="5">
        <v>5.0</v>
      </c>
      <c r="O181" s="5" t="s">
        <v>183</v>
      </c>
      <c r="P181" s="3"/>
      <c r="Q181" s="3"/>
      <c r="R181" s="6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15.75" customHeight="1">
      <c r="A182" s="3" t="s">
        <v>149</v>
      </c>
      <c r="B182" s="3" t="s">
        <v>150</v>
      </c>
      <c r="C182" s="3" t="s">
        <v>19</v>
      </c>
      <c r="D182" s="3" t="s">
        <v>151</v>
      </c>
      <c r="E182" s="3" t="s">
        <v>172</v>
      </c>
      <c r="F182" s="3">
        <v>2.0</v>
      </c>
      <c r="G182" s="4">
        <v>-27.59092</v>
      </c>
      <c r="H182" s="4">
        <v>-48.47587</v>
      </c>
      <c r="I182" s="5">
        <v>11.0</v>
      </c>
      <c r="J182" s="5" t="s">
        <v>153</v>
      </c>
      <c r="K182" s="5" t="s">
        <v>153</v>
      </c>
      <c r="L182" s="3"/>
      <c r="M182" s="5">
        <v>20.0</v>
      </c>
      <c r="N182" s="5">
        <v>8.0</v>
      </c>
      <c r="O182" s="5"/>
      <c r="P182" s="3"/>
      <c r="Q182" s="3"/>
      <c r="R182" s="6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15.75" customHeight="1">
      <c r="A183" s="3" t="s">
        <v>149</v>
      </c>
      <c r="B183" s="3" t="s">
        <v>150</v>
      </c>
      <c r="C183" s="3" t="s">
        <v>19</v>
      </c>
      <c r="D183" s="3" t="s">
        <v>151</v>
      </c>
      <c r="E183" s="3" t="s">
        <v>172</v>
      </c>
      <c r="F183" s="3">
        <v>2.0</v>
      </c>
      <c r="G183" s="4">
        <v>-27.59092</v>
      </c>
      <c r="H183" s="4">
        <v>-48.47587</v>
      </c>
      <c r="I183" s="5">
        <v>12.0</v>
      </c>
      <c r="J183" s="5" t="s">
        <v>105</v>
      </c>
      <c r="K183" s="5" t="s">
        <v>105</v>
      </c>
      <c r="L183" s="3"/>
      <c r="M183" s="5">
        <v>17.0</v>
      </c>
      <c r="N183" s="5">
        <v>2.0</v>
      </c>
      <c r="O183" s="5" t="s">
        <v>184</v>
      </c>
      <c r="P183" s="3" t="s">
        <v>77</v>
      </c>
      <c r="Q183" s="3"/>
      <c r="R183" s="6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5.75" customHeight="1">
      <c r="A184" s="3" t="s">
        <v>149</v>
      </c>
      <c r="B184" s="3" t="s">
        <v>150</v>
      </c>
      <c r="C184" s="3" t="s">
        <v>19</v>
      </c>
      <c r="D184" s="3" t="s">
        <v>151</v>
      </c>
      <c r="E184" s="3" t="s">
        <v>172</v>
      </c>
      <c r="F184" s="3">
        <v>2.0</v>
      </c>
      <c r="G184" s="4">
        <v>-27.59092</v>
      </c>
      <c r="H184" s="4">
        <v>-48.47587</v>
      </c>
      <c r="I184" s="5">
        <v>13.0</v>
      </c>
      <c r="J184" s="5" t="s">
        <v>105</v>
      </c>
      <c r="K184" s="5" t="s">
        <v>105</v>
      </c>
      <c r="L184" s="3"/>
      <c r="M184" s="5" t="s">
        <v>185</v>
      </c>
      <c r="N184" s="5">
        <v>5.0</v>
      </c>
      <c r="O184" s="5"/>
      <c r="P184" s="3"/>
      <c r="Q184" s="3"/>
      <c r="R184" s="6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15.75" customHeight="1">
      <c r="A185" s="3" t="s">
        <v>149</v>
      </c>
      <c r="B185" s="3" t="s">
        <v>150</v>
      </c>
      <c r="C185" s="3" t="s">
        <v>19</v>
      </c>
      <c r="D185" s="3" t="s">
        <v>151</v>
      </c>
      <c r="E185" s="3" t="s">
        <v>172</v>
      </c>
      <c r="F185" s="3">
        <v>2.0</v>
      </c>
      <c r="G185" s="4">
        <v>-27.59092</v>
      </c>
      <c r="H185" s="4">
        <v>-48.47587</v>
      </c>
      <c r="I185" s="5">
        <v>14.0</v>
      </c>
      <c r="J185" s="5" t="s">
        <v>40</v>
      </c>
      <c r="K185" s="5" t="s">
        <v>40</v>
      </c>
      <c r="L185" s="3"/>
      <c r="M185" s="5">
        <v>41.0</v>
      </c>
      <c r="N185" s="5">
        <v>12.0</v>
      </c>
      <c r="O185" s="5" t="s">
        <v>186</v>
      </c>
      <c r="P185" s="3"/>
      <c r="Q185" s="3"/>
      <c r="R185" s="6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15.75" customHeight="1">
      <c r="A186" s="3" t="s">
        <v>149</v>
      </c>
      <c r="B186" s="3" t="s">
        <v>150</v>
      </c>
      <c r="C186" s="3" t="s">
        <v>19</v>
      </c>
      <c r="D186" s="3" t="s">
        <v>151</v>
      </c>
      <c r="E186" s="3" t="s">
        <v>172</v>
      </c>
      <c r="F186" s="3">
        <v>2.0</v>
      </c>
      <c r="G186" s="4">
        <v>-27.59092</v>
      </c>
      <c r="H186" s="4">
        <v>-48.47587</v>
      </c>
      <c r="I186" s="5">
        <v>15.0</v>
      </c>
      <c r="J186" s="5" t="s">
        <v>104</v>
      </c>
      <c r="K186" s="5" t="s">
        <v>104</v>
      </c>
      <c r="L186" s="3"/>
      <c r="M186" s="5">
        <v>20.0</v>
      </c>
      <c r="N186" s="5">
        <v>7.0</v>
      </c>
      <c r="O186" s="5"/>
      <c r="P186" s="3"/>
      <c r="Q186" s="3"/>
      <c r="R186" s="6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15.75" customHeight="1">
      <c r="A187" s="3" t="s">
        <v>149</v>
      </c>
      <c r="B187" s="3" t="s">
        <v>150</v>
      </c>
      <c r="C187" s="3" t="s">
        <v>19</v>
      </c>
      <c r="D187" s="3" t="s">
        <v>151</v>
      </c>
      <c r="E187" s="3" t="s">
        <v>172</v>
      </c>
      <c r="F187" s="3">
        <v>2.0</v>
      </c>
      <c r="G187" s="4">
        <v>-27.59092</v>
      </c>
      <c r="H187" s="4">
        <v>-48.47587</v>
      </c>
      <c r="I187" s="5">
        <v>16.0</v>
      </c>
      <c r="J187" s="5" t="s">
        <v>187</v>
      </c>
      <c r="K187" s="5" t="s">
        <v>187</v>
      </c>
      <c r="L187" s="3" t="s">
        <v>64</v>
      </c>
      <c r="M187" s="5">
        <v>24.0</v>
      </c>
      <c r="N187" s="5">
        <v>7.0</v>
      </c>
      <c r="O187" s="5" t="s">
        <v>188</v>
      </c>
      <c r="P187" s="3" t="s">
        <v>77</v>
      </c>
      <c r="Q187" s="3"/>
      <c r="R187" s="6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15.75" customHeight="1">
      <c r="A188" s="3" t="s">
        <v>149</v>
      </c>
      <c r="B188" s="3" t="s">
        <v>150</v>
      </c>
      <c r="C188" s="3" t="s">
        <v>19</v>
      </c>
      <c r="D188" s="3" t="s">
        <v>151</v>
      </c>
      <c r="E188" s="3" t="s">
        <v>172</v>
      </c>
      <c r="F188" s="3">
        <v>2.0</v>
      </c>
      <c r="G188" s="4">
        <v>-27.59092</v>
      </c>
      <c r="H188" s="4">
        <v>-48.47587</v>
      </c>
      <c r="I188" s="5">
        <v>17.0</v>
      </c>
      <c r="J188" s="12" t="s">
        <v>167</v>
      </c>
      <c r="K188" s="12" t="s">
        <v>167</v>
      </c>
      <c r="L188" s="3" t="s">
        <v>64</v>
      </c>
      <c r="M188" s="5">
        <v>25.0</v>
      </c>
      <c r="N188" s="5">
        <v>7.0</v>
      </c>
      <c r="O188" s="5" t="s">
        <v>189</v>
      </c>
      <c r="P188" s="3" t="s">
        <v>77</v>
      </c>
      <c r="Q188" s="3" t="s">
        <v>190</v>
      </c>
      <c r="R188" s="6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15.75" customHeight="1">
      <c r="A189" s="3" t="s">
        <v>149</v>
      </c>
      <c r="B189" s="3" t="s">
        <v>150</v>
      </c>
      <c r="C189" s="3" t="s">
        <v>19</v>
      </c>
      <c r="D189" s="3" t="s">
        <v>151</v>
      </c>
      <c r="E189" s="3" t="s">
        <v>172</v>
      </c>
      <c r="F189" s="3">
        <v>2.0</v>
      </c>
      <c r="G189" s="4">
        <v>-27.59092</v>
      </c>
      <c r="H189" s="4">
        <v>-48.47587</v>
      </c>
      <c r="I189" s="5">
        <v>18.0</v>
      </c>
      <c r="J189" s="5" t="s">
        <v>153</v>
      </c>
      <c r="K189" s="5" t="s">
        <v>153</v>
      </c>
      <c r="L189" s="3"/>
      <c r="M189" s="5">
        <v>27.0</v>
      </c>
      <c r="N189" s="5">
        <v>7.0</v>
      </c>
      <c r="O189" s="5"/>
      <c r="P189" s="3"/>
      <c r="Q189" s="3"/>
      <c r="R189" s="6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15.75" customHeight="1">
      <c r="A190" s="3" t="s">
        <v>149</v>
      </c>
      <c r="B190" s="3" t="s">
        <v>150</v>
      </c>
      <c r="C190" s="3" t="s">
        <v>19</v>
      </c>
      <c r="D190" s="3" t="s">
        <v>151</v>
      </c>
      <c r="E190" s="3" t="s">
        <v>172</v>
      </c>
      <c r="F190" s="3">
        <v>2.0</v>
      </c>
      <c r="G190" s="4">
        <v>-27.59092</v>
      </c>
      <c r="H190" s="4">
        <v>-48.47587</v>
      </c>
      <c r="I190" s="5">
        <v>19.0</v>
      </c>
      <c r="J190" s="5" t="s">
        <v>191</v>
      </c>
      <c r="K190" s="5" t="s">
        <v>191</v>
      </c>
      <c r="L190" s="3"/>
      <c r="M190" s="5">
        <v>45.0</v>
      </c>
      <c r="N190" s="5">
        <v>12.0</v>
      </c>
      <c r="O190" s="5"/>
      <c r="P190" s="3"/>
      <c r="Q190" s="3"/>
      <c r="R190" s="6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15.75" customHeight="1">
      <c r="A191" s="3" t="s">
        <v>149</v>
      </c>
      <c r="B191" s="3" t="s">
        <v>150</v>
      </c>
      <c r="C191" s="3" t="s">
        <v>19</v>
      </c>
      <c r="D191" s="3" t="s">
        <v>151</v>
      </c>
      <c r="E191" s="3" t="s">
        <v>172</v>
      </c>
      <c r="F191" s="3">
        <v>2.0</v>
      </c>
      <c r="G191" s="4">
        <v>-27.59092</v>
      </c>
      <c r="H191" s="4">
        <v>-48.47587</v>
      </c>
      <c r="I191" s="5">
        <v>20.0</v>
      </c>
      <c r="J191" s="5" t="s">
        <v>104</v>
      </c>
      <c r="K191" s="5" t="s">
        <v>104</v>
      </c>
      <c r="L191" s="3"/>
      <c r="M191" s="5">
        <v>71.0</v>
      </c>
      <c r="N191" s="5">
        <v>14.0</v>
      </c>
      <c r="O191" s="5"/>
      <c r="P191" s="3"/>
      <c r="Q191" s="3"/>
      <c r="R191" s="6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15.75" customHeight="1">
      <c r="A192" s="3" t="s">
        <v>149</v>
      </c>
      <c r="B192" s="3" t="s">
        <v>150</v>
      </c>
      <c r="C192" s="3" t="s">
        <v>19</v>
      </c>
      <c r="D192" s="3" t="s">
        <v>151</v>
      </c>
      <c r="E192" s="3" t="s">
        <v>172</v>
      </c>
      <c r="F192" s="3">
        <v>2.0</v>
      </c>
      <c r="G192" s="4">
        <v>-27.59092</v>
      </c>
      <c r="H192" s="4">
        <v>-48.47587</v>
      </c>
      <c r="I192" s="5">
        <v>21.0</v>
      </c>
      <c r="J192" s="5" t="s">
        <v>191</v>
      </c>
      <c r="K192" s="5" t="s">
        <v>191</v>
      </c>
      <c r="L192" s="3"/>
      <c r="M192" s="5">
        <v>44.0</v>
      </c>
      <c r="N192" s="5">
        <v>11.0</v>
      </c>
      <c r="O192" s="5"/>
      <c r="P192" s="3"/>
      <c r="Q192" s="3"/>
      <c r="R192" s="6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15.75" customHeight="1">
      <c r="A193" s="3" t="s">
        <v>149</v>
      </c>
      <c r="B193" s="3" t="s">
        <v>150</v>
      </c>
      <c r="C193" s="3" t="s">
        <v>19</v>
      </c>
      <c r="D193" s="3" t="s">
        <v>151</v>
      </c>
      <c r="E193" s="3" t="s">
        <v>172</v>
      </c>
      <c r="F193" s="3">
        <v>2.0</v>
      </c>
      <c r="G193" s="4">
        <v>-27.59092</v>
      </c>
      <c r="H193" s="4">
        <v>-48.47587</v>
      </c>
      <c r="I193" s="5">
        <v>22.0</v>
      </c>
      <c r="J193" s="5" t="s">
        <v>153</v>
      </c>
      <c r="K193" s="5" t="s">
        <v>153</v>
      </c>
      <c r="L193" s="3"/>
      <c r="M193" s="5">
        <v>27.0</v>
      </c>
      <c r="N193" s="5">
        <v>8.0</v>
      </c>
      <c r="O193" s="5"/>
      <c r="P193" s="3"/>
      <c r="Q193" s="3"/>
      <c r="R193" s="6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5.75" customHeight="1">
      <c r="A194" s="3" t="s">
        <v>149</v>
      </c>
      <c r="B194" s="3" t="s">
        <v>150</v>
      </c>
      <c r="C194" s="3" t="s">
        <v>19</v>
      </c>
      <c r="D194" s="3" t="s">
        <v>151</v>
      </c>
      <c r="E194" s="3" t="s">
        <v>172</v>
      </c>
      <c r="F194" s="3">
        <v>2.0</v>
      </c>
      <c r="G194" s="4">
        <v>-27.59092</v>
      </c>
      <c r="H194" s="4">
        <v>-48.47587</v>
      </c>
      <c r="I194" s="5">
        <v>23.0</v>
      </c>
      <c r="J194" s="5" t="s">
        <v>56</v>
      </c>
      <c r="K194" s="5" t="s">
        <v>56</v>
      </c>
      <c r="L194" s="3"/>
      <c r="M194" s="5">
        <v>15.0</v>
      </c>
      <c r="N194" s="5">
        <v>4.5</v>
      </c>
      <c r="O194" s="5"/>
      <c r="P194" s="3"/>
      <c r="Q194" s="3"/>
      <c r="R194" s="6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15.75" customHeight="1">
      <c r="A195" s="3" t="s">
        <v>149</v>
      </c>
      <c r="B195" s="3" t="s">
        <v>150</v>
      </c>
      <c r="C195" s="3" t="s">
        <v>19</v>
      </c>
      <c r="D195" s="3" t="s">
        <v>151</v>
      </c>
      <c r="E195" s="3" t="s">
        <v>172</v>
      </c>
      <c r="F195" s="3">
        <v>2.0</v>
      </c>
      <c r="G195" s="4">
        <v>-27.59092</v>
      </c>
      <c r="H195" s="4">
        <v>-48.47587</v>
      </c>
      <c r="I195" s="5">
        <v>24.0</v>
      </c>
      <c r="J195" s="5" t="s">
        <v>27</v>
      </c>
      <c r="K195" s="5" t="s">
        <v>27</v>
      </c>
      <c r="L195" s="3"/>
      <c r="M195" s="5">
        <v>132.0</v>
      </c>
      <c r="N195" s="5">
        <v>18.0</v>
      </c>
      <c r="O195" s="5"/>
      <c r="P195" s="3"/>
      <c r="Q195" s="3"/>
      <c r="R195" s="6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15.75" customHeight="1">
      <c r="A196" s="3" t="s">
        <v>149</v>
      </c>
      <c r="B196" s="3" t="s">
        <v>150</v>
      </c>
      <c r="C196" s="3" t="s">
        <v>19</v>
      </c>
      <c r="D196" s="3" t="s">
        <v>151</v>
      </c>
      <c r="E196" s="3" t="s">
        <v>172</v>
      </c>
      <c r="F196" s="3">
        <v>2.0</v>
      </c>
      <c r="G196" s="4">
        <v>-27.59092</v>
      </c>
      <c r="H196" s="4">
        <v>-48.47587</v>
      </c>
      <c r="I196" s="5">
        <v>25.0</v>
      </c>
      <c r="J196" s="5" t="s">
        <v>153</v>
      </c>
      <c r="K196" s="5" t="s">
        <v>153</v>
      </c>
      <c r="L196" s="3"/>
      <c r="M196" s="5">
        <v>23.0</v>
      </c>
      <c r="N196" s="5">
        <v>7.0</v>
      </c>
      <c r="O196" s="5"/>
      <c r="P196" s="3"/>
      <c r="Q196" s="3"/>
      <c r="R196" s="6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15.75" customHeight="1">
      <c r="A197" s="3" t="s">
        <v>149</v>
      </c>
      <c r="B197" s="3" t="s">
        <v>150</v>
      </c>
      <c r="C197" s="3" t="s">
        <v>19</v>
      </c>
      <c r="D197" s="3" t="s">
        <v>151</v>
      </c>
      <c r="E197" s="3" t="s">
        <v>172</v>
      </c>
      <c r="F197" s="3">
        <v>2.0</v>
      </c>
      <c r="G197" s="4">
        <v>-27.59092</v>
      </c>
      <c r="H197" s="4">
        <v>-48.47587</v>
      </c>
      <c r="I197" s="5">
        <v>26.0</v>
      </c>
      <c r="J197" s="5" t="s">
        <v>192</v>
      </c>
      <c r="K197" s="5" t="s">
        <v>192</v>
      </c>
      <c r="L197" s="3"/>
      <c r="M197" s="5">
        <v>30.0</v>
      </c>
      <c r="N197" s="5">
        <v>8.0</v>
      </c>
      <c r="O197" s="5"/>
      <c r="P197" s="3"/>
      <c r="Q197" s="3"/>
      <c r="R197" s="6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15.75" customHeight="1">
      <c r="A198" s="3" t="s">
        <v>149</v>
      </c>
      <c r="B198" s="3" t="s">
        <v>150</v>
      </c>
      <c r="C198" s="3" t="s">
        <v>19</v>
      </c>
      <c r="D198" s="3" t="s">
        <v>151</v>
      </c>
      <c r="E198" s="3" t="s">
        <v>172</v>
      </c>
      <c r="F198" s="3">
        <v>2.0</v>
      </c>
      <c r="G198" s="4">
        <v>-27.59092</v>
      </c>
      <c r="H198" s="4">
        <v>-48.47587</v>
      </c>
      <c r="I198" s="5">
        <v>27.0</v>
      </c>
      <c r="J198" s="5" t="s">
        <v>153</v>
      </c>
      <c r="K198" s="5" t="s">
        <v>153</v>
      </c>
      <c r="L198" s="3"/>
      <c r="M198" s="5">
        <v>15.0</v>
      </c>
      <c r="N198" s="5">
        <v>4.5</v>
      </c>
      <c r="O198" s="5"/>
      <c r="P198" s="3"/>
      <c r="Q198" s="3"/>
      <c r="R198" s="6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15.75" customHeight="1">
      <c r="A199" s="3" t="s">
        <v>149</v>
      </c>
      <c r="B199" s="3" t="s">
        <v>150</v>
      </c>
      <c r="C199" s="3" t="s">
        <v>19</v>
      </c>
      <c r="D199" s="3" t="s">
        <v>151</v>
      </c>
      <c r="E199" s="3" t="s">
        <v>172</v>
      </c>
      <c r="F199" s="3">
        <v>2.0</v>
      </c>
      <c r="G199" s="4">
        <v>-27.59092</v>
      </c>
      <c r="H199" s="4">
        <v>-48.47587</v>
      </c>
      <c r="I199" s="5">
        <v>28.0</v>
      </c>
      <c r="J199" s="5" t="s">
        <v>30</v>
      </c>
      <c r="K199" s="5" t="s">
        <v>30</v>
      </c>
      <c r="L199" s="3"/>
      <c r="M199" s="5">
        <v>106.0</v>
      </c>
      <c r="N199" s="5">
        <v>17.0</v>
      </c>
      <c r="O199" s="5" t="s">
        <v>193</v>
      </c>
      <c r="P199" s="3"/>
      <c r="Q199" s="3"/>
      <c r="R199" s="6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15.75" customHeight="1">
      <c r="A200" s="3" t="s">
        <v>149</v>
      </c>
      <c r="B200" s="3" t="s">
        <v>150</v>
      </c>
      <c r="C200" s="3" t="s">
        <v>19</v>
      </c>
      <c r="D200" s="3" t="s">
        <v>151</v>
      </c>
      <c r="E200" s="3" t="s">
        <v>194</v>
      </c>
      <c r="F200" s="3">
        <v>3.0</v>
      </c>
      <c r="G200" s="4">
        <v>-27.59109</v>
      </c>
      <c r="H200" s="4">
        <v>-48.47551</v>
      </c>
      <c r="I200" s="5">
        <v>1.0</v>
      </c>
      <c r="J200" s="5" t="s">
        <v>105</v>
      </c>
      <c r="K200" s="5" t="s">
        <v>105</v>
      </c>
      <c r="L200" s="3" t="s">
        <v>64</v>
      </c>
      <c r="M200" s="5">
        <v>18.0</v>
      </c>
      <c r="N200" s="5">
        <v>5.0</v>
      </c>
      <c r="O200" s="3"/>
      <c r="P200" s="5" t="s">
        <v>77</v>
      </c>
      <c r="Q200" s="3"/>
      <c r="R200" s="6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15.75" customHeight="1">
      <c r="A201" s="3" t="s">
        <v>149</v>
      </c>
      <c r="B201" s="3" t="s">
        <v>150</v>
      </c>
      <c r="C201" s="3" t="s">
        <v>19</v>
      </c>
      <c r="D201" s="3" t="s">
        <v>151</v>
      </c>
      <c r="E201" s="3" t="s">
        <v>194</v>
      </c>
      <c r="F201" s="3">
        <v>3.0</v>
      </c>
      <c r="G201" s="4">
        <v>-27.59109</v>
      </c>
      <c r="H201" s="4">
        <v>-48.47551</v>
      </c>
      <c r="I201" s="5">
        <v>2.0</v>
      </c>
      <c r="J201" s="5" t="s">
        <v>153</v>
      </c>
      <c r="K201" s="5" t="s">
        <v>153</v>
      </c>
      <c r="L201" s="3"/>
      <c r="M201" s="5">
        <v>35.5</v>
      </c>
      <c r="N201" s="5">
        <v>7.0</v>
      </c>
      <c r="O201" s="5"/>
      <c r="P201" s="3"/>
      <c r="Q201" s="3"/>
      <c r="R201" s="6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15.75" customHeight="1">
      <c r="A202" s="3" t="s">
        <v>149</v>
      </c>
      <c r="B202" s="3" t="s">
        <v>150</v>
      </c>
      <c r="C202" s="3" t="s">
        <v>19</v>
      </c>
      <c r="D202" s="3" t="s">
        <v>151</v>
      </c>
      <c r="E202" s="3" t="s">
        <v>194</v>
      </c>
      <c r="F202" s="3">
        <v>3.0</v>
      </c>
      <c r="G202" s="4">
        <v>-27.59109</v>
      </c>
      <c r="H202" s="4">
        <v>-48.47551</v>
      </c>
      <c r="I202" s="5">
        <v>3.0</v>
      </c>
      <c r="J202" s="5" t="s">
        <v>105</v>
      </c>
      <c r="K202" s="5" t="s">
        <v>105</v>
      </c>
      <c r="L202" s="3" t="s">
        <v>64</v>
      </c>
      <c r="M202" s="5">
        <v>28.0</v>
      </c>
      <c r="N202" s="5">
        <v>5.0</v>
      </c>
      <c r="O202" s="5"/>
      <c r="P202" s="3"/>
      <c r="Q202" s="3"/>
      <c r="R202" s="6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15.75" customHeight="1">
      <c r="A203" s="3" t="s">
        <v>149</v>
      </c>
      <c r="B203" s="3" t="s">
        <v>150</v>
      </c>
      <c r="C203" s="3" t="s">
        <v>19</v>
      </c>
      <c r="D203" s="3" t="s">
        <v>151</v>
      </c>
      <c r="E203" s="3" t="s">
        <v>194</v>
      </c>
      <c r="F203" s="3">
        <v>3.0</v>
      </c>
      <c r="G203" s="4">
        <v>-27.59109</v>
      </c>
      <c r="H203" s="4">
        <v>-48.47551</v>
      </c>
      <c r="I203" s="5">
        <v>4.0</v>
      </c>
      <c r="J203" s="5" t="s">
        <v>105</v>
      </c>
      <c r="K203" s="5" t="s">
        <v>105</v>
      </c>
      <c r="L203" s="3" t="s">
        <v>64</v>
      </c>
      <c r="M203" s="5">
        <v>24.0</v>
      </c>
      <c r="N203" s="5">
        <v>8.0</v>
      </c>
      <c r="O203" s="3"/>
      <c r="P203" s="3"/>
      <c r="Q203" s="5" t="s">
        <v>195</v>
      </c>
      <c r="R203" s="6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5.75" customHeight="1">
      <c r="A204" s="3" t="s">
        <v>149</v>
      </c>
      <c r="B204" s="3" t="s">
        <v>150</v>
      </c>
      <c r="C204" s="3" t="s">
        <v>19</v>
      </c>
      <c r="D204" s="3" t="s">
        <v>151</v>
      </c>
      <c r="E204" s="3" t="s">
        <v>194</v>
      </c>
      <c r="F204" s="3">
        <v>3.0</v>
      </c>
      <c r="G204" s="4">
        <v>-27.59109</v>
      </c>
      <c r="H204" s="4">
        <v>-48.47551</v>
      </c>
      <c r="I204" s="5">
        <v>5.0</v>
      </c>
      <c r="J204" s="5" t="s">
        <v>104</v>
      </c>
      <c r="K204" s="5" t="s">
        <v>104</v>
      </c>
      <c r="L204" s="3"/>
      <c r="M204" s="5">
        <v>22.0</v>
      </c>
      <c r="N204" s="5">
        <v>7.0</v>
      </c>
      <c r="O204" s="5"/>
      <c r="P204" s="3"/>
      <c r="Q204" s="3"/>
      <c r="R204" s="6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15.75" customHeight="1">
      <c r="A205" s="3" t="s">
        <v>149</v>
      </c>
      <c r="B205" s="3" t="s">
        <v>150</v>
      </c>
      <c r="C205" s="3" t="s">
        <v>19</v>
      </c>
      <c r="D205" s="3" t="s">
        <v>151</v>
      </c>
      <c r="E205" s="3" t="s">
        <v>194</v>
      </c>
      <c r="F205" s="3">
        <v>3.0</v>
      </c>
      <c r="G205" s="4">
        <v>-27.59109</v>
      </c>
      <c r="H205" s="4">
        <v>-48.47551</v>
      </c>
      <c r="I205" s="5">
        <v>6.0</v>
      </c>
      <c r="J205" s="5" t="s">
        <v>30</v>
      </c>
      <c r="K205" s="5" t="s">
        <v>30</v>
      </c>
      <c r="L205" s="3"/>
      <c r="M205" s="5">
        <v>33.0</v>
      </c>
      <c r="N205" s="5">
        <v>9.0</v>
      </c>
      <c r="O205" s="5"/>
      <c r="P205" s="3"/>
      <c r="Q205" s="3"/>
      <c r="R205" s="6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15.75" customHeight="1">
      <c r="A206" s="3" t="s">
        <v>149</v>
      </c>
      <c r="B206" s="3" t="s">
        <v>150</v>
      </c>
      <c r="C206" s="3" t="s">
        <v>19</v>
      </c>
      <c r="D206" s="3" t="s">
        <v>151</v>
      </c>
      <c r="E206" s="3" t="s">
        <v>194</v>
      </c>
      <c r="F206" s="3">
        <v>3.0</v>
      </c>
      <c r="G206" s="4">
        <v>-27.59109</v>
      </c>
      <c r="H206" s="4">
        <v>-48.47551</v>
      </c>
      <c r="I206" s="5">
        <v>7.0</v>
      </c>
      <c r="J206" s="5" t="s">
        <v>56</v>
      </c>
      <c r="K206" s="5" t="s">
        <v>56</v>
      </c>
      <c r="L206" s="3"/>
      <c r="M206" s="5">
        <v>15.0</v>
      </c>
      <c r="N206" s="5">
        <v>5.5</v>
      </c>
      <c r="O206" s="5"/>
      <c r="P206" s="3"/>
      <c r="Q206" s="3"/>
      <c r="R206" s="6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15.75" customHeight="1">
      <c r="A207" s="3" t="s">
        <v>149</v>
      </c>
      <c r="B207" s="3" t="s">
        <v>150</v>
      </c>
      <c r="C207" s="3" t="s">
        <v>19</v>
      </c>
      <c r="D207" s="3" t="s">
        <v>151</v>
      </c>
      <c r="E207" s="3" t="s">
        <v>194</v>
      </c>
      <c r="F207" s="3">
        <v>3.0</v>
      </c>
      <c r="G207" s="4">
        <v>-27.59109</v>
      </c>
      <c r="H207" s="4">
        <v>-48.47551</v>
      </c>
      <c r="I207" s="5">
        <v>8.0</v>
      </c>
      <c r="J207" s="5" t="s">
        <v>104</v>
      </c>
      <c r="K207" s="5" t="s">
        <v>104</v>
      </c>
      <c r="L207" s="3"/>
      <c r="M207" s="5">
        <v>24.5</v>
      </c>
      <c r="N207" s="5">
        <v>8.0</v>
      </c>
      <c r="O207" s="5"/>
      <c r="P207" s="3"/>
      <c r="Q207" s="3"/>
      <c r="R207" s="6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15.75" customHeight="1">
      <c r="A208" s="3" t="s">
        <v>149</v>
      </c>
      <c r="B208" s="3" t="s">
        <v>150</v>
      </c>
      <c r="C208" s="3" t="s">
        <v>19</v>
      </c>
      <c r="D208" s="3" t="s">
        <v>151</v>
      </c>
      <c r="E208" s="3" t="s">
        <v>194</v>
      </c>
      <c r="F208" s="3">
        <v>3.0</v>
      </c>
      <c r="G208" s="4">
        <v>-27.59109</v>
      </c>
      <c r="H208" s="4">
        <v>-48.47551</v>
      </c>
      <c r="I208" s="5">
        <v>9.0</v>
      </c>
      <c r="J208" s="5" t="s">
        <v>196</v>
      </c>
      <c r="K208" s="5" t="s">
        <v>196</v>
      </c>
      <c r="L208" s="3"/>
      <c r="M208" s="5">
        <v>78.0</v>
      </c>
      <c r="N208" s="5">
        <v>12.0</v>
      </c>
      <c r="O208" s="5" t="s">
        <v>197</v>
      </c>
      <c r="P208" s="3"/>
      <c r="Q208" s="3"/>
      <c r="R208" s="6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15.75" customHeight="1">
      <c r="A209" s="3" t="s">
        <v>149</v>
      </c>
      <c r="B209" s="3" t="s">
        <v>150</v>
      </c>
      <c r="C209" s="3" t="s">
        <v>19</v>
      </c>
      <c r="D209" s="3" t="s">
        <v>151</v>
      </c>
      <c r="E209" s="3" t="s">
        <v>194</v>
      </c>
      <c r="F209" s="3">
        <v>3.0</v>
      </c>
      <c r="G209" s="4">
        <v>-27.59109</v>
      </c>
      <c r="H209" s="4">
        <v>-48.47551</v>
      </c>
      <c r="I209" s="5">
        <v>10.0</v>
      </c>
      <c r="J209" s="5" t="s">
        <v>56</v>
      </c>
      <c r="K209" s="5" t="s">
        <v>56</v>
      </c>
      <c r="L209" s="3"/>
      <c r="M209" s="5">
        <v>16.0</v>
      </c>
      <c r="N209" s="5">
        <v>4.0</v>
      </c>
      <c r="O209" s="5"/>
      <c r="P209" s="3"/>
      <c r="Q209" s="3"/>
      <c r="R209" s="6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15.75" customHeight="1">
      <c r="A210" s="3" t="s">
        <v>149</v>
      </c>
      <c r="B210" s="3" t="s">
        <v>150</v>
      </c>
      <c r="C210" s="3" t="s">
        <v>19</v>
      </c>
      <c r="D210" s="3" t="s">
        <v>151</v>
      </c>
      <c r="E210" s="3" t="s">
        <v>194</v>
      </c>
      <c r="F210" s="3">
        <v>3.0</v>
      </c>
      <c r="G210" s="4">
        <v>-27.59109</v>
      </c>
      <c r="H210" s="4">
        <v>-48.47551</v>
      </c>
      <c r="I210" s="5">
        <v>11.0</v>
      </c>
      <c r="J210" s="5" t="s">
        <v>104</v>
      </c>
      <c r="K210" s="5" t="s">
        <v>104</v>
      </c>
      <c r="L210" s="3"/>
      <c r="M210" s="5">
        <v>32.5</v>
      </c>
      <c r="N210" s="5">
        <v>9.0</v>
      </c>
      <c r="O210" s="5"/>
      <c r="P210" s="3"/>
      <c r="Q210" s="3"/>
      <c r="R210" s="6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15.75" customHeight="1">
      <c r="A211" s="3" t="s">
        <v>149</v>
      </c>
      <c r="B211" s="3" t="s">
        <v>150</v>
      </c>
      <c r="C211" s="3" t="s">
        <v>19</v>
      </c>
      <c r="D211" s="3" t="s">
        <v>151</v>
      </c>
      <c r="E211" s="3" t="s">
        <v>194</v>
      </c>
      <c r="F211" s="3">
        <v>3.0</v>
      </c>
      <c r="G211" s="4">
        <v>-27.59109</v>
      </c>
      <c r="H211" s="4">
        <v>-48.47551</v>
      </c>
      <c r="I211" s="5">
        <v>12.0</v>
      </c>
      <c r="J211" s="5" t="s">
        <v>56</v>
      </c>
      <c r="K211" s="5" t="s">
        <v>56</v>
      </c>
      <c r="L211" s="3"/>
      <c r="M211" s="5">
        <v>46.0</v>
      </c>
      <c r="N211" s="5">
        <v>8.0</v>
      </c>
      <c r="O211" s="5"/>
      <c r="P211" s="3"/>
      <c r="Q211" s="3"/>
      <c r="R211" s="6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15.75" customHeight="1">
      <c r="A212" s="3" t="s">
        <v>149</v>
      </c>
      <c r="B212" s="3" t="s">
        <v>150</v>
      </c>
      <c r="C212" s="3" t="s">
        <v>19</v>
      </c>
      <c r="D212" s="3" t="s">
        <v>151</v>
      </c>
      <c r="E212" s="3" t="s">
        <v>194</v>
      </c>
      <c r="F212" s="3">
        <v>3.0</v>
      </c>
      <c r="G212" s="4">
        <v>-27.59109</v>
      </c>
      <c r="H212" s="4">
        <v>-48.47551</v>
      </c>
      <c r="I212" s="5">
        <v>13.0</v>
      </c>
      <c r="J212" s="5" t="s">
        <v>105</v>
      </c>
      <c r="K212" s="5" t="s">
        <v>105</v>
      </c>
      <c r="L212" s="3" t="s">
        <v>64</v>
      </c>
      <c r="M212" s="5" t="s">
        <v>198</v>
      </c>
      <c r="N212" s="5">
        <v>4.0</v>
      </c>
      <c r="O212" s="5"/>
      <c r="P212" s="3"/>
      <c r="Q212" s="3"/>
      <c r="R212" s="6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15.75" customHeight="1">
      <c r="A213" s="3" t="s">
        <v>149</v>
      </c>
      <c r="B213" s="3" t="s">
        <v>150</v>
      </c>
      <c r="C213" s="3" t="s">
        <v>19</v>
      </c>
      <c r="D213" s="3" t="s">
        <v>151</v>
      </c>
      <c r="E213" s="3" t="s">
        <v>194</v>
      </c>
      <c r="F213" s="3">
        <v>3.0</v>
      </c>
      <c r="G213" s="4">
        <v>-27.59109</v>
      </c>
      <c r="H213" s="4">
        <v>-48.47551</v>
      </c>
      <c r="I213" s="5">
        <v>14.0</v>
      </c>
      <c r="J213" s="5" t="s">
        <v>105</v>
      </c>
      <c r="K213" s="5" t="s">
        <v>105</v>
      </c>
      <c r="L213" s="3" t="s">
        <v>64</v>
      </c>
      <c r="M213" s="5" t="s">
        <v>199</v>
      </c>
      <c r="N213" s="5">
        <v>10.0</v>
      </c>
      <c r="O213" s="5"/>
      <c r="P213" s="3"/>
      <c r="Q213" s="3"/>
      <c r="R213" s="6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15.75" customHeight="1">
      <c r="A214" s="3" t="s">
        <v>149</v>
      </c>
      <c r="B214" s="3" t="s">
        <v>150</v>
      </c>
      <c r="C214" s="3" t="s">
        <v>19</v>
      </c>
      <c r="D214" s="3" t="s">
        <v>151</v>
      </c>
      <c r="E214" s="3" t="s">
        <v>194</v>
      </c>
      <c r="F214" s="3">
        <v>3.0</v>
      </c>
      <c r="G214" s="4">
        <v>-27.59109</v>
      </c>
      <c r="H214" s="4">
        <v>-48.47551</v>
      </c>
      <c r="I214" s="5">
        <v>15.0</v>
      </c>
      <c r="J214" s="5" t="s">
        <v>104</v>
      </c>
      <c r="K214" s="5" t="s">
        <v>104</v>
      </c>
      <c r="L214" s="3"/>
      <c r="M214" s="5">
        <v>27.0</v>
      </c>
      <c r="N214" s="5">
        <v>10.0</v>
      </c>
      <c r="O214" s="5"/>
      <c r="P214" s="3"/>
      <c r="Q214" s="3"/>
      <c r="R214" s="6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15.75" customHeight="1">
      <c r="A215" s="3" t="s">
        <v>149</v>
      </c>
      <c r="B215" s="3" t="s">
        <v>150</v>
      </c>
      <c r="C215" s="3" t="s">
        <v>19</v>
      </c>
      <c r="D215" s="3" t="s">
        <v>151</v>
      </c>
      <c r="E215" s="3" t="s">
        <v>194</v>
      </c>
      <c r="F215" s="3">
        <v>3.0</v>
      </c>
      <c r="G215" s="4">
        <v>-27.59109</v>
      </c>
      <c r="H215" s="4">
        <v>-48.47551</v>
      </c>
      <c r="I215" s="5">
        <v>16.0</v>
      </c>
      <c r="J215" s="5" t="s">
        <v>192</v>
      </c>
      <c r="K215" s="5" t="s">
        <v>192</v>
      </c>
      <c r="L215" s="3" t="s">
        <v>64</v>
      </c>
      <c r="M215" s="5">
        <v>23.0</v>
      </c>
      <c r="N215" s="5">
        <v>10.0</v>
      </c>
      <c r="O215" s="5" t="s">
        <v>200</v>
      </c>
      <c r="P215" s="3"/>
      <c r="Q215" s="3"/>
      <c r="R215" s="6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15.75" customHeight="1">
      <c r="A216" s="3" t="s">
        <v>149</v>
      </c>
      <c r="B216" s="3" t="s">
        <v>150</v>
      </c>
      <c r="C216" s="3" t="s">
        <v>19</v>
      </c>
      <c r="D216" s="3" t="s">
        <v>151</v>
      </c>
      <c r="E216" s="3" t="s">
        <v>194</v>
      </c>
      <c r="F216" s="3">
        <v>3.0</v>
      </c>
      <c r="G216" s="4">
        <v>-27.59109</v>
      </c>
      <c r="H216" s="4">
        <v>-48.47551</v>
      </c>
      <c r="I216" s="5">
        <v>17.0</v>
      </c>
      <c r="J216" s="5" t="s">
        <v>27</v>
      </c>
      <c r="K216" s="5" t="s">
        <v>27</v>
      </c>
      <c r="L216" s="3"/>
      <c r="M216" s="5">
        <v>110.0</v>
      </c>
      <c r="N216" s="5">
        <v>15.0</v>
      </c>
      <c r="O216" s="5"/>
      <c r="P216" s="3"/>
      <c r="Q216" s="3"/>
      <c r="R216" s="6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5.75" customHeight="1">
      <c r="A217" s="3" t="s">
        <v>149</v>
      </c>
      <c r="B217" s="3" t="s">
        <v>150</v>
      </c>
      <c r="C217" s="3" t="s">
        <v>19</v>
      </c>
      <c r="D217" s="3" t="s">
        <v>151</v>
      </c>
      <c r="E217" s="3" t="s">
        <v>194</v>
      </c>
      <c r="F217" s="3">
        <v>3.0</v>
      </c>
      <c r="G217" s="4">
        <v>-27.59109</v>
      </c>
      <c r="H217" s="4">
        <v>-48.47551</v>
      </c>
      <c r="I217" s="5">
        <v>18.0</v>
      </c>
      <c r="J217" s="5" t="s">
        <v>104</v>
      </c>
      <c r="K217" s="5" t="s">
        <v>104</v>
      </c>
      <c r="L217" s="3"/>
      <c r="M217" s="5">
        <v>17.0</v>
      </c>
      <c r="N217" s="5">
        <v>4.0</v>
      </c>
      <c r="O217" s="5" t="s">
        <v>201</v>
      </c>
      <c r="P217" s="3"/>
      <c r="Q217" s="3"/>
      <c r="R217" s="6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15.75" customHeight="1">
      <c r="A218" s="3" t="s">
        <v>149</v>
      </c>
      <c r="B218" s="3" t="s">
        <v>150</v>
      </c>
      <c r="C218" s="3" t="s">
        <v>19</v>
      </c>
      <c r="D218" s="3" t="s">
        <v>151</v>
      </c>
      <c r="E218" s="3" t="s">
        <v>194</v>
      </c>
      <c r="F218" s="3">
        <v>3.0</v>
      </c>
      <c r="G218" s="4">
        <v>-27.59109</v>
      </c>
      <c r="H218" s="4">
        <v>-48.47551</v>
      </c>
      <c r="I218" s="5">
        <v>19.0</v>
      </c>
      <c r="J218" s="5" t="s">
        <v>202</v>
      </c>
      <c r="K218" s="5" t="s">
        <v>202</v>
      </c>
      <c r="L218" s="3" t="s">
        <v>64</v>
      </c>
      <c r="M218" s="5">
        <v>18.5</v>
      </c>
      <c r="N218" s="5">
        <v>7.0</v>
      </c>
      <c r="O218" s="3"/>
      <c r="P218" s="5" t="s">
        <v>77</v>
      </c>
      <c r="Q218" s="3"/>
      <c r="R218" s="6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15.75" customHeight="1">
      <c r="A219" s="3" t="s">
        <v>149</v>
      </c>
      <c r="B219" s="3" t="s">
        <v>150</v>
      </c>
      <c r="C219" s="3" t="s">
        <v>19</v>
      </c>
      <c r="D219" s="3" t="s">
        <v>151</v>
      </c>
      <c r="E219" s="3" t="s">
        <v>194</v>
      </c>
      <c r="F219" s="3">
        <v>3.0</v>
      </c>
      <c r="G219" s="4">
        <v>-27.59109</v>
      </c>
      <c r="H219" s="4">
        <v>-48.47551</v>
      </c>
      <c r="I219" s="5">
        <v>20.0</v>
      </c>
      <c r="J219" s="15" t="s">
        <v>203</v>
      </c>
      <c r="K219" s="15" t="s">
        <v>203</v>
      </c>
      <c r="L219" s="3"/>
      <c r="M219" s="5">
        <v>60.0</v>
      </c>
      <c r="N219" s="5">
        <v>13.0</v>
      </c>
      <c r="O219" s="5" t="s">
        <v>204</v>
      </c>
      <c r="P219" s="3"/>
      <c r="Q219" s="3" t="s">
        <v>205</v>
      </c>
      <c r="R219" s="6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>
      <c r="A220" s="3" t="s">
        <v>149</v>
      </c>
      <c r="B220" s="3" t="s">
        <v>150</v>
      </c>
      <c r="C220" s="3" t="s">
        <v>19</v>
      </c>
      <c r="D220" s="3" t="s">
        <v>151</v>
      </c>
      <c r="E220" s="3" t="s">
        <v>194</v>
      </c>
      <c r="F220" s="3">
        <v>3.0</v>
      </c>
      <c r="G220" s="4">
        <v>-27.59109</v>
      </c>
      <c r="H220" s="4">
        <v>-48.47551</v>
      </c>
      <c r="I220" s="5">
        <v>21.0</v>
      </c>
      <c r="J220" s="5" t="s">
        <v>206</v>
      </c>
      <c r="K220" s="5" t="s">
        <v>206</v>
      </c>
      <c r="L220" s="3"/>
      <c r="M220" s="5">
        <v>20.0</v>
      </c>
      <c r="N220" s="5">
        <v>4.0</v>
      </c>
      <c r="O220" s="5"/>
      <c r="P220" s="3"/>
      <c r="Q220" s="3"/>
      <c r="R220" s="6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ht="15.75" customHeight="1">
      <c r="A221" s="3" t="s">
        <v>149</v>
      </c>
      <c r="B221" s="3" t="s">
        <v>150</v>
      </c>
      <c r="C221" s="3" t="s">
        <v>19</v>
      </c>
      <c r="D221" s="3" t="s">
        <v>151</v>
      </c>
      <c r="E221" s="3" t="s">
        <v>194</v>
      </c>
      <c r="F221" s="3">
        <v>3.0</v>
      </c>
      <c r="G221" s="4">
        <v>-27.59109</v>
      </c>
      <c r="H221" s="4">
        <v>-48.47551</v>
      </c>
      <c r="I221" s="5">
        <v>22.0</v>
      </c>
      <c r="J221" s="5" t="s">
        <v>104</v>
      </c>
      <c r="K221" s="5" t="s">
        <v>104</v>
      </c>
      <c r="L221" s="3"/>
      <c r="M221" s="5">
        <v>21.0</v>
      </c>
      <c r="N221" s="5">
        <v>9.0</v>
      </c>
      <c r="O221" s="5"/>
      <c r="P221" s="3"/>
      <c r="Q221" s="3"/>
      <c r="R221" s="6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ht="15.75" customHeight="1">
      <c r="A222" s="3" t="s">
        <v>149</v>
      </c>
      <c r="B222" s="3" t="s">
        <v>150</v>
      </c>
      <c r="C222" s="3" t="s">
        <v>19</v>
      </c>
      <c r="D222" s="3" t="s">
        <v>151</v>
      </c>
      <c r="E222" s="3" t="s">
        <v>194</v>
      </c>
      <c r="F222" s="3">
        <v>3.0</v>
      </c>
      <c r="G222" s="4">
        <v>-27.59109</v>
      </c>
      <c r="H222" s="4">
        <v>-48.47551</v>
      </c>
      <c r="I222" s="5">
        <v>23.0</v>
      </c>
      <c r="J222" s="5" t="s">
        <v>55</v>
      </c>
      <c r="K222" s="5" t="s">
        <v>55</v>
      </c>
      <c r="L222" s="3"/>
      <c r="M222" s="5">
        <v>21.5</v>
      </c>
      <c r="N222" s="5">
        <v>7.0</v>
      </c>
      <c r="O222" s="3"/>
      <c r="P222" s="3"/>
      <c r="Q222" s="5" t="s">
        <v>207</v>
      </c>
      <c r="R222" s="6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ht="15.75" customHeight="1">
      <c r="A223" s="3" t="s">
        <v>149</v>
      </c>
      <c r="B223" s="3" t="s">
        <v>150</v>
      </c>
      <c r="C223" s="3" t="s">
        <v>19</v>
      </c>
      <c r="D223" s="3" t="s">
        <v>151</v>
      </c>
      <c r="E223" s="3" t="s">
        <v>194</v>
      </c>
      <c r="F223" s="3">
        <v>3.0</v>
      </c>
      <c r="G223" s="4">
        <v>-27.59109</v>
      </c>
      <c r="H223" s="4">
        <v>-48.47551</v>
      </c>
      <c r="I223" s="5">
        <v>24.0</v>
      </c>
      <c r="J223" s="5" t="s">
        <v>105</v>
      </c>
      <c r="K223" s="5" t="s">
        <v>105</v>
      </c>
      <c r="L223" s="3"/>
      <c r="M223" s="5">
        <v>29.0</v>
      </c>
      <c r="N223" s="5">
        <v>4.0</v>
      </c>
      <c r="O223" s="3"/>
      <c r="P223" s="5" t="s">
        <v>77</v>
      </c>
      <c r="Q223" s="3"/>
      <c r="R223" s="6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ht="15.75" customHeight="1">
      <c r="A224" s="3" t="s">
        <v>149</v>
      </c>
      <c r="B224" s="3" t="s">
        <v>150</v>
      </c>
      <c r="C224" s="3" t="s">
        <v>19</v>
      </c>
      <c r="D224" s="3" t="s">
        <v>151</v>
      </c>
      <c r="E224" s="3" t="s">
        <v>194</v>
      </c>
      <c r="F224" s="3">
        <v>3.0</v>
      </c>
      <c r="G224" s="4">
        <v>-27.59109</v>
      </c>
      <c r="H224" s="4">
        <v>-48.47551</v>
      </c>
      <c r="I224" s="5">
        <v>25.0</v>
      </c>
      <c r="J224" s="5" t="s">
        <v>208</v>
      </c>
      <c r="K224" s="5" t="s">
        <v>209</v>
      </c>
      <c r="L224" s="3"/>
      <c r="M224" s="5">
        <v>18.0</v>
      </c>
      <c r="N224" s="5">
        <v>7.0</v>
      </c>
      <c r="O224" s="3"/>
      <c r="P224" s="5" t="s">
        <v>77</v>
      </c>
      <c r="Q224" s="3"/>
      <c r="R224" s="6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ht="15.75" customHeight="1">
      <c r="A225" s="3" t="s">
        <v>149</v>
      </c>
      <c r="B225" s="3" t="s">
        <v>150</v>
      </c>
      <c r="C225" s="3" t="s">
        <v>19</v>
      </c>
      <c r="D225" s="3" t="s">
        <v>151</v>
      </c>
      <c r="E225" s="3" t="s">
        <v>210</v>
      </c>
      <c r="F225" s="3">
        <v>4.0</v>
      </c>
      <c r="G225" s="4">
        <v>-27.59068</v>
      </c>
      <c r="H225" s="4">
        <v>-48.47515</v>
      </c>
      <c r="I225" s="5">
        <v>1.0</v>
      </c>
      <c r="J225" s="5" t="s">
        <v>191</v>
      </c>
      <c r="K225" s="5" t="s">
        <v>191</v>
      </c>
      <c r="L225" s="3"/>
      <c r="M225" s="5">
        <v>51.0</v>
      </c>
      <c r="N225" s="5">
        <v>14.0</v>
      </c>
      <c r="O225" s="5"/>
      <c r="P225" s="3"/>
      <c r="Q225" s="3"/>
      <c r="R225" s="6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5.75" customHeight="1">
      <c r="A226" s="3" t="s">
        <v>149</v>
      </c>
      <c r="B226" s="3" t="s">
        <v>150</v>
      </c>
      <c r="C226" s="3" t="s">
        <v>19</v>
      </c>
      <c r="D226" s="3" t="s">
        <v>151</v>
      </c>
      <c r="E226" s="3" t="s">
        <v>210</v>
      </c>
      <c r="F226" s="3">
        <v>4.0</v>
      </c>
      <c r="G226" s="4">
        <v>-27.59068</v>
      </c>
      <c r="H226" s="4">
        <v>-48.47515</v>
      </c>
      <c r="I226" s="5">
        <v>2.0</v>
      </c>
      <c r="J226" s="5" t="s">
        <v>202</v>
      </c>
      <c r="K226" s="5" t="s">
        <v>202</v>
      </c>
      <c r="L226" s="3"/>
      <c r="M226" s="5">
        <v>20.0</v>
      </c>
      <c r="N226" s="5">
        <v>6.0</v>
      </c>
      <c r="O226" s="5" t="s">
        <v>211</v>
      </c>
      <c r="P226" s="3"/>
      <c r="Q226" s="3"/>
      <c r="R226" s="6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ht="15.75" customHeight="1">
      <c r="A227" s="3" t="s">
        <v>149</v>
      </c>
      <c r="B227" s="3" t="s">
        <v>150</v>
      </c>
      <c r="C227" s="3" t="s">
        <v>19</v>
      </c>
      <c r="D227" s="3" t="s">
        <v>151</v>
      </c>
      <c r="E227" s="3" t="s">
        <v>210</v>
      </c>
      <c r="F227" s="3">
        <v>4.0</v>
      </c>
      <c r="G227" s="4">
        <v>-27.59068</v>
      </c>
      <c r="H227" s="4">
        <v>-48.47515</v>
      </c>
      <c r="I227" s="5">
        <v>3.0</v>
      </c>
      <c r="J227" s="5" t="s">
        <v>105</v>
      </c>
      <c r="K227" s="5" t="s">
        <v>105</v>
      </c>
      <c r="L227" s="3"/>
      <c r="M227" s="5">
        <v>18.5</v>
      </c>
      <c r="N227" s="5">
        <v>6.0</v>
      </c>
      <c r="O227" s="3"/>
      <c r="P227" s="5"/>
      <c r="Q227" s="3"/>
      <c r="R227" s="6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15.75" customHeight="1">
      <c r="A228" s="3" t="s">
        <v>149</v>
      </c>
      <c r="B228" s="3" t="s">
        <v>150</v>
      </c>
      <c r="C228" s="3" t="s">
        <v>19</v>
      </c>
      <c r="D228" s="3" t="s">
        <v>151</v>
      </c>
      <c r="E228" s="3" t="s">
        <v>210</v>
      </c>
      <c r="F228" s="3">
        <v>4.0</v>
      </c>
      <c r="G228" s="4">
        <v>-27.59068</v>
      </c>
      <c r="H228" s="4">
        <v>-48.47515</v>
      </c>
      <c r="I228" s="5">
        <v>4.0</v>
      </c>
      <c r="J228" s="5" t="s">
        <v>153</v>
      </c>
      <c r="K228" s="5" t="s">
        <v>153</v>
      </c>
      <c r="L228" s="3"/>
      <c r="M228" s="5">
        <v>32.5</v>
      </c>
      <c r="N228" s="5">
        <v>10.0</v>
      </c>
      <c r="O228" s="5"/>
      <c r="P228" s="3"/>
      <c r="Q228" s="3"/>
      <c r="R228" s="6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15.75" customHeight="1">
      <c r="A229" s="3" t="s">
        <v>149</v>
      </c>
      <c r="B229" s="3" t="s">
        <v>150</v>
      </c>
      <c r="C229" s="3" t="s">
        <v>19</v>
      </c>
      <c r="D229" s="3" t="s">
        <v>151</v>
      </c>
      <c r="E229" s="3" t="s">
        <v>210</v>
      </c>
      <c r="F229" s="3">
        <v>4.0</v>
      </c>
      <c r="G229" s="4">
        <v>-27.59068</v>
      </c>
      <c r="H229" s="4">
        <v>-48.47515</v>
      </c>
      <c r="I229" s="5">
        <v>5.0</v>
      </c>
      <c r="J229" s="5" t="s">
        <v>153</v>
      </c>
      <c r="K229" s="5" t="s">
        <v>153</v>
      </c>
      <c r="L229" s="3"/>
      <c r="M229" s="5">
        <v>30.0</v>
      </c>
      <c r="N229" s="5">
        <v>8.0</v>
      </c>
      <c r="O229" s="5"/>
      <c r="P229" s="3"/>
      <c r="Q229" s="3"/>
      <c r="R229" s="6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15.75" customHeight="1">
      <c r="A230" s="3" t="s">
        <v>149</v>
      </c>
      <c r="B230" s="3" t="s">
        <v>150</v>
      </c>
      <c r="C230" s="3" t="s">
        <v>19</v>
      </c>
      <c r="D230" s="3" t="s">
        <v>151</v>
      </c>
      <c r="E230" s="3" t="s">
        <v>210</v>
      </c>
      <c r="F230" s="3">
        <v>4.0</v>
      </c>
      <c r="G230" s="4">
        <v>-27.59068</v>
      </c>
      <c r="H230" s="4">
        <v>-48.47515</v>
      </c>
      <c r="I230" s="5">
        <v>6.0</v>
      </c>
      <c r="J230" s="5" t="s">
        <v>153</v>
      </c>
      <c r="K230" s="5" t="s">
        <v>153</v>
      </c>
      <c r="L230" s="3"/>
      <c r="M230" s="5">
        <v>35.0</v>
      </c>
      <c r="N230" s="5">
        <v>9.0</v>
      </c>
      <c r="O230" s="5"/>
      <c r="P230" s="3"/>
      <c r="Q230" s="3"/>
      <c r="R230" s="6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15.75" customHeight="1">
      <c r="A231" s="3" t="s">
        <v>149</v>
      </c>
      <c r="B231" s="3" t="s">
        <v>150</v>
      </c>
      <c r="C231" s="3" t="s">
        <v>19</v>
      </c>
      <c r="D231" s="3" t="s">
        <v>151</v>
      </c>
      <c r="E231" s="3" t="s">
        <v>210</v>
      </c>
      <c r="F231" s="3">
        <v>4.0</v>
      </c>
      <c r="G231" s="4">
        <v>-27.59068</v>
      </c>
      <c r="H231" s="4">
        <v>-48.47515</v>
      </c>
      <c r="I231" s="5">
        <v>7.0</v>
      </c>
      <c r="J231" s="5" t="s">
        <v>104</v>
      </c>
      <c r="K231" s="5" t="s">
        <v>104</v>
      </c>
      <c r="L231" s="3"/>
      <c r="M231" s="5">
        <v>57.5</v>
      </c>
      <c r="N231" s="5">
        <v>10.0</v>
      </c>
      <c r="O231" s="5"/>
      <c r="P231" s="3"/>
      <c r="Q231" s="3"/>
      <c r="R231" s="6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15.75" customHeight="1">
      <c r="A232" s="3" t="s">
        <v>149</v>
      </c>
      <c r="B232" s="3" t="s">
        <v>150</v>
      </c>
      <c r="C232" s="3" t="s">
        <v>19</v>
      </c>
      <c r="D232" s="3" t="s">
        <v>151</v>
      </c>
      <c r="E232" s="3" t="s">
        <v>210</v>
      </c>
      <c r="F232" s="3">
        <v>4.0</v>
      </c>
      <c r="G232" s="4">
        <v>-27.59068</v>
      </c>
      <c r="H232" s="4">
        <v>-48.47515</v>
      </c>
      <c r="I232" s="5">
        <v>8.0</v>
      </c>
      <c r="J232" s="5" t="s">
        <v>202</v>
      </c>
      <c r="K232" s="5" t="s">
        <v>202</v>
      </c>
      <c r="L232" s="3"/>
      <c r="M232" s="5">
        <v>17.0</v>
      </c>
      <c r="N232" s="5">
        <v>7.0</v>
      </c>
      <c r="O232" s="5" t="s">
        <v>212</v>
      </c>
      <c r="P232" s="3"/>
      <c r="Q232" s="3" t="s">
        <v>213</v>
      </c>
      <c r="R232" s="6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15.75" customHeight="1">
      <c r="A233" s="3" t="s">
        <v>149</v>
      </c>
      <c r="B233" s="3" t="s">
        <v>150</v>
      </c>
      <c r="C233" s="3" t="s">
        <v>19</v>
      </c>
      <c r="D233" s="3" t="s">
        <v>151</v>
      </c>
      <c r="E233" s="3" t="s">
        <v>210</v>
      </c>
      <c r="F233" s="3">
        <v>4.0</v>
      </c>
      <c r="G233" s="4">
        <v>-27.59068</v>
      </c>
      <c r="H233" s="4">
        <v>-48.47515</v>
      </c>
      <c r="I233" s="5">
        <v>9.0</v>
      </c>
      <c r="J233" s="5" t="s">
        <v>202</v>
      </c>
      <c r="K233" s="5" t="s">
        <v>202</v>
      </c>
      <c r="L233" s="3"/>
      <c r="M233" s="5" t="s">
        <v>214</v>
      </c>
      <c r="N233" s="5">
        <v>5.5</v>
      </c>
      <c r="O233" s="5" t="s">
        <v>215</v>
      </c>
      <c r="P233" s="3"/>
      <c r="Q233" s="3"/>
      <c r="R233" s="6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15.75" customHeight="1">
      <c r="A234" s="3" t="s">
        <v>149</v>
      </c>
      <c r="B234" s="3" t="s">
        <v>150</v>
      </c>
      <c r="C234" s="3" t="s">
        <v>19</v>
      </c>
      <c r="D234" s="3" t="s">
        <v>151</v>
      </c>
      <c r="E234" s="3" t="s">
        <v>210</v>
      </c>
      <c r="F234" s="3">
        <v>4.0</v>
      </c>
      <c r="G234" s="4">
        <v>-27.59068</v>
      </c>
      <c r="H234" s="4">
        <v>-48.47515</v>
      </c>
      <c r="I234" s="5">
        <v>10.0</v>
      </c>
      <c r="J234" s="5" t="s">
        <v>153</v>
      </c>
      <c r="K234" s="5" t="s">
        <v>153</v>
      </c>
      <c r="L234" s="3"/>
      <c r="M234" s="5">
        <v>23.0</v>
      </c>
      <c r="N234" s="5">
        <v>10.0</v>
      </c>
      <c r="O234" s="3"/>
      <c r="P234" s="3"/>
      <c r="Q234" s="5" t="s">
        <v>216</v>
      </c>
      <c r="R234" s="6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15.75" customHeight="1">
      <c r="A235" s="3" t="s">
        <v>149</v>
      </c>
      <c r="B235" s="3" t="s">
        <v>150</v>
      </c>
      <c r="C235" s="3" t="s">
        <v>19</v>
      </c>
      <c r="D235" s="3" t="s">
        <v>151</v>
      </c>
      <c r="E235" s="3" t="s">
        <v>210</v>
      </c>
      <c r="F235" s="3">
        <v>4.0</v>
      </c>
      <c r="G235" s="4">
        <v>-27.59068</v>
      </c>
      <c r="H235" s="4">
        <v>-48.47515</v>
      </c>
      <c r="I235" s="5">
        <v>11.0</v>
      </c>
      <c r="J235" s="5" t="s">
        <v>202</v>
      </c>
      <c r="K235" s="5" t="s">
        <v>202</v>
      </c>
      <c r="L235" s="3"/>
      <c r="M235" s="5">
        <v>22.0</v>
      </c>
      <c r="N235" s="5">
        <v>8.0</v>
      </c>
      <c r="O235" s="5"/>
      <c r="P235" s="3"/>
      <c r="Q235" s="3"/>
      <c r="R235" s="6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5.75" customHeight="1">
      <c r="A236" s="3" t="s">
        <v>149</v>
      </c>
      <c r="B236" s="3" t="s">
        <v>150</v>
      </c>
      <c r="C236" s="3" t="s">
        <v>19</v>
      </c>
      <c r="D236" s="3" t="s">
        <v>151</v>
      </c>
      <c r="E236" s="3" t="s">
        <v>210</v>
      </c>
      <c r="F236" s="3">
        <v>4.0</v>
      </c>
      <c r="G236" s="4">
        <v>-27.59068</v>
      </c>
      <c r="H236" s="4">
        <v>-48.47515</v>
      </c>
      <c r="I236" s="5">
        <v>12.0</v>
      </c>
      <c r="J236" s="5" t="s">
        <v>73</v>
      </c>
      <c r="K236" s="5" t="s">
        <v>73</v>
      </c>
      <c r="L236" s="3"/>
      <c r="M236" s="5">
        <v>33.0</v>
      </c>
      <c r="N236" s="5">
        <v>8.0</v>
      </c>
      <c r="O236" s="5"/>
      <c r="P236" s="3"/>
      <c r="Q236" s="3"/>
      <c r="R236" s="6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15.75" customHeight="1">
      <c r="A237" s="3" t="s">
        <v>149</v>
      </c>
      <c r="B237" s="3" t="s">
        <v>150</v>
      </c>
      <c r="C237" s="3" t="s">
        <v>19</v>
      </c>
      <c r="D237" s="3" t="s">
        <v>151</v>
      </c>
      <c r="E237" s="3" t="s">
        <v>210</v>
      </c>
      <c r="F237" s="3">
        <v>4.0</v>
      </c>
      <c r="G237" s="4">
        <v>-27.59068</v>
      </c>
      <c r="H237" s="4">
        <v>-48.47515</v>
      </c>
      <c r="I237" s="5">
        <v>13.0</v>
      </c>
      <c r="J237" s="5" t="s">
        <v>24</v>
      </c>
      <c r="K237" s="5" t="s">
        <v>24</v>
      </c>
      <c r="L237" s="3"/>
      <c r="M237" s="5" t="s">
        <v>217</v>
      </c>
      <c r="N237" s="5">
        <v>11.5</v>
      </c>
      <c r="O237" s="5"/>
      <c r="P237" s="3"/>
      <c r="Q237" s="3"/>
      <c r="R237" s="6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15.75" customHeight="1">
      <c r="A238" s="3" t="s">
        <v>149</v>
      </c>
      <c r="B238" s="3" t="s">
        <v>150</v>
      </c>
      <c r="C238" s="3" t="s">
        <v>19</v>
      </c>
      <c r="D238" s="3" t="s">
        <v>151</v>
      </c>
      <c r="E238" s="3" t="s">
        <v>210</v>
      </c>
      <c r="F238" s="3">
        <v>4.0</v>
      </c>
      <c r="G238" s="4">
        <v>-27.59068</v>
      </c>
      <c r="H238" s="4">
        <v>-48.47515</v>
      </c>
      <c r="I238" s="5">
        <v>14.0</v>
      </c>
      <c r="J238" s="5" t="s">
        <v>31</v>
      </c>
      <c r="K238" s="5" t="s">
        <v>31</v>
      </c>
      <c r="L238" s="3"/>
      <c r="M238" s="5">
        <v>21.5</v>
      </c>
      <c r="N238" s="5">
        <v>10.0</v>
      </c>
      <c r="O238" s="5"/>
      <c r="P238" s="3"/>
      <c r="Q238" s="3"/>
      <c r="R238" s="6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15.75" customHeight="1">
      <c r="A239" s="3" t="s">
        <v>149</v>
      </c>
      <c r="B239" s="3" t="s">
        <v>150</v>
      </c>
      <c r="C239" s="3" t="s">
        <v>19</v>
      </c>
      <c r="D239" s="3" t="s">
        <v>151</v>
      </c>
      <c r="E239" s="3" t="s">
        <v>210</v>
      </c>
      <c r="F239" s="3">
        <v>4.0</v>
      </c>
      <c r="G239" s="4">
        <v>-27.59068</v>
      </c>
      <c r="H239" s="4">
        <v>-48.47515</v>
      </c>
      <c r="I239" s="5">
        <v>15.0</v>
      </c>
      <c r="J239" s="5" t="s">
        <v>56</v>
      </c>
      <c r="K239" s="5" t="s">
        <v>56</v>
      </c>
      <c r="L239" s="3"/>
      <c r="M239" s="5">
        <v>17.0</v>
      </c>
      <c r="N239" s="5">
        <v>4.5</v>
      </c>
      <c r="O239" s="5"/>
      <c r="P239" s="3"/>
      <c r="Q239" s="3"/>
      <c r="R239" s="6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15.75" customHeight="1">
      <c r="A240" s="3" t="s">
        <v>149</v>
      </c>
      <c r="B240" s="3" t="s">
        <v>150</v>
      </c>
      <c r="C240" s="3" t="s">
        <v>19</v>
      </c>
      <c r="D240" s="3" t="s">
        <v>151</v>
      </c>
      <c r="E240" s="3" t="s">
        <v>210</v>
      </c>
      <c r="F240" s="3">
        <v>4.0</v>
      </c>
      <c r="G240" s="4">
        <v>-27.59068</v>
      </c>
      <c r="H240" s="4">
        <v>-48.47515</v>
      </c>
      <c r="I240" s="5">
        <v>16.0</v>
      </c>
      <c r="J240" s="5" t="s">
        <v>153</v>
      </c>
      <c r="K240" s="5" t="s">
        <v>153</v>
      </c>
      <c r="L240" s="3"/>
      <c r="M240" s="5">
        <v>23.0</v>
      </c>
      <c r="N240" s="5">
        <v>10.0</v>
      </c>
      <c r="O240" s="5"/>
      <c r="P240" s="3"/>
      <c r="Q240" s="3"/>
      <c r="R240" s="6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15.75" customHeight="1">
      <c r="A241" s="3" t="s">
        <v>149</v>
      </c>
      <c r="B241" s="3" t="s">
        <v>150</v>
      </c>
      <c r="C241" s="3" t="s">
        <v>19</v>
      </c>
      <c r="D241" s="3" t="s">
        <v>151</v>
      </c>
      <c r="E241" s="3" t="s">
        <v>210</v>
      </c>
      <c r="F241" s="3">
        <v>4.0</v>
      </c>
      <c r="G241" s="4">
        <v>-27.59068</v>
      </c>
      <c r="H241" s="4">
        <v>-48.47515</v>
      </c>
      <c r="I241" s="5">
        <v>17.0</v>
      </c>
      <c r="J241" s="5" t="s">
        <v>105</v>
      </c>
      <c r="K241" s="5" t="s">
        <v>105</v>
      </c>
      <c r="L241" s="3" t="s">
        <v>64</v>
      </c>
      <c r="M241" s="5" t="s">
        <v>218</v>
      </c>
      <c r="N241" s="5">
        <v>3.0</v>
      </c>
      <c r="O241" s="5" t="s">
        <v>219</v>
      </c>
      <c r="P241" s="3"/>
      <c r="Q241" s="3" t="s">
        <v>220</v>
      </c>
      <c r="R241" s="6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15.75" customHeight="1">
      <c r="A242" s="3" t="s">
        <v>149</v>
      </c>
      <c r="B242" s="3" t="s">
        <v>150</v>
      </c>
      <c r="C242" s="3" t="s">
        <v>19</v>
      </c>
      <c r="D242" s="3" t="s">
        <v>151</v>
      </c>
      <c r="E242" s="3" t="s">
        <v>210</v>
      </c>
      <c r="F242" s="3">
        <v>4.0</v>
      </c>
      <c r="G242" s="4">
        <v>-27.59068</v>
      </c>
      <c r="H242" s="4">
        <v>-48.47515</v>
      </c>
      <c r="I242" s="5">
        <v>18.0</v>
      </c>
      <c r="J242" s="5" t="s">
        <v>104</v>
      </c>
      <c r="K242" s="5" t="s">
        <v>104</v>
      </c>
      <c r="L242" s="3"/>
      <c r="M242" s="5" t="s">
        <v>221</v>
      </c>
      <c r="N242" s="5">
        <v>15.0</v>
      </c>
      <c r="O242" s="5"/>
      <c r="P242" s="3"/>
      <c r="Q242" s="3"/>
      <c r="R242" s="6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15.75" customHeight="1">
      <c r="A243" s="3" t="s">
        <v>149</v>
      </c>
      <c r="B243" s="3" t="s">
        <v>150</v>
      </c>
      <c r="C243" s="3" t="s">
        <v>19</v>
      </c>
      <c r="D243" s="3" t="s">
        <v>151</v>
      </c>
      <c r="E243" s="3" t="s">
        <v>210</v>
      </c>
      <c r="F243" s="3">
        <v>4.0</v>
      </c>
      <c r="G243" s="4">
        <v>-27.59068</v>
      </c>
      <c r="H243" s="4">
        <v>-48.47515</v>
      </c>
      <c r="I243" s="5">
        <v>19.0</v>
      </c>
      <c r="J243" s="14" t="s">
        <v>222</v>
      </c>
      <c r="K243" s="14" t="s">
        <v>202</v>
      </c>
      <c r="L243" s="3"/>
      <c r="M243" s="5">
        <v>15.0</v>
      </c>
      <c r="N243" s="5">
        <v>3.0</v>
      </c>
      <c r="O243" s="3"/>
      <c r="P243" s="5" t="s">
        <v>77</v>
      </c>
      <c r="Q243" s="3"/>
      <c r="R243" s="6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15.75" customHeight="1">
      <c r="A244" s="3" t="s">
        <v>149</v>
      </c>
      <c r="B244" s="3" t="s">
        <v>150</v>
      </c>
      <c r="C244" s="3" t="s">
        <v>19</v>
      </c>
      <c r="D244" s="3" t="s">
        <v>151</v>
      </c>
      <c r="E244" s="3" t="s">
        <v>210</v>
      </c>
      <c r="F244" s="3">
        <v>4.0</v>
      </c>
      <c r="G244" s="4">
        <v>-27.59068</v>
      </c>
      <c r="H244" s="4">
        <v>-48.47515</v>
      </c>
      <c r="I244" s="5">
        <v>20.0</v>
      </c>
      <c r="J244" s="5" t="s">
        <v>105</v>
      </c>
      <c r="K244" s="5" t="s">
        <v>105</v>
      </c>
      <c r="L244" s="3" t="s">
        <v>64</v>
      </c>
      <c r="M244" s="5">
        <v>27.5</v>
      </c>
      <c r="N244" s="5">
        <v>7.0</v>
      </c>
      <c r="O244" s="5" t="s">
        <v>223</v>
      </c>
      <c r="P244" s="3" t="s">
        <v>77</v>
      </c>
      <c r="Q244" s="3"/>
      <c r="R244" s="6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15.75" customHeight="1">
      <c r="A245" s="3" t="s">
        <v>149</v>
      </c>
      <c r="B245" s="3" t="s">
        <v>150</v>
      </c>
      <c r="C245" s="3" t="s">
        <v>19</v>
      </c>
      <c r="D245" s="3" t="s">
        <v>151</v>
      </c>
      <c r="E245" s="3" t="s">
        <v>210</v>
      </c>
      <c r="F245" s="3">
        <v>4.0</v>
      </c>
      <c r="G245" s="4">
        <v>-27.59068</v>
      </c>
      <c r="H245" s="4">
        <v>-48.47515</v>
      </c>
      <c r="I245" s="5">
        <v>21.0</v>
      </c>
      <c r="J245" s="5" t="s">
        <v>56</v>
      </c>
      <c r="K245" s="5" t="s">
        <v>56</v>
      </c>
      <c r="L245" s="3"/>
      <c r="M245" s="5">
        <v>20.0</v>
      </c>
      <c r="N245" s="5">
        <v>8.0</v>
      </c>
      <c r="O245" s="5"/>
      <c r="P245" s="3"/>
      <c r="Q245" s="3"/>
      <c r="R245" s="6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15.75" customHeight="1">
      <c r="A246" s="3" t="s">
        <v>149</v>
      </c>
      <c r="B246" s="3" t="s">
        <v>150</v>
      </c>
      <c r="C246" s="3" t="s">
        <v>19</v>
      </c>
      <c r="D246" s="3" t="s">
        <v>151</v>
      </c>
      <c r="E246" s="3" t="s">
        <v>210</v>
      </c>
      <c r="F246" s="3">
        <v>4.0</v>
      </c>
      <c r="G246" s="4">
        <v>-27.59068</v>
      </c>
      <c r="H246" s="4">
        <v>-48.47515</v>
      </c>
      <c r="I246" s="5">
        <v>22.0</v>
      </c>
      <c r="J246" s="5" t="s">
        <v>162</v>
      </c>
      <c r="K246" s="5" t="s">
        <v>162</v>
      </c>
      <c r="L246" s="3" t="s">
        <v>64</v>
      </c>
      <c r="M246" s="5">
        <v>32.0</v>
      </c>
      <c r="N246" s="5">
        <v>6.0</v>
      </c>
      <c r="O246" s="13" t="s">
        <v>224</v>
      </c>
      <c r="P246" s="3"/>
      <c r="Q246" s="3" t="s">
        <v>225</v>
      </c>
      <c r="R246" s="6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15.75" customHeight="1">
      <c r="A247" s="3" t="s">
        <v>149</v>
      </c>
      <c r="B247" s="3" t="s">
        <v>150</v>
      </c>
      <c r="C247" s="3" t="s">
        <v>19</v>
      </c>
      <c r="D247" s="3" t="s">
        <v>151</v>
      </c>
      <c r="E247" s="3" t="s">
        <v>210</v>
      </c>
      <c r="F247" s="3">
        <v>4.0</v>
      </c>
      <c r="G247" s="4">
        <v>-27.59068</v>
      </c>
      <c r="H247" s="4">
        <v>-48.47515</v>
      </c>
      <c r="I247" s="5">
        <v>23.0</v>
      </c>
      <c r="J247" s="5" t="s">
        <v>41</v>
      </c>
      <c r="K247" s="5" t="s">
        <v>41</v>
      </c>
      <c r="L247" s="3"/>
      <c r="M247" s="5">
        <v>29.5</v>
      </c>
      <c r="N247" s="5">
        <v>9.0</v>
      </c>
      <c r="O247" s="5"/>
      <c r="P247" s="3"/>
      <c r="Q247" s="3"/>
      <c r="R247" s="6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15.75" customHeight="1">
      <c r="A248" s="3" t="s">
        <v>149</v>
      </c>
      <c r="B248" s="3" t="s">
        <v>150</v>
      </c>
      <c r="C248" s="3" t="s">
        <v>19</v>
      </c>
      <c r="D248" s="3" t="s">
        <v>151</v>
      </c>
      <c r="E248" s="3" t="s">
        <v>210</v>
      </c>
      <c r="F248" s="3">
        <v>4.0</v>
      </c>
      <c r="G248" s="4">
        <v>-27.59068</v>
      </c>
      <c r="H248" s="4">
        <v>-48.47515</v>
      </c>
      <c r="I248" s="5">
        <v>24.0</v>
      </c>
      <c r="J248" s="5" t="s">
        <v>104</v>
      </c>
      <c r="K248" s="5" t="s">
        <v>104</v>
      </c>
      <c r="L248" s="14"/>
      <c r="M248" s="12">
        <v>121.0</v>
      </c>
      <c r="N248" s="5">
        <v>12.0</v>
      </c>
      <c r="O248" s="5"/>
      <c r="P248" s="3"/>
      <c r="Q248" s="3"/>
      <c r="R248" s="6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5.75" customHeight="1">
      <c r="A249" s="3" t="s">
        <v>149</v>
      </c>
      <c r="B249" s="3" t="s">
        <v>150</v>
      </c>
      <c r="C249" s="3" t="s">
        <v>19</v>
      </c>
      <c r="D249" s="3" t="s">
        <v>151</v>
      </c>
      <c r="E249" s="3" t="s">
        <v>210</v>
      </c>
      <c r="F249" s="3">
        <v>4.0</v>
      </c>
      <c r="G249" s="4">
        <v>-27.59068</v>
      </c>
      <c r="H249" s="4">
        <v>-48.47515</v>
      </c>
      <c r="I249" s="5">
        <v>25.0</v>
      </c>
      <c r="J249" s="5" t="s">
        <v>105</v>
      </c>
      <c r="K249" s="5" t="s">
        <v>105</v>
      </c>
      <c r="L249" s="14" t="s">
        <v>64</v>
      </c>
      <c r="M249" s="12">
        <v>15.0</v>
      </c>
      <c r="N249" s="5">
        <v>4.5</v>
      </c>
      <c r="O249" s="5"/>
      <c r="P249" s="3"/>
      <c r="Q249" s="3"/>
      <c r="R249" s="6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15.75" customHeight="1">
      <c r="A250" s="3" t="s">
        <v>149</v>
      </c>
      <c r="B250" s="3" t="s">
        <v>150</v>
      </c>
      <c r="C250" s="3" t="s">
        <v>80</v>
      </c>
      <c r="D250" s="3" t="s">
        <v>226</v>
      </c>
      <c r="E250" s="3" t="s">
        <v>227</v>
      </c>
      <c r="F250" s="3">
        <v>5.0</v>
      </c>
      <c r="G250" s="4">
        <v>-27.58864</v>
      </c>
      <c r="H250" s="4">
        <v>-48.4726</v>
      </c>
      <c r="I250" s="5">
        <v>1.0</v>
      </c>
      <c r="J250" s="5" t="s">
        <v>55</v>
      </c>
      <c r="K250" s="5" t="s">
        <v>55</v>
      </c>
      <c r="L250" s="14" t="s">
        <v>64</v>
      </c>
      <c r="M250" s="12">
        <v>30.0</v>
      </c>
      <c r="N250" s="16">
        <v>12.0</v>
      </c>
      <c r="O250" s="17"/>
      <c r="P250" s="17"/>
      <c r="Q250" s="3"/>
      <c r="R250" s="6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15.75" customHeight="1">
      <c r="A251" s="3" t="s">
        <v>149</v>
      </c>
      <c r="B251" s="3" t="s">
        <v>150</v>
      </c>
      <c r="C251" s="3" t="s">
        <v>80</v>
      </c>
      <c r="D251" s="3" t="s">
        <v>226</v>
      </c>
      <c r="E251" s="3" t="s">
        <v>227</v>
      </c>
      <c r="F251" s="3">
        <v>5.0</v>
      </c>
      <c r="G251" s="4">
        <v>-27.58864</v>
      </c>
      <c r="H251" s="4">
        <v>-48.4726</v>
      </c>
      <c r="I251" s="5">
        <v>2.0</v>
      </c>
      <c r="J251" s="5" t="s">
        <v>55</v>
      </c>
      <c r="K251" s="5" t="s">
        <v>55</v>
      </c>
      <c r="L251" s="14" t="s">
        <v>64</v>
      </c>
      <c r="M251" s="12">
        <v>40.0</v>
      </c>
      <c r="N251" s="16">
        <v>15.0</v>
      </c>
      <c r="O251" s="17"/>
      <c r="P251" s="17"/>
      <c r="Q251" s="3"/>
      <c r="R251" s="6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15.75" customHeight="1">
      <c r="A252" s="3" t="s">
        <v>149</v>
      </c>
      <c r="B252" s="3" t="s">
        <v>150</v>
      </c>
      <c r="C252" s="3" t="s">
        <v>80</v>
      </c>
      <c r="D252" s="3" t="s">
        <v>226</v>
      </c>
      <c r="E252" s="3" t="s">
        <v>227</v>
      </c>
      <c r="F252" s="3">
        <v>5.0</v>
      </c>
      <c r="G252" s="4">
        <v>-27.58864</v>
      </c>
      <c r="H252" s="4">
        <v>-48.4726</v>
      </c>
      <c r="I252" s="5">
        <v>3.0</v>
      </c>
      <c r="J252" s="5" t="s">
        <v>55</v>
      </c>
      <c r="K252" s="5" t="s">
        <v>55</v>
      </c>
      <c r="L252" s="14" t="s">
        <v>64</v>
      </c>
      <c r="M252" s="12">
        <v>27.0</v>
      </c>
      <c r="N252" s="16">
        <v>8.0</v>
      </c>
      <c r="O252" s="17"/>
      <c r="P252" s="17"/>
      <c r="Q252" s="3"/>
      <c r="R252" s="6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15.75" customHeight="1">
      <c r="A253" s="3" t="s">
        <v>149</v>
      </c>
      <c r="B253" s="3" t="s">
        <v>150</v>
      </c>
      <c r="C253" s="3" t="s">
        <v>80</v>
      </c>
      <c r="D253" s="3" t="s">
        <v>226</v>
      </c>
      <c r="E253" s="3" t="s">
        <v>227</v>
      </c>
      <c r="F253" s="3">
        <v>5.0</v>
      </c>
      <c r="G253" s="4">
        <v>-27.58864</v>
      </c>
      <c r="H253" s="4">
        <v>-48.4726</v>
      </c>
      <c r="I253" s="5">
        <v>4.0</v>
      </c>
      <c r="J253" s="5" t="s">
        <v>55</v>
      </c>
      <c r="K253" s="5" t="s">
        <v>55</v>
      </c>
      <c r="L253" s="14" t="s">
        <v>64</v>
      </c>
      <c r="M253" s="12">
        <v>41.0</v>
      </c>
      <c r="N253" s="16">
        <v>10.0</v>
      </c>
      <c r="O253" s="17"/>
      <c r="P253" s="17"/>
      <c r="Q253" s="3"/>
      <c r="R253" s="6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15.75" customHeight="1">
      <c r="A254" s="3" t="s">
        <v>149</v>
      </c>
      <c r="B254" s="3" t="s">
        <v>150</v>
      </c>
      <c r="C254" s="3" t="s">
        <v>80</v>
      </c>
      <c r="D254" s="3" t="s">
        <v>226</v>
      </c>
      <c r="E254" s="3" t="s">
        <v>227</v>
      </c>
      <c r="F254" s="3">
        <v>5.0</v>
      </c>
      <c r="G254" s="4">
        <v>-27.58864</v>
      </c>
      <c r="H254" s="4">
        <v>-48.4726</v>
      </c>
      <c r="I254" s="5">
        <v>5.0</v>
      </c>
      <c r="J254" s="5" t="s">
        <v>102</v>
      </c>
      <c r="K254" s="5" t="s">
        <v>102</v>
      </c>
      <c r="L254" s="14" t="s">
        <v>64</v>
      </c>
      <c r="M254" s="12" t="s">
        <v>228</v>
      </c>
      <c r="N254" s="16">
        <v>12.0</v>
      </c>
      <c r="O254" s="17"/>
      <c r="P254" s="17"/>
      <c r="Q254" s="3"/>
      <c r="R254" s="6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15.75" customHeight="1">
      <c r="A255" s="3" t="s">
        <v>149</v>
      </c>
      <c r="B255" s="3" t="s">
        <v>150</v>
      </c>
      <c r="C255" s="3" t="s">
        <v>80</v>
      </c>
      <c r="D255" s="3" t="s">
        <v>226</v>
      </c>
      <c r="E255" s="3" t="s">
        <v>227</v>
      </c>
      <c r="F255" s="3">
        <v>5.0</v>
      </c>
      <c r="G255" s="4">
        <v>-27.58864</v>
      </c>
      <c r="H255" s="4">
        <v>-48.4726</v>
      </c>
      <c r="I255" s="5">
        <v>6.0</v>
      </c>
      <c r="J255" s="5" t="s">
        <v>55</v>
      </c>
      <c r="K255" s="5" t="s">
        <v>55</v>
      </c>
      <c r="L255" s="14" t="s">
        <v>64</v>
      </c>
      <c r="M255" s="12">
        <v>24.0</v>
      </c>
      <c r="N255" s="16">
        <v>12.0</v>
      </c>
      <c r="O255" s="17"/>
      <c r="P255" s="17"/>
      <c r="Q255" s="3"/>
      <c r="R255" s="6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15.75" customHeight="1">
      <c r="A256" s="3" t="s">
        <v>149</v>
      </c>
      <c r="B256" s="3" t="s">
        <v>150</v>
      </c>
      <c r="C256" s="3" t="s">
        <v>80</v>
      </c>
      <c r="D256" s="3" t="s">
        <v>226</v>
      </c>
      <c r="E256" s="3" t="s">
        <v>227</v>
      </c>
      <c r="F256" s="3">
        <v>5.0</v>
      </c>
      <c r="G256" s="4">
        <v>-27.58864</v>
      </c>
      <c r="H256" s="4">
        <v>-48.4726</v>
      </c>
      <c r="I256" s="5">
        <v>7.0</v>
      </c>
      <c r="J256" s="5" t="s">
        <v>55</v>
      </c>
      <c r="K256" s="5" t="s">
        <v>55</v>
      </c>
      <c r="L256" s="14" t="s">
        <v>64</v>
      </c>
      <c r="M256" s="12">
        <v>24.0</v>
      </c>
      <c r="N256" s="16">
        <v>7.0</v>
      </c>
      <c r="O256" s="17"/>
      <c r="P256" s="17"/>
      <c r="Q256" s="3"/>
      <c r="R256" s="6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15.75" customHeight="1">
      <c r="A257" s="3" t="s">
        <v>149</v>
      </c>
      <c r="B257" s="3" t="s">
        <v>150</v>
      </c>
      <c r="C257" s="3" t="s">
        <v>80</v>
      </c>
      <c r="D257" s="3" t="s">
        <v>226</v>
      </c>
      <c r="E257" s="3" t="s">
        <v>227</v>
      </c>
      <c r="F257" s="3">
        <v>5.0</v>
      </c>
      <c r="G257" s="4">
        <v>-27.58864</v>
      </c>
      <c r="H257" s="4">
        <v>-48.4726</v>
      </c>
      <c r="I257" s="5">
        <v>8.0</v>
      </c>
      <c r="J257" s="5" t="s">
        <v>55</v>
      </c>
      <c r="K257" s="5" t="s">
        <v>55</v>
      </c>
      <c r="L257" s="14" t="s">
        <v>64</v>
      </c>
      <c r="M257" s="12">
        <v>35.0</v>
      </c>
      <c r="N257" s="16">
        <v>18.0</v>
      </c>
      <c r="O257" s="17"/>
      <c r="P257" s="17"/>
      <c r="Q257" s="3"/>
      <c r="R257" s="6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15.75" customHeight="1">
      <c r="A258" s="3" t="s">
        <v>149</v>
      </c>
      <c r="B258" s="3" t="s">
        <v>150</v>
      </c>
      <c r="C258" s="3" t="s">
        <v>80</v>
      </c>
      <c r="D258" s="3" t="s">
        <v>226</v>
      </c>
      <c r="E258" s="3" t="s">
        <v>227</v>
      </c>
      <c r="F258" s="3">
        <v>5.0</v>
      </c>
      <c r="G258" s="4">
        <v>-27.58864</v>
      </c>
      <c r="H258" s="4">
        <v>-48.4726</v>
      </c>
      <c r="I258" s="5">
        <v>9.0</v>
      </c>
      <c r="J258" s="5" t="s">
        <v>55</v>
      </c>
      <c r="K258" s="5" t="s">
        <v>55</v>
      </c>
      <c r="L258" s="14" t="s">
        <v>64</v>
      </c>
      <c r="M258" s="12">
        <v>26.0</v>
      </c>
      <c r="N258" s="16">
        <v>10.0</v>
      </c>
      <c r="O258" s="17"/>
      <c r="P258" s="17"/>
      <c r="Q258" s="3"/>
      <c r="R258" s="6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5.75" customHeight="1">
      <c r="A259" s="3" t="s">
        <v>149</v>
      </c>
      <c r="B259" s="3" t="s">
        <v>150</v>
      </c>
      <c r="C259" s="3" t="s">
        <v>80</v>
      </c>
      <c r="D259" s="3" t="s">
        <v>226</v>
      </c>
      <c r="E259" s="3" t="s">
        <v>227</v>
      </c>
      <c r="F259" s="3">
        <v>5.0</v>
      </c>
      <c r="G259" s="4">
        <v>-27.58864</v>
      </c>
      <c r="H259" s="4">
        <v>-48.4726</v>
      </c>
      <c r="I259" s="5">
        <v>10.0</v>
      </c>
      <c r="J259" s="5" t="s">
        <v>55</v>
      </c>
      <c r="K259" s="5" t="s">
        <v>55</v>
      </c>
      <c r="L259" s="14"/>
      <c r="M259" s="12">
        <v>17.0</v>
      </c>
      <c r="N259" s="16">
        <v>5.0</v>
      </c>
      <c r="O259" s="18" t="s">
        <v>229</v>
      </c>
      <c r="P259" s="17"/>
      <c r="Q259" s="3"/>
      <c r="R259" s="6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15.75" customHeight="1">
      <c r="A260" s="3" t="s">
        <v>149</v>
      </c>
      <c r="B260" s="3" t="s">
        <v>150</v>
      </c>
      <c r="C260" s="3" t="s">
        <v>80</v>
      </c>
      <c r="D260" s="3" t="s">
        <v>226</v>
      </c>
      <c r="E260" s="3" t="s">
        <v>227</v>
      </c>
      <c r="F260" s="3">
        <v>5.0</v>
      </c>
      <c r="G260" s="4">
        <v>-27.58864</v>
      </c>
      <c r="H260" s="4">
        <v>-48.4726</v>
      </c>
      <c r="I260" s="5">
        <v>11.0</v>
      </c>
      <c r="J260" s="5" t="s">
        <v>56</v>
      </c>
      <c r="K260" s="5" t="s">
        <v>56</v>
      </c>
      <c r="L260" s="14"/>
      <c r="M260" s="12">
        <v>37.0</v>
      </c>
      <c r="N260" s="16">
        <v>9.0</v>
      </c>
      <c r="O260" s="17"/>
      <c r="P260" s="17"/>
      <c r="Q260" s="3"/>
      <c r="R260" s="6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15.75" customHeight="1">
      <c r="A261" s="3" t="s">
        <v>149</v>
      </c>
      <c r="B261" s="3" t="s">
        <v>150</v>
      </c>
      <c r="C261" s="3" t="s">
        <v>80</v>
      </c>
      <c r="D261" s="3" t="s">
        <v>226</v>
      </c>
      <c r="E261" s="3" t="s">
        <v>227</v>
      </c>
      <c r="F261" s="3">
        <v>5.0</v>
      </c>
      <c r="G261" s="4">
        <v>-27.58864</v>
      </c>
      <c r="H261" s="4">
        <v>-48.4726</v>
      </c>
      <c r="I261" s="5">
        <v>12.0</v>
      </c>
      <c r="J261" s="5" t="s">
        <v>55</v>
      </c>
      <c r="K261" s="5" t="s">
        <v>55</v>
      </c>
      <c r="L261" s="14" t="s">
        <v>64</v>
      </c>
      <c r="M261" s="12" t="s">
        <v>230</v>
      </c>
      <c r="N261" s="16">
        <v>7.0</v>
      </c>
      <c r="O261" s="17"/>
      <c r="P261" s="17"/>
      <c r="Q261" s="3"/>
      <c r="R261" s="6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15.75" customHeight="1">
      <c r="A262" s="3" t="s">
        <v>149</v>
      </c>
      <c r="B262" s="3" t="s">
        <v>150</v>
      </c>
      <c r="C262" s="3" t="s">
        <v>80</v>
      </c>
      <c r="D262" s="3" t="s">
        <v>226</v>
      </c>
      <c r="E262" s="3" t="s">
        <v>227</v>
      </c>
      <c r="F262" s="3">
        <v>5.0</v>
      </c>
      <c r="G262" s="4">
        <v>-27.58864</v>
      </c>
      <c r="H262" s="4">
        <v>-48.4726</v>
      </c>
      <c r="I262" s="5">
        <v>13.0</v>
      </c>
      <c r="J262" s="5" t="s">
        <v>55</v>
      </c>
      <c r="K262" s="5" t="s">
        <v>55</v>
      </c>
      <c r="L262" s="14" t="s">
        <v>64</v>
      </c>
      <c r="M262" s="12" t="s">
        <v>231</v>
      </c>
      <c r="N262" s="16">
        <v>6.5</v>
      </c>
      <c r="O262" s="17"/>
      <c r="P262" s="17"/>
      <c r="Q262" s="3"/>
      <c r="R262" s="6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ht="15.75" customHeight="1">
      <c r="A263" s="3" t="s">
        <v>149</v>
      </c>
      <c r="B263" s="3" t="s">
        <v>150</v>
      </c>
      <c r="C263" s="3" t="s">
        <v>80</v>
      </c>
      <c r="D263" s="3" t="s">
        <v>226</v>
      </c>
      <c r="E263" s="3" t="s">
        <v>227</v>
      </c>
      <c r="F263" s="3">
        <v>5.0</v>
      </c>
      <c r="G263" s="4">
        <v>-27.58864</v>
      </c>
      <c r="H263" s="4">
        <v>-48.4726</v>
      </c>
      <c r="I263" s="5">
        <v>14.0</v>
      </c>
      <c r="J263" s="5" t="s">
        <v>98</v>
      </c>
      <c r="K263" s="5" t="s">
        <v>98</v>
      </c>
      <c r="L263" s="14"/>
      <c r="M263" s="12">
        <v>30.0</v>
      </c>
      <c r="N263" s="16">
        <v>6.5</v>
      </c>
      <c r="O263" s="17"/>
      <c r="P263" s="17"/>
      <c r="Q263" s="3"/>
      <c r="R263" s="6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ht="15.75" customHeight="1">
      <c r="A264" s="3" t="s">
        <v>149</v>
      </c>
      <c r="B264" s="3" t="s">
        <v>150</v>
      </c>
      <c r="C264" s="3" t="s">
        <v>80</v>
      </c>
      <c r="D264" s="3" t="s">
        <v>226</v>
      </c>
      <c r="E264" s="3" t="s">
        <v>227</v>
      </c>
      <c r="F264" s="3">
        <v>5.0</v>
      </c>
      <c r="G264" s="4">
        <v>-27.58864</v>
      </c>
      <c r="H264" s="4">
        <v>-48.4726</v>
      </c>
      <c r="I264" s="5">
        <v>15.0</v>
      </c>
      <c r="J264" s="3" t="s">
        <v>232</v>
      </c>
      <c r="K264" s="3" t="s">
        <v>232</v>
      </c>
      <c r="L264" s="14" t="s">
        <v>64</v>
      </c>
      <c r="M264" s="12">
        <v>19.0</v>
      </c>
      <c r="N264" s="16">
        <v>6.0</v>
      </c>
      <c r="O264" s="18" t="s">
        <v>233</v>
      </c>
      <c r="P264" s="17"/>
      <c r="Q264" s="3"/>
      <c r="R264" s="6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ht="15.75" customHeight="1">
      <c r="A265" s="3" t="s">
        <v>149</v>
      </c>
      <c r="B265" s="3" t="s">
        <v>150</v>
      </c>
      <c r="C265" s="3" t="s">
        <v>80</v>
      </c>
      <c r="D265" s="3" t="s">
        <v>226</v>
      </c>
      <c r="E265" s="3" t="s">
        <v>227</v>
      </c>
      <c r="F265" s="3">
        <v>5.0</v>
      </c>
      <c r="G265" s="4">
        <v>-27.58864</v>
      </c>
      <c r="H265" s="4">
        <v>-48.4726</v>
      </c>
      <c r="I265" s="5">
        <v>16.0</v>
      </c>
      <c r="J265" s="5" t="s">
        <v>234</v>
      </c>
      <c r="K265" s="5" t="s">
        <v>234</v>
      </c>
      <c r="L265" s="14" t="s">
        <v>64</v>
      </c>
      <c r="M265" s="12">
        <v>21.0</v>
      </c>
      <c r="N265" s="16">
        <v>6.5</v>
      </c>
      <c r="O265" s="17"/>
      <c r="P265" s="17"/>
      <c r="Q265" s="3"/>
      <c r="R265" s="6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ht="15.75" customHeight="1">
      <c r="A266" s="3" t="s">
        <v>149</v>
      </c>
      <c r="B266" s="3" t="s">
        <v>150</v>
      </c>
      <c r="C266" s="3" t="s">
        <v>80</v>
      </c>
      <c r="D266" s="3" t="s">
        <v>226</v>
      </c>
      <c r="E266" s="3" t="s">
        <v>227</v>
      </c>
      <c r="F266" s="3">
        <v>5.0</v>
      </c>
      <c r="G266" s="4">
        <v>-27.58864</v>
      </c>
      <c r="H266" s="4">
        <v>-48.4726</v>
      </c>
      <c r="I266" s="5">
        <v>17.0</v>
      </c>
      <c r="J266" s="5" t="s">
        <v>55</v>
      </c>
      <c r="K266" s="5" t="s">
        <v>55</v>
      </c>
      <c r="L266" s="14" t="s">
        <v>64</v>
      </c>
      <c r="M266" s="12">
        <v>22.0</v>
      </c>
      <c r="N266" s="16">
        <v>7.0</v>
      </c>
      <c r="O266" s="17"/>
      <c r="P266" s="17"/>
      <c r="Q266" s="3"/>
      <c r="R266" s="6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ht="15.75" customHeight="1">
      <c r="A267" s="3" t="s">
        <v>149</v>
      </c>
      <c r="B267" s="3" t="s">
        <v>150</v>
      </c>
      <c r="C267" s="3" t="s">
        <v>80</v>
      </c>
      <c r="D267" s="3" t="s">
        <v>226</v>
      </c>
      <c r="E267" s="3" t="s">
        <v>227</v>
      </c>
      <c r="F267" s="3">
        <v>5.0</v>
      </c>
      <c r="G267" s="4">
        <v>-27.58864</v>
      </c>
      <c r="H267" s="4">
        <v>-48.4726</v>
      </c>
      <c r="I267" s="5">
        <v>18.0</v>
      </c>
      <c r="J267" s="12" t="s">
        <v>235</v>
      </c>
      <c r="K267" s="12" t="s">
        <v>235</v>
      </c>
      <c r="L267" s="14"/>
      <c r="M267" s="12">
        <v>16.0</v>
      </c>
      <c r="N267" s="16">
        <v>6.5</v>
      </c>
      <c r="O267" s="18" t="s">
        <v>236</v>
      </c>
      <c r="P267" s="17"/>
      <c r="Q267" s="3"/>
      <c r="R267" s="6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ht="15.75" customHeight="1">
      <c r="A268" s="3" t="s">
        <v>149</v>
      </c>
      <c r="B268" s="3" t="s">
        <v>150</v>
      </c>
      <c r="C268" s="3" t="s">
        <v>80</v>
      </c>
      <c r="D268" s="3" t="s">
        <v>226</v>
      </c>
      <c r="E268" s="3" t="s">
        <v>227</v>
      </c>
      <c r="F268" s="3">
        <v>5.0</v>
      </c>
      <c r="G268" s="4">
        <v>-27.58864</v>
      </c>
      <c r="H268" s="4">
        <v>-48.4726</v>
      </c>
      <c r="I268" s="5">
        <v>19.0</v>
      </c>
      <c r="J268" s="5" t="s">
        <v>55</v>
      </c>
      <c r="K268" s="5" t="s">
        <v>55</v>
      </c>
      <c r="L268" s="14" t="s">
        <v>64</v>
      </c>
      <c r="M268" s="12">
        <v>29.0</v>
      </c>
      <c r="N268" s="16">
        <v>8.0</v>
      </c>
      <c r="O268" s="17"/>
      <c r="P268" s="17"/>
      <c r="Q268" s="3"/>
      <c r="R268" s="6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ht="15.75" customHeight="1">
      <c r="A269" s="3" t="s">
        <v>149</v>
      </c>
      <c r="B269" s="3" t="s">
        <v>150</v>
      </c>
      <c r="C269" s="3" t="s">
        <v>80</v>
      </c>
      <c r="D269" s="3" t="s">
        <v>226</v>
      </c>
      <c r="E269" s="3" t="s">
        <v>227</v>
      </c>
      <c r="F269" s="3">
        <v>5.0</v>
      </c>
      <c r="G269" s="4">
        <v>-27.58864</v>
      </c>
      <c r="H269" s="4">
        <v>-48.4726</v>
      </c>
      <c r="I269" s="5">
        <v>20.0</v>
      </c>
      <c r="J269" s="5" t="s">
        <v>55</v>
      </c>
      <c r="K269" s="5" t="s">
        <v>55</v>
      </c>
      <c r="L269" s="14" t="s">
        <v>64</v>
      </c>
      <c r="M269" s="12">
        <v>19.0</v>
      </c>
      <c r="N269" s="16">
        <v>6.0</v>
      </c>
      <c r="O269" s="17"/>
      <c r="P269" s="17"/>
      <c r="Q269" s="3"/>
      <c r="R269" s="6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ht="15.75" customHeight="1">
      <c r="A270" s="3" t="s">
        <v>149</v>
      </c>
      <c r="B270" s="3" t="s">
        <v>150</v>
      </c>
      <c r="C270" s="3" t="s">
        <v>80</v>
      </c>
      <c r="D270" s="3" t="s">
        <v>226</v>
      </c>
      <c r="E270" s="3" t="s">
        <v>227</v>
      </c>
      <c r="F270" s="3">
        <v>5.0</v>
      </c>
      <c r="G270" s="4">
        <v>-27.58864</v>
      </c>
      <c r="H270" s="4">
        <v>-48.4726</v>
      </c>
      <c r="I270" s="5">
        <v>21.0</v>
      </c>
      <c r="J270" s="5" t="s">
        <v>56</v>
      </c>
      <c r="K270" s="5" t="s">
        <v>56</v>
      </c>
      <c r="L270" s="14"/>
      <c r="M270" s="12">
        <v>29.0</v>
      </c>
      <c r="N270" s="16">
        <v>9.0</v>
      </c>
      <c r="O270" s="17"/>
      <c r="P270" s="17"/>
      <c r="Q270" s="3"/>
      <c r="R270" s="6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ht="15.75" customHeight="1">
      <c r="A271" s="3" t="s">
        <v>149</v>
      </c>
      <c r="B271" s="3" t="s">
        <v>150</v>
      </c>
      <c r="C271" s="3" t="s">
        <v>80</v>
      </c>
      <c r="D271" s="3" t="s">
        <v>226</v>
      </c>
      <c r="E271" s="3" t="s">
        <v>227</v>
      </c>
      <c r="F271" s="3">
        <v>5.0</v>
      </c>
      <c r="G271" s="4">
        <v>-27.58864</v>
      </c>
      <c r="H271" s="4">
        <v>-48.4726</v>
      </c>
      <c r="I271" s="5">
        <v>22.0</v>
      </c>
      <c r="J271" s="10" t="s">
        <v>237</v>
      </c>
      <c r="K271" s="10" t="s">
        <v>238</v>
      </c>
      <c r="L271" s="14"/>
      <c r="M271" s="12">
        <v>30.0</v>
      </c>
      <c r="N271" s="16">
        <v>10.0</v>
      </c>
      <c r="O271" s="18" t="s">
        <v>239</v>
      </c>
      <c r="P271" s="17"/>
      <c r="Q271" s="3"/>
      <c r="R271" s="6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ht="15.75" customHeight="1">
      <c r="A272" s="3" t="s">
        <v>149</v>
      </c>
      <c r="B272" s="3" t="s">
        <v>150</v>
      </c>
      <c r="C272" s="3" t="s">
        <v>80</v>
      </c>
      <c r="D272" s="3" t="s">
        <v>226</v>
      </c>
      <c r="E272" s="3" t="s">
        <v>227</v>
      </c>
      <c r="F272" s="3">
        <v>5.0</v>
      </c>
      <c r="G272" s="4">
        <v>-27.58864</v>
      </c>
      <c r="H272" s="4">
        <v>-48.4726</v>
      </c>
      <c r="I272" s="5">
        <v>23.0</v>
      </c>
      <c r="J272" s="5" t="s">
        <v>240</v>
      </c>
      <c r="K272" s="5" t="s">
        <v>37</v>
      </c>
      <c r="L272" s="14"/>
      <c r="M272" s="12">
        <v>75.0</v>
      </c>
      <c r="N272" s="16">
        <v>20.0</v>
      </c>
      <c r="O272" s="17"/>
      <c r="P272" s="17"/>
      <c r="Q272" s="3"/>
      <c r="R272" s="6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ht="15.75" customHeight="1">
      <c r="A273" s="3" t="s">
        <v>149</v>
      </c>
      <c r="B273" s="3" t="s">
        <v>150</v>
      </c>
      <c r="C273" s="3" t="s">
        <v>80</v>
      </c>
      <c r="D273" s="3" t="s">
        <v>226</v>
      </c>
      <c r="E273" s="3" t="s">
        <v>227</v>
      </c>
      <c r="F273" s="3">
        <v>5.0</v>
      </c>
      <c r="G273" s="4">
        <v>-27.58864</v>
      </c>
      <c r="H273" s="4">
        <v>-48.4726</v>
      </c>
      <c r="I273" s="5">
        <v>24.0</v>
      </c>
      <c r="J273" s="5" t="s">
        <v>55</v>
      </c>
      <c r="K273" s="5" t="s">
        <v>55</v>
      </c>
      <c r="L273" s="14" t="s">
        <v>64</v>
      </c>
      <c r="M273" s="12">
        <v>17.0</v>
      </c>
      <c r="N273" s="16">
        <v>8.0</v>
      </c>
      <c r="O273" s="17"/>
      <c r="P273" s="17"/>
      <c r="Q273" s="3"/>
      <c r="R273" s="6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ht="15.75" customHeight="1">
      <c r="A274" s="3" t="s">
        <v>149</v>
      </c>
      <c r="B274" s="3" t="s">
        <v>150</v>
      </c>
      <c r="C274" s="3" t="s">
        <v>80</v>
      </c>
      <c r="D274" s="3" t="s">
        <v>226</v>
      </c>
      <c r="E274" s="3" t="s">
        <v>227</v>
      </c>
      <c r="F274" s="3">
        <v>5.0</v>
      </c>
      <c r="G274" s="4">
        <v>-27.58864</v>
      </c>
      <c r="H274" s="4">
        <v>-48.4726</v>
      </c>
      <c r="I274" s="5">
        <v>25.0</v>
      </c>
      <c r="J274" s="10" t="s">
        <v>241</v>
      </c>
      <c r="K274" s="10" t="s">
        <v>241</v>
      </c>
      <c r="L274" s="14"/>
      <c r="M274" s="12" t="s">
        <v>242</v>
      </c>
      <c r="N274" s="16">
        <v>7.0</v>
      </c>
      <c r="O274" s="18" t="s">
        <v>243</v>
      </c>
      <c r="P274" s="17"/>
      <c r="Q274" s="3"/>
      <c r="R274" s="6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ht="15.75" customHeight="1">
      <c r="A275" s="3" t="s">
        <v>149</v>
      </c>
      <c r="B275" s="3" t="s">
        <v>150</v>
      </c>
      <c r="C275" s="3" t="s">
        <v>80</v>
      </c>
      <c r="D275" s="3" t="s">
        <v>226</v>
      </c>
      <c r="E275" s="3" t="s">
        <v>227</v>
      </c>
      <c r="F275" s="3">
        <v>5.0</v>
      </c>
      <c r="G275" s="4">
        <v>-27.58864</v>
      </c>
      <c r="H275" s="4">
        <v>-48.4726</v>
      </c>
      <c r="I275" s="5">
        <v>26.0</v>
      </c>
      <c r="J275" s="5" t="s">
        <v>55</v>
      </c>
      <c r="K275" s="5" t="s">
        <v>55</v>
      </c>
      <c r="L275" s="14" t="s">
        <v>64</v>
      </c>
      <c r="M275" s="12">
        <v>18.0</v>
      </c>
      <c r="N275" s="16">
        <v>6.0</v>
      </c>
      <c r="O275" s="17"/>
      <c r="P275" s="17"/>
      <c r="Q275" s="3"/>
      <c r="R275" s="6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ht="15.75" customHeight="1">
      <c r="A276" s="3" t="s">
        <v>149</v>
      </c>
      <c r="B276" s="3" t="s">
        <v>150</v>
      </c>
      <c r="C276" s="3" t="s">
        <v>80</v>
      </c>
      <c r="D276" s="3" t="s">
        <v>226</v>
      </c>
      <c r="E276" s="3" t="s">
        <v>227</v>
      </c>
      <c r="F276" s="3">
        <v>5.0</v>
      </c>
      <c r="G276" s="4">
        <v>-27.58864</v>
      </c>
      <c r="H276" s="4">
        <v>-48.4726</v>
      </c>
      <c r="I276" s="5">
        <v>27.0</v>
      </c>
      <c r="J276" s="5" t="s">
        <v>164</v>
      </c>
      <c r="K276" s="5" t="s">
        <v>164</v>
      </c>
      <c r="L276" s="14"/>
      <c r="M276" s="12">
        <v>85.0</v>
      </c>
      <c r="N276" s="16">
        <v>22.0</v>
      </c>
      <c r="O276" s="17"/>
      <c r="P276" s="17"/>
      <c r="Q276" s="3"/>
      <c r="R276" s="6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ht="15.75" customHeight="1">
      <c r="A277" s="3" t="s">
        <v>149</v>
      </c>
      <c r="B277" s="3" t="s">
        <v>150</v>
      </c>
      <c r="C277" s="3" t="s">
        <v>80</v>
      </c>
      <c r="D277" s="3" t="s">
        <v>226</v>
      </c>
      <c r="E277" s="3" t="s">
        <v>227</v>
      </c>
      <c r="F277" s="3">
        <v>5.0</v>
      </c>
      <c r="G277" s="4">
        <v>-27.58864</v>
      </c>
      <c r="H277" s="4">
        <v>-48.4726</v>
      </c>
      <c r="I277" s="5">
        <v>28.0</v>
      </c>
      <c r="J277" s="12" t="s">
        <v>98</v>
      </c>
      <c r="K277" s="12" t="s">
        <v>98</v>
      </c>
      <c r="L277" s="14"/>
      <c r="M277" s="12">
        <v>24.0</v>
      </c>
      <c r="N277" s="16">
        <v>8.0</v>
      </c>
      <c r="O277" s="17"/>
      <c r="P277" s="17"/>
      <c r="Q277" s="3"/>
      <c r="R277" s="6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ht="15.75" customHeight="1">
      <c r="A278" s="3" t="s">
        <v>149</v>
      </c>
      <c r="B278" s="3" t="s">
        <v>150</v>
      </c>
      <c r="C278" s="3" t="s">
        <v>80</v>
      </c>
      <c r="D278" s="3" t="s">
        <v>226</v>
      </c>
      <c r="E278" s="3" t="s">
        <v>227</v>
      </c>
      <c r="F278" s="3">
        <v>5.0</v>
      </c>
      <c r="G278" s="4">
        <v>-27.58864</v>
      </c>
      <c r="H278" s="4">
        <v>-48.4726</v>
      </c>
      <c r="I278" s="5">
        <v>29.0</v>
      </c>
      <c r="J278" s="5" t="s">
        <v>98</v>
      </c>
      <c r="K278" s="5" t="s">
        <v>98</v>
      </c>
      <c r="L278" s="14"/>
      <c r="M278" s="12">
        <v>15.0</v>
      </c>
      <c r="N278" s="16">
        <v>12.0</v>
      </c>
      <c r="O278" s="17"/>
      <c r="P278" s="17"/>
      <c r="Q278" s="3"/>
      <c r="R278" s="6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ht="15.75" customHeight="1">
      <c r="A279" s="3" t="s">
        <v>149</v>
      </c>
      <c r="B279" s="3" t="s">
        <v>150</v>
      </c>
      <c r="C279" s="3" t="s">
        <v>80</v>
      </c>
      <c r="D279" s="3" t="s">
        <v>226</v>
      </c>
      <c r="E279" s="3" t="s">
        <v>227</v>
      </c>
      <c r="F279" s="3">
        <v>5.0</v>
      </c>
      <c r="G279" s="4">
        <v>-27.58864</v>
      </c>
      <c r="H279" s="4">
        <v>-48.4726</v>
      </c>
      <c r="I279" s="5">
        <v>30.0</v>
      </c>
      <c r="J279" s="5" t="s">
        <v>55</v>
      </c>
      <c r="K279" s="5" t="s">
        <v>55</v>
      </c>
      <c r="L279" s="14" t="s">
        <v>64</v>
      </c>
      <c r="M279" s="12">
        <v>20.0</v>
      </c>
      <c r="N279" s="16">
        <v>10.0</v>
      </c>
      <c r="O279" s="17"/>
      <c r="P279" s="17"/>
      <c r="Q279" s="3"/>
      <c r="R279" s="6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ht="15.75" customHeight="1">
      <c r="A280" s="3" t="s">
        <v>149</v>
      </c>
      <c r="B280" s="3" t="s">
        <v>150</v>
      </c>
      <c r="C280" s="3" t="s">
        <v>80</v>
      </c>
      <c r="D280" s="3" t="s">
        <v>226</v>
      </c>
      <c r="E280" s="3" t="s">
        <v>244</v>
      </c>
      <c r="F280" s="3">
        <v>6.0</v>
      </c>
      <c r="G280" s="4">
        <v>-27.58838</v>
      </c>
      <c r="H280" s="4">
        <v>-48.4725</v>
      </c>
      <c r="I280" s="5">
        <v>1.0</v>
      </c>
      <c r="J280" s="12" t="s">
        <v>98</v>
      </c>
      <c r="K280" s="12" t="s">
        <v>98</v>
      </c>
      <c r="L280" s="14"/>
      <c r="M280" s="12">
        <v>103.0</v>
      </c>
      <c r="N280" s="5">
        <v>15.0</v>
      </c>
      <c r="O280" s="5"/>
      <c r="P280" s="3"/>
      <c r="Q280" s="3"/>
      <c r="R280" s="6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ht="15.75" customHeight="1">
      <c r="A281" s="3" t="s">
        <v>149</v>
      </c>
      <c r="B281" s="3" t="s">
        <v>150</v>
      </c>
      <c r="C281" s="3" t="s">
        <v>80</v>
      </c>
      <c r="D281" s="3" t="s">
        <v>226</v>
      </c>
      <c r="E281" s="3" t="s">
        <v>244</v>
      </c>
      <c r="F281" s="3">
        <v>6.0</v>
      </c>
      <c r="G281" s="4">
        <v>-27.58838</v>
      </c>
      <c r="H281" s="4">
        <v>-48.4725</v>
      </c>
      <c r="I281" s="5">
        <v>2.0</v>
      </c>
      <c r="J281" s="11" t="s">
        <v>245</v>
      </c>
      <c r="K281" s="11" t="s">
        <v>245</v>
      </c>
      <c r="L281" s="14"/>
      <c r="M281" s="12">
        <v>30.0</v>
      </c>
      <c r="N281" s="5">
        <v>7.5</v>
      </c>
      <c r="O281" s="5" t="s">
        <v>246</v>
      </c>
      <c r="P281" s="3"/>
      <c r="Q281" s="5" t="s">
        <v>247</v>
      </c>
      <c r="R281" s="6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15.75" customHeight="1">
      <c r="A282" s="3" t="s">
        <v>149</v>
      </c>
      <c r="B282" s="3" t="s">
        <v>150</v>
      </c>
      <c r="C282" s="3" t="s">
        <v>80</v>
      </c>
      <c r="D282" s="3" t="s">
        <v>226</v>
      </c>
      <c r="E282" s="3" t="s">
        <v>244</v>
      </c>
      <c r="F282" s="3">
        <v>6.0</v>
      </c>
      <c r="G282" s="4">
        <v>-27.58838</v>
      </c>
      <c r="H282" s="4">
        <v>-48.4725</v>
      </c>
      <c r="I282" s="5">
        <v>3.0</v>
      </c>
      <c r="J282" s="5" t="s">
        <v>234</v>
      </c>
      <c r="K282" s="5" t="s">
        <v>234</v>
      </c>
      <c r="L282" s="14"/>
      <c r="M282" s="12">
        <v>26.0</v>
      </c>
      <c r="N282" s="5">
        <v>8.0</v>
      </c>
      <c r="O282" s="5" t="s">
        <v>248</v>
      </c>
      <c r="P282" s="3"/>
      <c r="Q282" s="5" t="s">
        <v>249</v>
      </c>
      <c r="R282" s="6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ht="15.75" customHeight="1">
      <c r="A283" s="3" t="s">
        <v>149</v>
      </c>
      <c r="B283" s="3" t="s">
        <v>150</v>
      </c>
      <c r="C283" s="3" t="s">
        <v>80</v>
      </c>
      <c r="D283" s="3" t="s">
        <v>226</v>
      </c>
      <c r="E283" s="3" t="s">
        <v>244</v>
      </c>
      <c r="F283" s="3">
        <v>6.0</v>
      </c>
      <c r="G283" s="4">
        <v>-27.58838</v>
      </c>
      <c r="H283" s="4">
        <v>-48.4725</v>
      </c>
      <c r="I283" s="5">
        <v>4.0</v>
      </c>
      <c r="J283" s="5" t="s">
        <v>55</v>
      </c>
      <c r="K283" s="5" t="s">
        <v>55</v>
      </c>
      <c r="L283" s="14" t="s">
        <v>64</v>
      </c>
      <c r="M283" s="12">
        <v>19.0</v>
      </c>
      <c r="N283" s="5">
        <v>8.5</v>
      </c>
      <c r="O283" s="5"/>
      <c r="P283" s="3"/>
      <c r="Q283" s="3"/>
      <c r="R283" s="6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ht="15.75" customHeight="1">
      <c r="A284" s="3" t="s">
        <v>149</v>
      </c>
      <c r="B284" s="3" t="s">
        <v>150</v>
      </c>
      <c r="C284" s="3" t="s">
        <v>80</v>
      </c>
      <c r="D284" s="3" t="s">
        <v>226</v>
      </c>
      <c r="E284" s="3" t="s">
        <v>244</v>
      </c>
      <c r="F284" s="3">
        <v>6.0</v>
      </c>
      <c r="G284" s="4">
        <v>-27.58838</v>
      </c>
      <c r="H284" s="4">
        <v>-48.4725</v>
      </c>
      <c r="I284" s="5">
        <v>5.0</v>
      </c>
      <c r="J284" s="5" t="s">
        <v>56</v>
      </c>
      <c r="K284" s="5" t="s">
        <v>56</v>
      </c>
      <c r="L284" s="14"/>
      <c r="M284" s="12">
        <v>20.0</v>
      </c>
      <c r="N284" s="5">
        <v>10.0</v>
      </c>
      <c r="O284" s="5"/>
      <c r="P284" s="3"/>
      <c r="Q284" s="3"/>
      <c r="R284" s="6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ht="15.75" customHeight="1">
      <c r="A285" s="3" t="s">
        <v>149</v>
      </c>
      <c r="B285" s="3" t="s">
        <v>150</v>
      </c>
      <c r="C285" s="3" t="s">
        <v>80</v>
      </c>
      <c r="D285" s="3" t="s">
        <v>226</v>
      </c>
      <c r="E285" s="3" t="s">
        <v>244</v>
      </c>
      <c r="F285" s="3">
        <v>6.0</v>
      </c>
      <c r="G285" s="4">
        <v>-27.58838</v>
      </c>
      <c r="H285" s="4">
        <v>-48.4725</v>
      </c>
      <c r="I285" s="5">
        <v>6.0</v>
      </c>
      <c r="J285" s="5" t="s">
        <v>105</v>
      </c>
      <c r="K285" s="5" t="s">
        <v>105</v>
      </c>
      <c r="L285" s="14" t="s">
        <v>64</v>
      </c>
      <c r="M285" s="12">
        <v>25.0</v>
      </c>
      <c r="N285" s="5">
        <v>5.0</v>
      </c>
      <c r="O285" s="5" t="s">
        <v>250</v>
      </c>
      <c r="P285" s="3"/>
      <c r="Q285" s="3"/>
      <c r="R285" s="6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ht="15.75" customHeight="1">
      <c r="A286" s="3" t="s">
        <v>149</v>
      </c>
      <c r="B286" s="3" t="s">
        <v>150</v>
      </c>
      <c r="C286" s="3" t="s">
        <v>80</v>
      </c>
      <c r="D286" s="3" t="s">
        <v>226</v>
      </c>
      <c r="E286" s="3" t="s">
        <v>244</v>
      </c>
      <c r="F286" s="3">
        <v>6.0</v>
      </c>
      <c r="G286" s="4">
        <v>-27.58838</v>
      </c>
      <c r="H286" s="4">
        <v>-48.4725</v>
      </c>
      <c r="I286" s="5">
        <v>7.0</v>
      </c>
      <c r="J286" s="5" t="s">
        <v>55</v>
      </c>
      <c r="K286" s="5" t="s">
        <v>55</v>
      </c>
      <c r="L286" s="14" t="s">
        <v>64</v>
      </c>
      <c r="M286" s="12">
        <v>33.0</v>
      </c>
      <c r="N286" s="5">
        <v>9.0</v>
      </c>
      <c r="O286" s="5" t="s">
        <v>251</v>
      </c>
      <c r="P286" s="3"/>
      <c r="Q286" s="3"/>
      <c r="R286" s="6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ht="15.75" customHeight="1">
      <c r="A287" s="3" t="s">
        <v>149</v>
      </c>
      <c r="B287" s="3" t="s">
        <v>150</v>
      </c>
      <c r="C287" s="3" t="s">
        <v>80</v>
      </c>
      <c r="D287" s="3" t="s">
        <v>226</v>
      </c>
      <c r="E287" s="3" t="s">
        <v>244</v>
      </c>
      <c r="F287" s="3">
        <v>6.0</v>
      </c>
      <c r="G287" s="4">
        <v>-27.58838</v>
      </c>
      <c r="H287" s="4">
        <v>-48.4725</v>
      </c>
      <c r="I287" s="5">
        <v>8.0</v>
      </c>
      <c r="J287" s="5" t="s">
        <v>252</v>
      </c>
      <c r="K287" s="5" t="s">
        <v>253</v>
      </c>
      <c r="L287" s="14"/>
      <c r="M287" s="12">
        <v>23.0</v>
      </c>
      <c r="N287" s="5">
        <v>8.0</v>
      </c>
      <c r="O287" s="5" t="s">
        <v>254</v>
      </c>
      <c r="P287" s="3"/>
      <c r="Q287" s="3" t="s">
        <v>255</v>
      </c>
      <c r="R287" s="6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ht="15.75" customHeight="1">
      <c r="A288" s="3" t="s">
        <v>149</v>
      </c>
      <c r="B288" s="3" t="s">
        <v>150</v>
      </c>
      <c r="C288" s="3" t="s">
        <v>80</v>
      </c>
      <c r="D288" s="3" t="s">
        <v>226</v>
      </c>
      <c r="E288" s="3" t="s">
        <v>244</v>
      </c>
      <c r="F288" s="3">
        <v>6.0</v>
      </c>
      <c r="G288" s="4">
        <v>-27.58838</v>
      </c>
      <c r="H288" s="4">
        <v>-48.4725</v>
      </c>
      <c r="I288" s="5">
        <v>9.0</v>
      </c>
      <c r="J288" s="5" t="s">
        <v>191</v>
      </c>
      <c r="K288" s="5" t="s">
        <v>191</v>
      </c>
      <c r="L288" s="14"/>
      <c r="M288" s="12">
        <v>51.0</v>
      </c>
      <c r="N288" s="5">
        <v>15.0</v>
      </c>
      <c r="O288" s="5"/>
      <c r="P288" s="3"/>
      <c r="Q288" s="3"/>
      <c r="R288" s="6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ht="15.75" customHeight="1">
      <c r="A289" s="3" t="s">
        <v>149</v>
      </c>
      <c r="B289" s="3" t="s">
        <v>150</v>
      </c>
      <c r="C289" s="3" t="s">
        <v>80</v>
      </c>
      <c r="D289" s="3" t="s">
        <v>226</v>
      </c>
      <c r="E289" s="3" t="s">
        <v>244</v>
      </c>
      <c r="F289" s="3">
        <v>6.0</v>
      </c>
      <c r="G289" s="4">
        <v>-27.58838</v>
      </c>
      <c r="H289" s="4">
        <v>-48.4725</v>
      </c>
      <c r="I289" s="5">
        <v>10.0</v>
      </c>
      <c r="J289" s="5" t="s">
        <v>252</v>
      </c>
      <c r="K289" s="5" t="s">
        <v>253</v>
      </c>
      <c r="L289" s="14"/>
      <c r="M289" s="12">
        <v>27.0</v>
      </c>
      <c r="N289" s="5">
        <v>7.0</v>
      </c>
      <c r="O289" s="5" t="s">
        <v>254</v>
      </c>
      <c r="P289" s="3"/>
      <c r="Q289" s="3" t="s">
        <v>255</v>
      </c>
      <c r="R289" s="6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ht="15.75" customHeight="1">
      <c r="A290" s="3" t="s">
        <v>149</v>
      </c>
      <c r="B290" s="3" t="s">
        <v>150</v>
      </c>
      <c r="C290" s="3" t="s">
        <v>80</v>
      </c>
      <c r="D290" s="3" t="s">
        <v>226</v>
      </c>
      <c r="E290" s="3" t="s">
        <v>244</v>
      </c>
      <c r="F290" s="3">
        <v>6.0</v>
      </c>
      <c r="G290" s="4">
        <v>-27.58838</v>
      </c>
      <c r="H290" s="4">
        <v>-48.4725</v>
      </c>
      <c r="I290" s="5">
        <v>11.0</v>
      </c>
      <c r="J290" s="10" t="s">
        <v>179</v>
      </c>
      <c r="K290" s="10" t="s">
        <v>179</v>
      </c>
      <c r="L290" s="14"/>
      <c r="M290" s="12" t="s">
        <v>256</v>
      </c>
      <c r="N290" s="5">
        <v>12.0</v>
      </c>
      <c r="O290" s="5" t="s">
        <v>257</v>
      </c>
      <c r="P290" s="3"/>
      <c r="Q290" s="3"/>
      <c r="R290" s="6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ht="15.75" customHeight="1">
      <c r="A291" s="3" t="s">
        <v>149</v>
      </c>
      <c r="B291" s="3" t="s">
        <v>150</v>
      </c>
      <c r="C291" s="3" t="s">
        <v>80</v>
      </c>
      <c r="D291" s="3" t="s">
        <v>226</v>
      </c>
      <c r="E291" s="3" t="s">
        <v>244</v>
      </c>
      <c r="F291" s="3">
        <v>6.0</v>
      </c>
      <c r="G291" s="4">
        <v>-27.58838</v>
      </c>
      <c r="H291" s="4">
        <v>-48.4725</v>
      </c>
      <c r="I291" s="5">
        <v>12.0</v>
      </c>
      <c r="J291" s="10" t="s">
        <v>258</v>
      </c>
      <c r="K291" s="10" t="s">
        <v>55</v>
      </c>
      <c r="L291" s="14"/>
      <c r="M291" s="12" t="s">
        <v>259</v>
      </c>
      <c r="N291" s="5">
        <v>7.0</v>
      </c>
      <c r="O291" s="5" t="s">
        <v>260</v>
      </c>
      <c r="P291" s="3"/>
      <c r="Q291" s="3"/>
      <c r="R291" s="6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ht="15.75" customHeight="1">
      <c r="A292" s="3" t="s">
        <v>149</v>
      </c>
      <c r="B292" s="3" t="s">
        <v>150</v>
      </c>
      <c r="C292" s="3" t="s">
        <v>80</v>
      </c>
      <c r="D292" s="3" t="s">
        <v>226</v>
      </c>
      <c r="E292" s="3" t="s">
        <v>244</v>
      </c>
      <c r="F292" s="3">
        <v>6.0</v>
      </c>
      <c r="G292" s="4">
        <v>-27.58838</v>
      </c>
      <c r="H292" s="4">
        <v>-48.4725</v>
      </c>
      <c r="I292" s="5">
        <v>13.0</v>
      </c>
      <c r="J292" s="5" t="s">
        <v>105</v>
      </c>
      <c r="K292" s="5" t="s">
        <v>105</v>
      </c>
      <c r="L292" s="14" t="s">
        <v>64</v>
      </c>
      <c r="M292" s="12">
        <v>16.0</v>
      </c>
      <c r="N292" s="5">
        <v>7.0</v>
      </c>
      <c r="O292" s="5" t="s">
        <v>261</v>
      </c>
      <c r="P292" s="3"/>
      <c r="Q292" s="3"/>
      <c r="R292" s="6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ht="15.75" customHeight="1">
      <c r="A293" s="3" t="s">
        <v>149</v>
      </c>
      <c r="B293" s="3" t="s">
        <v>150</v>
      </c>
      <c r="C293" s="3" t="s">
        <v>80</v>
      </c>
      <c r="D293" s="3" t="s">
        <v>226</v>
      </c>
      <c r="E293" s="3" t="s">
        <v>244</v>
      </c>
      <c r="F293" s="3">
        <v>6.0</v>
      </c>
      <c r="G293" s="4">
        <v>-27.58838</v>
      </c>
      <c r="H293" s="4">
        <v>-48.4725</v>
      </c>
      <c r="I293" s="5">
        <v>14.0</v>
      </c>
      <c r="J293" s="5" t="s">
        <v>98</v>
      </c>
      <c r="K293" s="5" t="s">
        <v>98</v>
      </c>
      <c r="L293" s="14"/>
      <c r="M293" s="12">
        <v>86.0</v>
      </c>
      <c r="N293" s="5">
        <v>16.5</v>
      </c>
      <c r="O293" s="5"/>
      <c r="P293" s="3"/>
      <c r="Q293" s="3"/>
      <c r="R293" s="6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ht="15.75" customHeight="1">
      <c r="A294" s="3" t="s">
        <v>149</v>
      </c>
      <c r="B294" s="3" t="s">
        <v>150</v>
      </c>
      <c r="C294" s="3" t="s">
        <v>80</v>
      </c>
      <c r="D294" s="3" t="s">
        <v>226</v>
      </c>
      <c r="E294" s="3" t="s">
        <v>244</v>
      </c>
      <c r="F294" s="3">
        <v>6.0</v>
      </c>
      <c r="G294" s="4">
        <v>-27.58838</v>
      </c>
      <c r="H294" s="4">
        <v>-48.4725</v>
      </c>
      <c r="I294" s="5">
        <v>15.0</v>
      </c>
      <c r="J294" s="5" t="s">
        <v>105</v>
      </c>
      <c r="K294" s="5" t="s">
        <v>105</v>
      </c>
      <c r="L294" s="14" t="s">
        <v>64</v>
      </c>
      <c r="M294" s="12" t="s">
        <v>262</v>
      </c>
      <c r="N294" s="5">
        <v>6.0</v>
      </c>
      <c r="O294" s="5" t="s">
        <v>261</v>
      </c>
      <c r="P294" s="3"/>
      <c r="Q294" s="3"/>
      <c r="R294" s="6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ht="15.75" customHeight="1">
      <c r="A295" s="3" t="s">
        <v>149</v>
      </c>
      <c r="B295" s="3" t="s">
        <v>150</v>
      </c>
      <c r="C295" s="3" t="s">
        <v>80</v>
      </c>
      <c r="D295" s="3" t="s">
        <v>226</v>
      </c>
      <c r="E295" s="3" t="s">
        <v>244</v>
      </c>
      <c r="F295" s="3">
        <v>6.0</v>
      </c>
      <c r="G295" s="4">
        <v>-27.58838</v>
      </c>
      <c r="H295" s="4">
        <v>-48.4725</v>
      </c>
      <c r="I295" s="5">
        <v>16.0</v>
      </c>
      <c r="J295" s="5" t="s">
        <v>105</v>
      </c>
      <c r="K295" s="5" t="s">
        <v>105</v>
      </c>
      <c r="L295" s="14" t="s">
        <v>64</v>
      </c>
      <c r="M295" s="12">
        <v>28.0</v>
      </c>
      <c r="N295" s="5">
        <v>5.0</v>
      </c>
      <c r="O295" s="5" t="s">
        <v>261</v>
      </c>
      <c r="P295" s="3"/>
      <c r="Q295" s="3"/>
      <c r="R295" s="6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ht="15.75" customHeight="1">
      <c r="A296" s="3" t="s">
        <v>149</v>
      </c>
      <c r="B296" s="3" t="s">
        <v>150</v>
      </c>
      <c r="C296" s="3" t="s">
        <v>80</v>
      </c>
      <c r="D296" s="3" t="s">
        <v>226</v>
      </c>
      <c r="E296" s="3" t="s">
        <v>244</v>
      </c>
      <c r="F296" s="3">
        <v>6.0</v>
      </c>
      <c r="G296" s="4">
        <v>-27.58838</v>
      </c>
      <c r="H296" s="4">
        <v>-48.4725</v>
      </c>
      <c r="I296" s="5">
        <v>17.0</v>
      </c>
      <c r="J296" s="10" t="s">
        <v>263</v>
      </c>
      <c r="K296" s="10" t="s">
        <v>263</v>
      </c>
      <c r="L296" s="14"/>
      <c r="M296" s="12">
        <v>36.0</v>
      </c>
      <c r="N296" s="5">
        <v>11.0</v>
      </c>
      <c r="O296" s="5" t="s">
        <v>264</v>
      </c>
      <c r="P296" s="3"/>
      <c r="Q296" s="3"/>
      <c r="R296" s="6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ht="15.75" customHeight="1">
      <c r="A297" s="3" t="s">
        <v>149</v>
      </c>
      <c r="B297" s="3" t="s">
        <v>150</v>
      </c>
      <c r="C297" s="3" t="s">
        <v>80</v>
      </c>
      <c r="D297" s="3" t="s">
        <v>226</v>
      </c>
      <c r="E297" s="3" t="s">
        <v>244</v>
      </c>
      <c r="F297" s="3">
        <v>6.0</v>
      </c>
      <c r="G297" s="4">
        <v>-27.58838</v>
      </c>
      <c r="H297" s="4">
        <v>-48.4725</v>
      </c>
      <c r="I297" s="5">
        <v>18.0</v>
      </c>
      <c r="J297" s="5" t="s">
        <v>37</v>
      </c>
      <c r="K297" s="5" t="s">
        <v>37</v>
      </c>
      <c r="L297" s="14"/>
      <c r="M297" s="12">
        <v>41.0</v>
      </c>
      <c r="N297" s="5">
        <v>11.0</v>
      </c>
      <c r="O297" s="5" t="s">
        <v>265</v>
      </c>
      <c r="P297" s="3" t="s">
        <v>90</v>
      </c>
      <c r="Q297" s="3"/>
      <c r="R297" s="6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ht="15.75" customHeight="1">
      <c r="A298" s="3" t="s">
        <v>149</v>
      </c>
      <c r="B298" s="3" t="s">
        <v>150</v>
      </c>
      <c r="C298" s="3" t="s">
        <v>80</v>
      </c>
      <c r="D298" s="3" t="s">
        <v>226</v>
      </c>
      <c r="E298" s="3" t="s">
        <v>244</v>
      </c>
      <c r="F298" s="3">
        <v>6.0</v>
      </c>
      <c r="G298" s="4">
        <v>-27.58838</v>
      </c>
      <c r="H298" s="4">
        <v>-48.4725</v>
      </c>
      <c r="I298" s="5">
        <v>19.0</v>
      </c>
      <c r="J298" s="5" t="s">
        <v>105</v>
      </c>
      <c r="K298" s="5" t="s">
        <v>105</v>
      </c>
      <c r="L298" s="3" t="s">
        <v>64</v>
      </c>
      <c r="M298" s="5">
        <v>25.0</v>
      </c>
      <c r="N298" s="5">
        <v>7.0</v>
      </c>
      <c r="O298" s="5" t="s">
        <v>261</v>
      </c>
      <c r="P298" s="3"/>
      <c r="Q298" s="3"/>
      <c r="R298" s="6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ht="15.75" customHeight="1">
      <c r="A299" s="3" t="s">
        <v>149</v>
      </c>
      <c r="B299" s="3" t="s">
        <v>150</v>
      </c>
      <c r="C299" s="3" t="s">
        <v>80</v>
      </c>
      <c r="D299" s="3" t="s">
        <v>226</v>
      </c>
      <c r="E299" s="3" t="s">
        <v>244</v>
      </c>
      <c r="F299" s="3">
        <v>6.0</v>
      </c>
      <c r="G299" s="4">
        <v>-27.58838</v>
      </c>
      <c r="H299" s="4">
        <v>-48.4725</v>
      </c>
      <c r="I299" s="5">
        <v>20.0</v>
      </c>
      <c r="J299" s="5" t="s">
        <v>37</v>
      </c>
      <c r="K299" s="5" t="s">
        <v>37</v>
      </c>
      <c r="L299" s="3" t="s">
        <v>64</v>
      </c>
      <c r="M299" s="5" t="s">
        <v>266</v>
      </c>
      <c r="N299" s="5">
        <v>22.0</v>
      </c>
      <c r="O299" s="5" t="s">
        <v>267</v>
      </c>
      <c r="P299" s="3"/>
      <c r="Q299" s="3"/>
      <c r="R299" s="6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ht="15.75" customHeight="1">
      <c r="A300" s="3" t="s">
        <v>149</v>
      </c>
      <c r="B300" s="3" t="s">
        <v>150</v>
      </c>
      <c r="C300" s="3" t="s">
        <v>80</v>
      </c>
      <c r="D300" s="3" t="s">
        <v>226</v>
      </c>
      <c r="E300" s="3" t="s">
        <v>244</v>
      </c>
      <c r="F300" s="3">
        <v>6.0</v>
      </c>
      <c r="G300" s="4">
        <v>-27.58838</v>
      </c>
      <c r="H300" s="4">
        <v>-48.4725</v>
      </c>
      <c r="I300" s="5">
        <v>21.0</v>
      </c>
      <c r="J300" s="5" t="s">
        <v>234</v>
      </c>
      <c r="K300" s="5" t="s">
        <v>234</v>
      </c>
      <c r="L300" s="3" t="s">
        <v>64</v>
      </c>
      <c r="M300" s="5">
        <v>27.0</v>
      </c>
      <c r="N300" s="5">
        <v>10.0</v>
      </c>
      <c r="O300" s="3"/>
      <c r="P300" s="5" t="s">
        <v>268</v>
      </c>
      <c r="Q300" s="3"/>
      <c r="R300" s="6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15.75" customHeight="1">
      <c r="A301" s="3" t="s">
        <v>149</v>
      </c>
      <c r="B301" s="3" t="s">
        <v>150</v>
      </c>
      <c r="C301" s="3" t="s">
        <v>80</v>
      </c>
      <c r="D301" s="3" t="s">
        <v>226</v>
      </c>
      <c r="E301" s="3" t="s">
        <v>244</v>
      </c>
      <c r="F301" s="3">
        <v>6.0</v>
      </c>
      <c r="G301" s="4">
        <v>-27.58838</v>
      </c>
      <c r="H301" s="4">
        <v>-48.4725</v>
      </c>
      <c r="I301" s="5">
        <v>22.0</v>
      </c>
      <c r="J301" s="10" t="s">
        <v>269</v>
      </c>
      <c r="K301" s="10" t="s">
        <v>269</v>
      </c>
      <c r="L301" s="3"/>
      <c r="M301" s="5">
        <v>22.0</v>
      </c>
      <c r="N301" s="5">
        <v>7.5</v>
      </c>
      <c r="O301" s="5" t="s">
        <v>270</v>
      </c>
      <c r="P301" s="3"/>
      <c r="Q301" s="3"/>
      <c r="R301" s="6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ht="15.75" customHeight="1">
      <c r="A302" s="3" t="s">
        <v>149</v>
      </c>
      <c r="B302" s="3" t="s">
        <v>150</v>
      </c>
      <c r="C302" s="3" t="s">
        <v>80</v>
      </c>
      <c r="D302" s="3" t="s">
        <v>226</v>
      </c>
      <c r="E302" s="3" t="s">
        <v>244</v>
      </c>
      <c r="F302" s="3">
        <v>6.0</v>
      </c>
      <c r="G302" s="4">
        <v>-27.58838</v>
      </c>
      <c r="H302" s="4">
        <v>-48.4725</v>
      </c>
      <c r="I302" s="12">
        <v>23.0</v>
      </c>
      <c r="J302" s="5" t="s">
        <v>55</v>
      </c>
      <c r="K302" s="5" t="s">
        <v>55</v>
      </c>
      <c r="L302" s="3" t="s">
        <v>64</v>
      </c>
      <c r="M302" s="5" t="s">
        <v>271</v>
      </c>
      <c r="N302" s="5">
        <v>8.5</v>
      </c>
      <c r="O302" s="5"/>
      <c r="P302" s="3"/>
      <c r="Q302" s="3"/>
      <c r="R302" s="6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ht="15.75" customHeight="1">
      <c r="A303" s="3" t="s">
        <v>149</v>
      </c>
      <c r="B303" s="3" t="s">
        <v>150</v>
      </c>
      <c r="C303" s="3" t="s">
        <v>80</v>
      </c>
      <c r="D303" s="3" t="s">
        <v>226</v>
      </c>
      <c r="E303" s="3" t="s">
        <v>244</v>
      </c>
      <c r="F303" s="3">
        <v>6.0</v>
      </c>
      <c r="G303" s="4">
        <v>-27.58838</v>
      </c>
      <c r="H303" s="4">
        <v>-48.4725</v>
      </c>
      <c r="I303" s="12">
        <v>24.0</v>
      </c>
      <c r="J303" s="5" t="s">
        <v>31</v>
      </c>
      <c r="K303" s="5" t="s">
        <v>31</v>
      </c>
      <c r="L303" s="3"/>
      <c r="M303" s="5">
        <v>24.0</v>
      </c>
      <c r="N303" s="5">
        <v>7.0</v>
      </c>
      <c r="O303" s="5"/>
      <c r="P303" s="3"/>
      <c r="Q303" s="3"/>
      <c r="R303" s="6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ht="15.75" customHeight="1">
      <c r="A304" s="3" t="s">
        <v>149</v>
      </c>
      <c r="B304" s="3" t="s">
        <v>150</v>
      </c>
      <c r="C304" s="3" t="s">
        <v>80</v>
      </c>
      <c r="D304" s="3" t="s">
        <v>226</v>
      </c>
      <c r="E304" s="3" t="s">
        <v>244</v>
      </c>
      <c r="F304" s="3">
        <v>6.0</v>
      </c>
      <c r="G304" s="4">
        <v>-27.58838</v>
      </c>
      <c r="H304" s="4">
        <v>-48.4725</v>
      </c>
      <c r="I304" s="12">
        <v>25.0</v>
      </c>
      <c r="J304" s="5" t="s">
        <v>105</v>
      </c>
      <c r="K304" s="5" t="s">
        <v>105</v>
      </c>
      <c r="L304" s="3" t="s">
        <v>64</v>
      </c>
      <c r="M304" s="5">
        <v>21.0</v>
      </c>
      <c r="N304" s="5">
        <v>5.0</v>
      </c>
      <c r="O304" s="5" t="s">
        <v>261</v>
      </c>
      <c r="P304" s="3"/>
      <c r="Q304" s="3"/>
      <c r="R304" s="6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ht="15.75" customHeight="1">
      <c r="A305" s="3" t="s">
        <v>149</v>
      </c>
      <c r="B305" s="3" t="s">
        <v>150</v>
      </c>
      <c r="C305" s="3" t="s">
        <v>80</v>
      </c>
      <c r="D305" s="3" t="s">
        <v>226</v>
      </c>
      <c r="E305" s="3" t="s">
        <v>272</v>
      </c>
      <c r="F305" s="3">
        <v>7.0</v>
      </c>
      <c r="G305" s="4">
        <v>-27.58817</v>
      </c>
      <c r="H305" s="4">
        <v>-48.47243</v>
      </c>
      <c r="I305" s="5">
        <v>1.0</v>
      </c>
      <c r="J305" s="5" t="s">
        <v>50</v>
      </c>
      <c r="K305" s="5" t="s">
        <v>50</v>
      </c>
      <c r="L305" s="3"/>
      <c r="M305" s="5">
        <v>18.0</v>
      </c>
      <c r="N305" s="5">
        <v>8.0</v>
      </c>
      <c r="O305" s="5"/>
      <c r="P305" s="3"/>
      <c r="Q305" s="3"/>
      <c r="R305" s="6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ht="15.75" customHeight="1">
      <c r="A306" s="3" t="s">
        <v>149</v>
      </c>
      <c r="B306" s="3" t="s">
        <v>150</v>
      </c>
      <c r="C306" s="3" t="s">
        <v>80</v>
      </c>
      <c r="D306" s="3" t="s">
        <v>226</v>
      </c>
      <c r="E306" s="3" t="s">
        <v>272</v>
      </c>
      <c r="F306" s="3">
        <v>7.0</v>
      </c>
      <c r="G306" s="4">
        <v>-27.58817</v>
      </c>
      <c r="H306" s="4">
        <v>-48.47243</v>
      </c>
      <c r="I306" s="5">
        <v>2.0</v>
      </c>
      <c r="J306" s="5" t="s">
        <v>50</v>
      </c>
      <c r="K306" s="5" t="s">
        <v>50</v>
      </c>
      <c r="L306" s="3"/>
      <c r="M306" s="5">
        <v>28.0</v>
      </c>
      <c r="N306" s="5">
        <v>7.5</v>
      </c>
      <c r="O306" s="5"/>
      <c r="P306" s="3"/>
      <c r="Q306" s="3"/>
      <c r="R306" s="6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ht="15.75" customHeight="1">
      <c r="A307" s="3" t="s">
        <v>149</v>
      </c>
      <c r="B307" s="3" t="s">
        <v>150</v>
      </c>
      <c r="C307" s="3" t="s">
        <v>80</v>
      </c>
      <c r="D307" s="3" t="s">
        <v>226</v>
      </c>
      <c r="E307" s="3" t="s">
        <v>272</v>
      </c>
      <c r="F307" s="3">
        <v>7.0</v>
      </c>
      <c r="G307" s="4">
        <v>-27.58817</v>
      </c>
      <c r="H307" s="4">
        <v>-48.47243</v>
      </c>
      <c r="I307" s="5">
        <v>3.0</v>
      </c>
      <c r="J307" s="5" t="s">
        <v>273</v>
      </c>
      <c r="K307" s="5" t="s">
        <v>273</v>
      </c>
      <c r="L307" s="3" t="s">
        <v>64</v>
      </c>
      <c r="M307" s="5">
        <v>41.0</v>
      </c>
      <c r="N307" s="5">
        <v>10.0</v>
      </c>
      <c r="O307" s="5" t="s">
        <v>274</v>
      </c>
      <c r="P307" s="3"/>
      <c r="Q307" s="3" t="s">
        <v>247</v>
      </c>
      <c r="R307" s="6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ht="15.75" customHeight="1">
      <c r="A308" s="3" t="s">
        <v>149</v>
      </c>
      <c r="B308" s="3" t="s">
        <v>150</v>
      </c>
      <c r="C308" s="3" t="s">
        <v>80</v>
      </c>
      <c r="D308" s="3" t="s">
        <v>226</v>
      </c>
      <c r="E308" s="3" t="s">
        <v>272</v>
      </c>
      <c r="F308" s="3">
        <v>7.0</v>
      </c>
      <c r="G308" s="4">
        <v>-27.58817</v>
      </c>
      <c r="H308" s="4">
        <v>-48.47243</v>
      </c>
      <c r="I308" s="5">
        <v>4.0</v>
      </c>
      <c r="J308" s="5" t="s">
        <v>273</v>
      </c>
      <c r="K308" s="5" t="s">
        <v>273</v>
      </c>
      <c r="L308" s="3" t="s">
        <v>64</v>
      </c>
      <c r="M308" s="5">
        <v>40.0</v>
      </c>
      <c r="N308" s="5">
        <v>8.0</v>
      </c>
      <c r="O308" s="5" t="s">
        <v>275</v>
      </c>
      <c r="P308" s="3"/>
      <c r="Q308" s="3"/>
      <c r="R308" s="6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ht="15.75" customHeight="1">
      <c r="A309" s="3" t="s">
        <v>149</v>
      </c>
      <c r="B309" s="3" t="s">
        <v>150</v>
      </c>
      <c r="C309" s="3" t="s">
        <v>80</v>
      </c>
      <c r="D309" s="3" t="s">
        <v>226</v>
      </c>
      <c r="E309" s="3" t="s">
        <v>272</v>
      </c>
      <c r="F309" s="3">
        <v>7.0</v>
      </c>
      <c r="G309" s="4">
        <v>-27.58817</v>
      </c>
      <c r="H309" s="4">
        <v>-48.47243</v>
      </c>
      <c r="I309" s="5">
        <v>5.0</v>
      </c>
      <c r="J309" s="5" t="s">
        <v>276</v>
      </c>
      <c r="K309" s="5" t="s">
        <v>276</v>
      </c>
      <c r="L309" s="3" t="s">
        <v>64</v>
      </c>
      <c r="M309" s="5">
        <v>44.0</v>
      </c>
      <c r="N309" s="5">
        <v>9.0</v>
      </c>
      <c r="O309" s="5" t="s">
        <v>277</v>
      </c>
      <c r="P309" s="3"/>
      <c r="Q309" s="3" t="s">
        <v>278</v>
      </c>
      <c r="R309" s="6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ht="15.75" customHeight="1">
      <c r="A310" s="3" t="s">
        <v>149</v>
      </c>
      <c r="B310" s="3" t="s">
        <v>150</v>
      </c>
      <c r="C310" s="3" t="s">
        <v>80</v>
      </c>
      <c r="D310" s="3" t="s">
        <v>226</v>
      </c>
      <c r="E310" s="3" t="s">
        <v>272</v>
      </c>
      <c r="F310" s="3">
        <v>7.0</v>
      </c>
      <c r="G310" s="4">
        <v>-27.58817</v>
      </c>
      <c r="H310" s="4">
        <v>-48.47243</v>
      </c>
      <c r="I310" s="5">
        <v>6.0</v>
      </c>
      <c r="J310" s="5" t="s">
        <v>279</v>
      </c>
      <c r="K310" s="5" t="s">
        <v>279</v>
      </c>
      <c r="L310" s="3" t="s">
        <v>64</v>
      </c>
      <c r="M310" s="5">
        <v>20.0</v>
      </c>
      <c r="N310" s="5">
        <v>4.5</v>
      </c>
      <c r="O310" s="5" t="s">
        <v>280</v>
      </c>
      <c r="P310" s="3"/>
      <c r="Q310" s="3"/>
      <c r="R310" s="6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ht="15.75" customHeight="1">
      <c r="A311" s="3" t="s">
        <v>149</v>
      </c>
      <c r="B311" s="3" t="s">
        <v>150</v>
      </c>
      <c r="C311" s="3" t="s">
        <v>80</v>
      </c>
      <c r="D311" s="3" t="s">
        <v>226</v>
      </c>
      <c r="E311" s="3" t="s">
        <v>272</v>
      </c>
      <c r="F311" s="3">
        <v>7.0</v>
      </c>
      <c r="G311" s="4">
        <v>-27.58817</v>
      </c>
      <c r="H311" s="4">
        <v>-48.47243</v>
      </c>
      <c r="I311" s="5">
        <v>7.0</v>
      </c>
      <c r="J311" s="5" t="s">
        <v>105</v>
      </c>
      <c r="K311" s="5" t="s">
        <v>105</v>
      </c>
      <c r="L311" s="3" t="s">
        <v>64</v>
      </c>
      <c r="M311" s="5" t="s">
        <v>281</v>
      </c>
      <c r="N311" s="5">
        <v>4.0</v>
      </c>
      <c r="O311" s="5" t="s">
        <v>282</v>
      </c>
      <c r="P311" s="3"/>
      <c r="Q311" s="3" t="s">
        <v>283</v>
      </c>
      <c r="R311" s="6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15.75" customHeight="1">
      <c r="A312" s="3" t="s">
        <v>149</v>
      </c>
      <c r="B312" s="3" t="s">
        <v>150</v>
      </c>
      <c r="C312" s="3" t="s">
        <v>80</v>
      </c>
      <c r="D312" s="3" t="s">
        <v>226</v>
      </c>
      <c r="E312" s="3" t="s">
        <v>272</v>
      </c>
      <c r="F312" s="3">
        <v>7.0</v>
      </c>
      <c r="G312" s="4">
        <v>-27.58817</v>
      </c>
      <c r="H312" s="4">
        <v>-48.47243</v>
      </c>
      <c r="I312" s="5">
        <v>8.0</v>
      </c>
      <c r="J312" s="5" t="s">
        <v>284</v>
      </c>
      <c r="K312" s="5" t="s">
        <v>285</v>
      </c>
      <c r="L312" s="3"/>
      <c r="M312" s="5">
        <v>15.0</v>
      </c>
      <c r="N312" s="5">
        <v>5.0</v>
      </c>
      <c r="O312" s="5" t="s">
        <v>286</v>
      </c>
      <c r="P312" s="3"/>
      <c r="Q312" s="3"/>
      <c r="R312" s="6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ht="15.75" customHeight="1">
      <c r="A313" s="3" t="s">
        <v>149</v>
      </c>
      <c r="B313" s="3" t="s">
        <v>150</v>
      </c>
      <c r="C313" s="3" t="s">
        <v>80</v>
      </c>
      <c r="D313" s="3" t="s">
        <v>226</v>
      </c>
      <c r="E313" s="3" t="s">
        <v>272</v>
      </c>
      <c r="F313" s="3">
        <v>7.0</v>
      </c>
      <c r="G313" s="4">
        <v>-27.58817</v>
      </c>
      <c r="H313" s="4">
        <v>-48.47243</v>
      </c>
      <c r="I313" s="5">
        <v>9.0</v>
      </c>
      <c r="J313" s="5" t="s">
        <v>105</v>
      </c>
      <c r="K313" s="5" t="s">
        <v>105</v>
      </c>
      <c r="L313" s="3" t="s">
        <v>64</v>
      </c>
      <c r="M313" s="5">
        <v>40.0</v>
      </c>
      <c r="N313" s="5">
        <v>8.5</v>
      </c>
      <c r="O313" s="5" t="s">
        <v>287</v>
      </c>
      <c r="P313" s="3"/>
      <c r="Q313" s="3" t="s">
        <v>288</v>
      </c>
      <c r="R313" s="6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15.75" customHeight="1">
      <c r="A314" s="3" t="s">
        <v>149</v>
      </c>
      <c r="B314" s="3" t="s">
        <v>150</v>
      </c>
      <c r="C314" s="3" t="s">
        <v>80</v>
      </c>
      <c r="D314" s="3" t="s">
        <v>226</v>
      </c>
      <c r="E314" s="3" t="s">
        <v>272</v>
      </c>
      <c r="F314" s="3">
        <v>7.0</v>
      </c>
      <c r="G314" s="4">
        <v>-27.58817</v>
      </c>
      <c r="H314" s="4">
        <v>-48.47243</v>
      </c>
      <c r="I314" s="5">
        <v>10.0</v>
      </c>
      <c r="J314" s="12" t="s">
        <v>289</v>
      </c>
      <c r="K314" s="5" t="s">
        <v>105</v>
      </c>
      <c r="L314" s="3" t="s">
        <v>64</v>
      </c>
      <c r="M314" s="5">
        <v>32.0</v>
      </c>
      <c r="N314" s="5">
        <v>6.0</v>
      </c>
      <c r="O314" s="5" t="s">
        <v>290</v>
      </c>
      <c r="P314" s="3"/>
      <c r="Q314" s="3"/>
      <c r="R314" s="6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15.75" customHeight="1">
      <c r="A315" s="3" t="s">
        <v>149</v>
      </c>
      <c r="B315" s="3" t="s">
        <v>150</v>
      </c>
      <c r="C315" s="3" t="s">
        <v>80</v>
      </c>
      <c r="D315" s="3" t="s">
        <v>226</v>
      </c>
      <c r="E315" s="3" t="s">
        <v>272</v>
      </c>
      <c r="F315" s="3">
        <v>7.0</v>
      </c>
      <c r="G315" s="4">
        <v>-27.58817</v>
      </c>
      <c r="H315" s="4">
        <v>-48.47243</v>
      </c>
      <c r="I315" s="5">
        <v>11.0</v>
      </c>
      <c r="J315" s="5" t="s">
        <v>105</v>
      </c>
      <c r="K315" s="5" t="s">
        <v>105</v>
      </c>
      <c r="L315" s="3" t="s">
        <v>64</v>
      </c>
      <c r="M315" s="5">
        <v>15.0</v>
      </c>
      <c r="N315" s="5">
        <v>5.0</v>
      </c>
      <c r="O315" s="5"/>
      <c r="P315" s="3"/>
      <c r="Q315" s="3"/>
      <c r="R315" s="6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15.75" customHeight="1">
      <c r="A316" s="3" t="s">
        <v>149</v>
      </c>
      <c r="B316" s="3" t="s">
        <v>150</v>
      </c>
      <c r="C316" s="3" t="s">
        <v>80</v>
      </c>
      <c r="D316" s="3" t="s">
        <v>226</v>
      </c>
      <c r="E316" s="3" t="s">
        <v>272</v>
      </c>
      <c r="F316" s="3">
        <v>7.0</v>
      </c>
      <c r="G316" s="4">
        <v>-27.58817</v>
      </c>
      <c r="H316" s="4">
        <v>-48.47243</v>
      </c>
      <c r="I316" s="5">
        <v>12.0</v>
      </c>
      <c r="J316" s="5" t="s">
        <v>273</v>
      </c>
      <c r="K316" s="5" t="s">
        <v>273</v>
      </c>
      <c r="L316" s="3" t="s">
        <v>64</v>
      </c>
      <c r="M316" s="5">
        <v>70.0</v>
      </c>
      <c r="N316" s="5">
        <v>13.5</v>
      </c>
      <c r="O316" s="5" t="s">
        <v>291</v>
      </c>
      <c r="P316" s="3"/>
      <c r="Q316" s="3" t="s">
        <v>292</v>
      </c>
      <c r="R316" s="6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15.75" customHeight="1">
      <c r="A317" s="3" t="s">
        <v>149</v>
      </c>
      <c r="B317" s="3" t="s">
        <v>150</v>
      </c>
      <c r="C317" s="3" t="s">
        <v>80</v>
      </c>
      <c r="D317" s="3" t="s">
        <v>226</v>
      </c>
      <c r="E317" s="3" t="s">
        <v>272</v>
      </c>
      <c r="F317" s="3">
        <v>7.0</v>
      </c>
      <c r="G317" s="4">
        <v>-27.58817</v>
      </c>
      <c r="H317" s="4">
        <v>-48.47243</v>
      </c>
      <c r="I317" s="5">
        <v>13.0</v>
      </c>
      <c r="J317" s="5" t="s">
        <v>104</v>
      </c>
      <c r="K317" s="5" t="s">
        <v>104</v>
      </c>
      <c r="L317" s="3"/>
      <c r="M317" s="5">
        <v>22.0</v>
      </c>
      <c r="N317" s="5">
        <v>7.5</v>
      </c>
      <c r="O317" s="5"/>
      <c r="P317" s="3"/>
      <c r="Q317" s="3"/>
      <c r="R317" s="6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15.75" customHeight="1">
      <c r="A318" s="3" t="s">
        <v>149</v>
      </c>
      <c r="B318" s="3" t="s">
        <v>150</v>
      </c>
      <c r="C318" s="3" t="s">
        <v>80</v>
      </c>
      <c r="D318" s="3" t="s">
        <v>226</v>
      </c>
      <c r="E318" s="3" t="s">
        <v>272</v>
      </c>
      <c r="F318" s="3">
        <v>7.0</v>
      </c>
      <c r="G318" s="4">
        <v>-27.58817</v>
      </c>
      <c r="H318" s="4">
        <v>-48.47243</v>
      </c>
      <c r="I318" s="5">
        <v>14.0</v>
      </c>
      <c r="J318" s="5" t="s">
        <v>105</v>
      </c>
      <c r="K318" s="5" t="s">
        <v>105</v>
      </c>
      <c r="L318" s="3" t="s">
        <v>64</v>
      </c>
      <c r="M318" s="5" t="s">
        <v>293</v>
      </c>
      <c r="N318" s="5">
        <v>5.0</v>
      </c>
      <c r="O318" s="5"/>
      <c r="P318" s="3"/>
      <c r="Q318" s="3"/>
      <c r="R318" s="6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15.75" customHeight="1">
      <c r="A319" s="3" t="s">
        <v>149</v>
      </c>
      <c r="B319" s="3" t="s">
        <v>150</v>
      </c>
      <c r="C319" s="3" t="s">
        <v>80</v>
      </c>
      <c r="D319" s="3" t="s">
        <v>226</v>
      </c>
      <c r="E319" s="3" t="s">
        <v>272</v>
      </c>
      <c r="F319" s="3">
        <v>7.0</v>
      </c>
      <c r="G319" s="4">
        <v>-27.58817</v>
      </c>
      <c r="H319" s="4">
        <v>-48.47243</v>
      </c>
      <c r="I319" s="5">
        <v>15.0</v>
      </c>
      <c r="J319" s="5" t="s">
        <v>104</v>
      </c>
      <c r="K319" s="5" t="s">
        <v>104</v>
      </c>
      <c r="L319" s="3"/>
      <c r="M319" s="5">
        <v>25.0</v>
      </c>
      <c r="N319" s="5">
        <v>9.0</v>
      </c>
      <c r="O319" s="5"/>
      <c r="P319" s="3"/>
      <c r="Q319" s="3"/>
      <c r="R319" s="6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15.75" customHeight="1">
      <c r="A320" s="3" t="s">
        <v>149</v>
      </c>
      <c r="B320" s="3" t="s">
        <v>150</v>
      </c>
      <c r="C320" s="3" t="s">
        <v>80</v>
      </c>
      <c r="D320" s="3" t="s">
        <v>226</v>
      </c>
      <c r="E320" s="3" t="s">
        <v>272</v>
      </c>
      <c r="F320" s="3">
        <v>7.0</v>
      </c>
      <c r="G320" s="4">
        <v>-27.58817</v>
      </c>
      <c r="H320" s="4">
        <v>-48.47243</v>
      </c>
      <c r="I320" s="5">
        <v>16.0</v>
      </c>
      <c r="J320" s="5" t="s">
        <v>105</v>
      </c>
      <c r="K320" s="5" t="s">
        <v>105</v>
      </c>
      <c r="L320" s="3" t="s">
        <v>64</v>
      </c>
      <c r="M320" s="5">
        <v>16.0</v>
      </c>
      <c r="N320" s="5">
        <v>4.0</v>
      </c>
      <c r="O320" s="5"/>
      <c r="P320" s="3"/>
      <c r="Q320" s="3"/>
      <c r="R320" s="6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15.75" customHeight="1">
      <c r="A321" s="3" t="s">
        <v>149</v>
      </c>
      <c r="B321" s="3" t="s">
        <v>150</v>
      </c>
      <c r="C321" s="3" t="s">
        <v>80</v>
      </c>
      <c r="D321" s="3" t="s">
        <v>226</v>
      </c>
      <c r="E321" s="3" t="s">
        <v>272</v>
      </c>
      <c r="F321" s="3">
        <v>7.0</v>
      </c>
      <c r="G321" s="4">
        <v>-27.58817</v>
      </c>
      <c r="H321" s="4">
        <v>-48.47243</v>
      </c>
      <c r="I321" s="5">
        <v>17.0</v>
      </c>
      <c r="J321" s="5" t="s">
        <v>26</v>
      </c>
      <c r="K321" s="5" t="s">
        <v>26</v>
      </c>
      <c r="L321" s="3"/>
      <c r="M321" s="5">
        <v>24.0</v>
      </c>
      <c r="N321" s="5">
        <v>9.0</v>
      </c>
      <c r="O321" s="5"/>
      <c r="P321" s="3"/>
      <c r="Q321" s="3"/>
      <c r="R321" s="6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5.75" customHeight="1">
      <c r="A322" s="3" t="s">
        <v>149</v>
      </c>
      <c r="B322" s="3" t="s">
        <v>150</v>
      </c>
      <c r="C322" s="3" t="s">
        <v>80</v>
      </c>
      <c r="D322" s="3" t="s">
        <v>226</v>
      </c>
      <c r="E322" s="3" t="s">
        <v>272</v>
      </c>
      <c r="F322" s="3">
        <v>7.0</v>
      </c>
      <c r="G322" s="4">
        <v>-27.58817</v>
      </c>
      <c r="H322" s="4">
        <v>-48.47243</v>
      </c>
      <c r="I322" s="5">
        <v>18.0</v>
      </c>
      <c r="J322" s="5" t="s">
        <v>294</v>
      </c>
      <c r="K322" s="5" t="s">
        <v>294</v>
      </c>
      <c r="L322" s="3" t="s">
        <v>64</v>
      </c>
      <c r="M322" s="5" t="s">
        <v>295</v>
      </c>
      <c r="N322" s="5">
        <v>5.0</v>
      </c>
      <c r="O322" s="5" t="s">
        <v>296</v>
      </c>
      <c r="P322" s="3"/>
      <c r="Q322" s="3"/>
      <c r="R322" s="6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ht="15.75" customHeight="1">
      <c r="A323" s="3" t="s">
        <v>149</v>
      </c>
      <c r="B323" s="3" t="s">
        <v>150</v>
      </c>
      <c r="C323" s="3" t="s">
        <v>80</v>
      </c>
      <c r="D323" s="3" t="s">
        <v>226</v>
      </c>
      <c r="E323" s="3" t="s">
        <v>297</v>
      </c>
      <c r="F323" s="3">
        <v>8.0</v>
      </c>
      <c r="G323" s="4">
        <v>-27.58784</v>
      </c>
      <c r="H323" s="4">
        <v>-48.47277</v>
      </c>
      <c r="I323" s="5">
        <v>1.0</v>
      </c>
      <c r="J323" s="12" t="s">
        <v>98</v>
      </c>
      <c r="K323" s="12" t="s">
        <v>98</v>
      </c>
      <c r="L323" s="3"/>
      <c r="M323" s="5">
        <v>192.0</v>
      </c>
      <c r="N323" s="5">
        <v>18.0</v>
      </c>
      <c r="O323" s="5" t="s">
        <v>298</v>
      </c>
      <c r="P323" s="3"/>
      <c r="Q323" s="3"/>
      <c r="R323" s="6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ht="15.75" customHeight="1">
      <c r="A324" s="3" t="s">
        <v>149</v>
      </c>
      <c r="B324" s="3" t="s">
        <v>150</v>
      </c>
      <c r="C324" s="3" t="s">
        <v>80</v>
      </c>
      <c r="D324" s="3" t="s">
        <v>226</v>
      </c>
      <c r="E324" s="3" t="s">
        <v>297</v>
      </c>
      <c r="F324" s="3">
        <v>8.0</v>
      </c>
      <c r="G324" s="4">
        <v>-27.58784</v>
      </c>
      <c r="H324" s="4">
        <v>-48.47277</v>
      </c>
      <c r="I324" s="5">
        <v>2.0</v>
      </c>
      <c r="J324" s="5" t="s">
        <v>55</v>
      </c>
      <c r="K324" s="5" t="s">
        <v>55</v>
      </c>
      <c r="L324" s="3" t="s">
        <v>64</v>
      </c>
      <c r="M324" s="5">
        <v>16.0</v>
      </c>
      <c r="N324" s="5">
        <v>5.0</v>
      </c>
      <c r="O324" s="5"/>
      <c r="P324" s="3"/>
      <c r="Q324" s="3"/>
      <c r="R324" s="6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ht="15.75" customHeight="1">
      <c r="A325" s="3" t="s">
        <v>149</v>
      </c>
      <c r="B325" s="3" t="s">
        <v>150</v>
      </c>
      <c r="C325" s="3" t="s">
        <v>80</v>
      </c>
      <c r="D325" s="3" t="s">
        <v>226</v>
      </c>
      <c r="E325" s="3" t="s">
        <v>297</v>
      </c>
      <c r="F325" s="3">
        <v>8.0</v>
      </c>
      <c r="G325" s="4">
        <v>-27.58784</v>
      </c>
      <c r="H325" s="4">
        <v>-48.47277</v>
      </c>
      <c r="I325" s="5">
        <v>3.0</v>
      </c>
      <c r="J325" s="5" t="s">
        <v>55</v>
      </c>
      <c r="K325" s="5" t="s">
        <v>55</v>
      </c>
      <c r="L325" s="3" t="s">
        <v>64</v>
      </c>
      <c r="M325" s="5">
        <v>18.0</v>
      </c>
      <c r="N325" s="5">
        <v>7.0</v>
      </c>
      <c r="O325" s="5"/>
      <c r="P325" s="3"/>
      <c r="Q325" s="3"/>
      <c r="R325" s="6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ht="15.75" customHeight="1">
      <c r="A326" s="3" t="s">
        <v>149</v>
      </c>
      <c r="B326" s="3" t="s">
        <v>150</v>
      </c>
      <c r="C326" s="3" t="s">
        <v>80</v>
      </c>
      <c r="D326" s="3" t="s">
        <v>226</v>
      </c>
      <c r="E326" s="3" t="s">
        <v>297</v>
      </c>
      <c r="F326" s="3">
        <v>8.0</v>
      </c>
      <c r="G326" s="4">
        <v>-27.58784</v>
      </c>
      <c r="H326" s="4">
        <v>-48.47277</v>
      </c>
      <c r="I326" s="5">
        <v>4.0</v>
      </c>
      <c r="J326" s="5" t="s">
        <v>55</v>
      </c>
      <c r="K326" s="5" t="s">
        <v>55</v>
      </c>
      <c r="L326" s="3" t="s">
        <v>64</v>
      </c>
      <c r="M326" s="5">
        <v>29.0</v>
      </c>
      <c r="N326" s="5">
        <v>7.5</v>
      </c>
      <c r="O326" s="5"/>
      <c r="P326" s="3"/>
      <c r="Q326" s="3"/>
      <c r="R326" s="6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ht="15.75" customHeight="1">
      <c r="A327" s="3" t="s">
        <v>149</v>
      </c>
      <c r="B327" s="3" t="s">
        <v>150</v>
      </c>
      <c r="C327" s="3" t="s">
        <v>80</v>
      </c>
      <c r="D327" s="3" t="s">
        <v>226</v>
      </c>
      <c r="E327" s="3" t="s">
        <v>297</v>
      </c>
      <c r="F327" s="3">
        <v>8.0</v>
      </c>
      <c r="G327" s="4">
        <v>-27.58784</v>
      </c>
      <c r="H327" s="4">
        <v>-48.47277</v>
      </c>
      <c r="I327" s="5">
        <v>5.0</v>
      </c>
      <c r="J327" s="5" t="s">
        <v>117</v>
      </c>
      <c r="K327" s="5" t="s">
        <v>117</v>
      </c>
      <c r="L327" s="3" t="s">
        <v>64</v>
      </c>
      <c r="M327" s="5">
        <v>17.0</v>
      </c>
      <c r="N327" s="5">
        <v>7.0</v>
      </c>
      <c r="O327" s="5" t="s">
        <v>299</v>
      </c>
      <c r="P327" s="3"/>
      <c r="Q327" s="3"/>
      <c r="R327" s="6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ht="15.75" customHeight="1">
      <c r="A328" s="3" t="s">
        <v>149</v>
      </c>
      <c r="B328" s="3" t="s">
        <v>150</v>
      </c>
      <c r="C328" s="3" t="s">
        <v>80</v>
      </c>
      <c r="D328" s="3" t="s">
        <v>226</v>
      </c>
      <c r="E328" s="3" t="s">
        <v>297</v>
      </c>
      <c r="F328" s="3">
        <v>8.0</v>
      </c>
      <c r="G328" s="4">
        <v>-27.58784</v>
      </c>
      <c r="H328" s="4">
        <v>-48.47277</v>
      </c>
      <c r="I328" s="5">
        <v>6.0</v>
      </c>
      <c r="J328" s="5" t="s">
        <v>102</v>
      </c>
      <c r="K328" s="5" t="s">
        <v>102</v>
      </c>
      <c r="L328" s="3"/>
      <c r="M328" s="5">
        <v>15.0</v>
      </c>
      <c r="N328" s="5">
        <v>5.0</v>
      </c>
      <c r="O328" s="5" t="s">
        <v>300</v>
      </c>
      <c r="P328" s="3"/>
      <c r="Q328" s="3"/>
      <c r="R328" s="6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ht="15.75" customHeight="1">
      <c r="A329" s="3" t="s">
        <v>149</v>
      </c>
      <c r="B329" s="3" t="s">
        <v>150</v>
      </c>
      <c r="C329" s="3" t="s">
        <v>80</v>
      </c>
      <c r="D329" s="3" t="s">
        <v>226</v>
      </c>
      <c r="E329" s="3" t="s">
        <v>297</v>
      </c>
      <c r="F329" s="3">
        <v>8.0</v>
      </c>
      <c r="G329" s="4">
        <v>-27.58784</v>
      </c>
      <c r="H329" s="4">
        <v>-48.47277</v>
      </c>
      <c r="I329" s="5">
        <v>7.0</v>
      </c>
      <c r="J329" s="5" t="s">
        <v>301</v>
      </c>
      <c r="K329" s="5" t="s">
        <v>105</v>
      </c>
      <c r="L329" s="3" t="s">
        <v>64</v>
      </c>
      <c r="M329" s="5">
        <v>17.0</v>
      </c>
      <c r="N329" s="5">
        <v>5.0</v>
      </c>
      <c r="O329" s="5" t="s">
        <v>261</v>
      </c>
      <c r="P329" s="3" t="s">
        <v>90</v>
      </c>
      <c r="Q329" s="3"/>
      <c r="R329" s="6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ht="15.75" customHeight="1">
      <c r="A330" s="3" t="s">
        <v>149</v>
      </c>
      <c r="B330" s="3" t="s">
        <v>150</v>
      </c>
      <c r="C330" s="3" t="s">
        <v>80</v>
      </c>
      <c r="D330" s="3" t="s">
        <v>226</v>
      </c>
      <c r="E330" s="3" t="s">
        <v>297</v>
      </c>
      <c r="F330" s="3">
        <v>8.0</v>
      </c>
      <c r="G330" s="4">
        <v>-27.58784</v>
      </c>
      <c r="H330" s="4">
        <v>-48.47277</v>
      </c>
      <c r="I330" s="5">
        <v>8.0</v>
      </c>
      <c r="J330" s="5" t="s">
        <v>234</v>
      </c>
      <c r="K330" s="5" t="s">
        <v>234</v>
      </c>
      <c r="L330" s="3"/>
      <c r="M330" s="5">
        <v>26.0</v>
      </c>
      <c r="N330" s="5">
        <v>7.0</v>
      </c>
      <c r="O330" s="5" t="s">
        <v>302</v>
      </c>
      <c r="P330" s="3"/>
      <c r="Q330" s="3" t="s">
        <v>303</v>
      </c>
      <c r="R330" s="6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ht="15.75" customHeight="1">
      <c r="A331" s="3" t="s">
        <v>149</v>
      </c>
      <c r="B331" s="3" t="s">
        <v>150</v>
      </c>
      <c r="C331" s="3" t="s">
        <v>80</v>
      </c>
      <c r="D331" s="3" t="s">
        <v>226</v>
      </c>
      <c r="E331" s="3" t="s">
        <v>297</v>
      </c>
      <c r="F331" s="3">
        <v>8.0</v>
      </c>
      <c r="G331" s="4">
        <v>-27.58784</v>
      </c>
      <c r="H331" s="4">
        <v>-48.47277</v>
      </c>
      <c r="I331" s="5">
        <v>9.0</v>
      </c>
      <c r="J331" s="3" t="s">
        <v>304</v>
      </c>
      <c r="K331" s="3" t="s">
        <v>304</v>
      </c>
      <c r="L331" s="3"/>
      <c r="M331" s="5">
        <v>20.0</v>
      </c>
      <c r="N331" s="5">
        <v>5.0</v>
      </c>
      <c r="O331" s="5" t="s">
        <v>305</v>
      </c>
      <c r="P331" s="3" t="s">
        <v>90</v>
      </c>
      <c r="Q331" s="3"/>
      <c r="R331" s="6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ht="15.75" customHeight="1">
      <c r="A332" s="3" t="s">
        <v>149</v>
      </c>
      <c r="B332" s="3" t="s">
        <v>150</v>
      </c>
      <c r="C332" s="3" t="s">
        <v>80</v>
      </c>
      <c r="D332" s="3" t="s">
        <v>226</v>
      </c>
      <c r="E332" s="3" t="s">
        <v>297</v>
      </c>
      <c r="F332" s="3">
        <v>8.0</v>
      </c>
      <c r="G332" s="4">
        <v>-27.58784</v>
      </c>
      <c r="H332" s="4">
        <v>-48.47277</v>
      </c>
      <c r="I332" s="5">
        <v>10.0</v>
      </c>
      <c r="J332" s="5" t="s">
        <v>55</v>
      </c>
      <c r="K332" s="5" t="s">
        <v>55</v>
      </c>
      <c r="L332" s="3"/>
      <c r="M332" s="5">
        <v>22.0</v>
      </c>
      <c r="N332" s="5">
        <v>7.0</v>
      </c>
      <c r="O332" s="5" t="s">
        <v>306</v>
      </c>
      <c r="P332" s="3"/>
      <c r="Q332" s="3"/>
      <c r="R332" s="6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ht="15.75" customHeight="1">
      <c r="A333" s="3" t="s">
        <v>149</v>
      </c>
      <c r="B333" s="3" t="s">
        <v>150</v>
      </c>
      <c r="C333" s="3" t="s">
        <v>80</v>
      </c>
      <c r="D333" s="3" t="s">
        <v>226</v>
      </c>
      <c r="E333" s="3" t="s">
        <v>297</v>
      </c>
      <c r="F333" s="3">
        <v>8.0</v>
      </c>
      <c r="G333" s="4">
        <v>-27.58784</v>
      </c>
      <c r="H333" s="4">
        <v>-48.47277</v>
      </c>
      <c r="I333" s="5">
        <v>11.0</v>
      </c>
      <c r="J333" s="3" t="s">
        <v>307</v>
      </c>
      <c r="K333" s="3" t="s">
        <v>308</v>
      </c>
      <c r="L333" s="3"/>
      <c r="M333" s="12">
        <v>15.0</v>
      </c>
      <c r="N333" s="12">
        <v>7.5</v>
      </c>
      <c r="O333" s="12" t="s">
        <v>309</v>
      </c>
      <c r="P333" s="3"/>
      <c r="Q333" s="3"/>
      <c r="R333" s="6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ht="15.75" customHeight="1">
      <c r="A334" s="3" t="s">
        <v>149</v>
      </c>
      <c r="B334" s="3" t="s">
        <v>150</v>
      </c>
      <c r="C334" s="3" t="s">
        <v>80</v>
      </c>
      <c r="D334" s="3" t="s">
        <v>226</v>
      </c>
      <c r="E334" s="3" t="s">
        <v>297</v>
      </c>
      <c r="F334" s="3">
        <v>8.0</v>
      </c>
      <c r="G334" s="4">
        <v>-27.58784</v>
      </c>
      <c r="H334" s="4">
        <v>-48.47277</v>
      </c>
      <c r="I334" s="5">
        <v>12.0</v>
      </c>
      <c r="J334" s="5" t="s">
        <v>153</v>
      </c>
      <c r="K334" s="5" t="s">
        <v>153</v>
      </c>
      <c r="L334" s="3"/>
      <c r="M334" s="12">
        <v>34.0</v>
      </c>
      <c r="N334" s="12">
        <v>10.0</v>
      </c>
      <c r="O334" s="12" t="s">
        <v>310</v>
      </c>
      <c r="P334" s="3"/>
      <c r="Q334" s="3"/>
      <c r="R334" s="6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ht="15.75" customHeight="1">
      <c r="A335" s="3" t="s">
        <v>149</v>
      </c>
      <c r="B335" s="3" t="s">
        <v>150</v>
      </c>
      <c r="C335" s="3" t="s">
        <v>80</v>
      </c>
      <c r="D335" s="3" t="s">
        <v>226</v>
      </c>
      <c r="E335" s="3" t="s">
        <v>297</v>
      </c>
      <c r="F335" s="3">
        <v>8.0</v>
      </c>
      <c r="G335" s="4">
        <v>-27.58784</v>
      </c>
      <c r="H335" s="4">
        <v>-48.47277</v>
      </c>
      <c r="I335" s="5">
        <v>13.0</v>
      </c>
      <c r="J335" s="5" t="s">
        <v>117</v>
      </c>
      <c r="K335" s="5" t="s">
        <v>117</v>
      </c>
      <c r="L335" s="3" t="s">
        <v>64</v>
      </c>
      <c r="M335" s="5">
        <v>16.0</v>
      </c>
      <c r="N335" s="5">
        <v>5.5</v>
      </c>
      <c r="O335" s="5" t="s">
        <v>299</v>
      </c>
      <c r="P335" s="3"/>
      <c r="Q335" s="3"/>
      <c r="R335" s="6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ht="15.75" customHeight="1">
      <c r="A336" s="3" t="s">
        <v>149</v>
      </c>
      <c r="B336" s="3" t="s">
        <v>150</v>
      </c>
      <c r="C336" s="3" t="s">
        <v>80</v>
      </c>
      <c r="D336" s="3" t="s">
        <v>226</v>
      </c>
      <c r="E336" s="3" t="s">
        <v>297</v>
      </c>
      <c r="F336" s="3">
        <v>8.0</v>
      </c>
      <c r="G336" s="4">
        <v>-27.58784</v>
      </c>
      <c r="H336" s="4">
        <v>-48.47277</v>
      </c>
      <c r="I336" s="5">
        <v>14.0</v>
      </c>
      <c r="J336" s="5" t="s">
        <v>234</v>
      </c>
      <c r="K336" s="5" t="s">
        <v>234</v>
      </c>
      <c r="L336" s="3"/>
      <c r="M336" s="12">
        <v>16.0</v>
      </c>
      <c r="N336" s="12">
        <v>6.5</v>
      </c>
      <c r="O336" s="12" t="s">
        <v>311</v>
      </c>
      <c r="P336" s="3"/>
      <c r="Q336" s="3"/>
      <c r="R336" s="6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ht="15.75" customHeight="1">
      <c r="A337" s="3" t="s">
        <v>149</v>
      </c>
      <c r="B337" s="3" t="s">
        <v>150</v>
      </c>
      <c r="C337" s="3" t="s">
        <v>80</v>
      </c>
      <c r="D337" s="3" t="s">
        <v>226</v>
      </c>
      <c r="E337" s="3" t="s">
        <v>297</v>
      </c>
      <c r="F337" s="3">
        <v>8.0</v>
      </c>
      <c r="G337" s="4">
        <v>-27.58784</v>
      </c>
      <c r="H337" s="4">
        <v>-48.47277</v>
      </c>
      <c r="I337" s="5">
        <v>15.0</v>
      </c>
      <c r="J337" s="12" t="s">
        <v>153</v>
      </c>
      <c r="K337" s="12" t="s">
        <v>153</v>
      </c>
      <c r="L337" s="3"/>
      <c r="M337" s="12">
        <v>28.0</v>
      </c>
      <c r="N337" s="12">
        <v>8.5</v>
      </c>
      <c r="O337" s="12" t="s">
        <v>312</v>
      </c>
      <c r="P337" s="3"/>
      <c r="Q337" s="3" t="s">
        <v>313</v>
      </c>
      <c r="R337" s="6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ht="15.75" customHeight="1">
      <c r="A338" s="3" t="s">
        <v>149</v>
      </c>
      <c r="B338" s="3" t="s">
        <v>150</v>
      </c>
      <c r="C338" s="3" t="s">
        <v>80</v>
      </c>
      <c r="D338" s="3" t="s">
        <v>226</v>
      </c>
      <c r="E338" s="3" t="s">
        <v>297</v>
      </c>
      <c r="F338" s="3">
        <v>8.0</v>
      </c>
      <c r="G338" s="4">
        <v>-27.58784</v>
      </c>
      <c r="H338" s="4">
        <v>-48.47277</v>
      </c>
      <c r="I338" s="5">
        <v>16.0</v>
      </c>
      <c r="J338" s="12" t="s">
        <v>98</v>
      </c>
      <c r="K338" s="12" t="s">
        <v>98</v>
      </c>
      <c r="L338" s="3"/>
      <c r="M338" s="12">
        <v>79.0</v>
      </c>
      <c r="N338" s="12">
        <v>16.0</v>
      </c>
      <c r="O338" s="12"/>
      <c r="P338" s="3"/>
      <c r="Q338" s="3"/>
      <c r="R338" s="6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ht="15.75" customHeight="1">
      <c r="A339" s="3" t="s">
        <v>149</v>
      </c>
      <c r="B339" s="3" t="s">
        <v>150</v>
      </c>
      <c r="C339" s="3" t="s">
        <v>80</v>
      </c>
      <c r="D339" s="3" t="s">
        <v>226</v>
      </c>
      <c r="E339" s="3" t="s">
        <v>297</v>
      </c>
      <c r="F339" s="3">
        <v>8.0</v>
      </c>
      <c r="G339" s="4">
        <v>-27.58784</v>
      </c>
      <c r="H339" s="4">
        <v>-48.47277</v>
      </c>
      <c r="I339" s="5">
        <v>17.0</v>
      </c>
      <c r="J339" s="5" t="s">
        <v>55</v>
      </c>
      <c r="K339" s="12" t="s">
        <v>55</v>
      </c>
      <c r="L339" s="3" t="s">
        <v>64</v>
      </c>
      <c r="M339" s="12">
        <v>19.0</v>
      </c>
      <c r="N339" s="12">
        <v>7.0</v>
      </c>
      <c r="O339" s="12"/>
      <c r="P339" s="3"/>
      <c r="Q339" s="3"/>
      <c r="R339" s="6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ht="15.75" customHeight="1">
      <c r="A340" s="3" t="s">
        <v>149</v>
      </c>
      <c r="B340" s="3" t="s">
        <v>150</v>
      </c>
      <c r="C340" s="3" t="s">
        <v>80</v>
      </c>
      <c r="D340" s="3" t="s">
        <v>226</v>
      </c>
      <c r="E340" s="3" t="s">
        <v>297</v>
      </c>
      <c r="F340" s="3">
        <v>8.0</v>
      </c>
      <c r="G340" s="4">
        <v>-27.58784</v>
      </c>
      <c r="H340" s="4">
        <v>-48.47277</v>
      </c>
      <c r="I340" s="5">
        <v>18.0</v>
      </c>
      <c r="J340" s="19" t="s">
        <v>314</v>
      </c>
      <c r="K340" s="12" t="s">
        <v>315</v>
      </c>
      <c r="L340" s="3"/>
      <c r="M340" s="12">
        <v>44.0</v>
      </c>
      <c r="N340" s="12">
        <v>9.0</v>
      </c>
      <c r="O340" s="12" t="s">
        <v>316</v>
      </c>
      <c r="P340" s="3"/>
      <c r="Q340" s="3"/>
      <c r="R340" s="6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ht="15.75" customHeight="1">
      <c r="A341" s="3" t="s">
        <v>149</v>
      </c>
      <c r="B341" s="3" t="s">
        <v>150</v>
      </c>
      <c r="C341" s="3" t="s">
        <v>80</v>
      </c>
      <c r="D341" s="3" t="s">
        <v>226</v>
      </c>
      <c r="E341" s="3" t="s">
        <v>297</v>
      </c>
      <c r="F341" s="3">
        <v>8.0</v>
      </c>
      <c r="G341" s="4">
        <v>-27.58784</v>
      </c>
      <c r="H341" s="4">
        <v>-48.47277</v>
      </c>
      <c r="I341" s="5">
        <v>19.0</v>
      </c>
      <c r="J341" s="3" t="s">
        <v>307</v>
      </c>
      <c r="K341" s="12" t="s">
        <v>308</v>
      </c>
      <c r="L341" s="3"/>
      <c r="M341" s="12">
        <v>17.0</v>
      </c>
      <c r="N341" s="12">
        <v>6.5</v>
      </c>
      <c r="O341" s="12" t="s">
        <v>317</v>
      </c>
      <c r="P341" s="3"/>
      <c r="Q341" s="3"/>
      <c r="R341" s="6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ht="15.75" customHeight="1">
      <c r="A342" s="3" t="s">
        <v>318</v>
      </c>
      <c r="B342" s="3" t="s">
        <v>319</v>
      </c>
      <c r="C342" s="3" t="s">
        <v>19</v>
      </c>
      <c r="D342" s="3" t="s">
        <v>320</v>
      </c>
      <c r="E342" s="3" t="s">
        <v>321</v>
      </c>
      <c r="F342" s="3">
        <v>1.0</v>
      </c>
      <c r="G342" s="4">
        <v>-27.66678</v>
      </c>
      <c r="H342" s="4">
        <v>-48.49041</v>
      </c>
      <c r="I342" s="5">
        <v>1.0</v>
      </c>
      <c r="J342" s="5" t="s">
        <v>104</v>
      </c>
      <c r="K342" s="12" t="s">
        <v>104</v>
      </c>
      <c r="L342" s="3"/>
      <c r="M342" s="5">
        <v>8.0</v>
      </c>
      <c r="N342" s="5" t="s">
        <v>322</v>
      </c>
      <c r="O342" s="5"/>
      <c r="P342" s="3"/>
      <c r="Q342" s="3"/>
      <c r="R342" s="6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ht="15.75" customHeight="1">
      <c r="A343" s="3" t="s">
        <v>318</v>
      </c>
      <c r="B343" s="3" t="s">
        <v>319</v>
      </c>
      <c r="C343" s="3" t="s">
        <v>19</v>
      </c>
      <c r="D343" s="3" t="s">
        <v>320</v>
      </c>
      <c r="E343" s="3" t="s">
        <v>321</v>
      </c>
      <c r="F343" s="3">
        <v>1.0</v>
      </c>
      <c r="G343" s="4">
        <v>-27.66678</v>
      </c>
      <c r="H343" s="4">
        <v>-48.49041</v>
      </c>
      <c r="I343" s="5">
        <v>2.0</v>
      </c>
      <c r="J343" s="5" t="s">
        <v>323</v>
      </c>
      <c r="K343" s="5" t="s">
        <v>323</v>
      </c>
      <c r="L343" s="3"/>
      <c r="M343" s="5">
        <v>6.5</v>
      </c>
      <c r="N343" s="5">
        <v>28.0</v>
      </c>
      <c r="O343" s="5"/>
      <c r="P343" s="3"/>
      <c r="Q343" s="3"/>
      <c r="R343" s="6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ht="15.75" customHeight="1">
      <c r="A344" s="3" t="s">
        <v>318</v>
      </c>
      <c r="B344" s="3" t="s">
        <v>319</v>
      </c>
      <c r="C344" s="3" t="s">
        <v>19</v>
      </c>
      <c r="D344" s="3" t="s">
        <v>320</v>
      </c>
      <c r="E344" s="3" t="s">
        <v>321</v>
      </c>
      <c r="F344" s="3">
        <v>1.0</v>
      </c>
      <c r="G344" s="4">
        <v>-27.66678</v>
      </c>
      <c r="H344" s="4">
        <v>-48.49041</v>
      </c>
      <c r="I344" s="5">
        <v>3.0</v>
      </c>
      <c r="J344" s="5" t="s">
        <v>324</v>
      </c>
      <c r="K344" s="5" t="s">
        <v>324</v>
      </c>
      <c r="L344" s="3"/>
      <c r="M344" s="5">
        <v>8.0</v>
      </c>
      <c r="N344" s="5">
        <v>47.0</v>
      </c>
      <c r="O344" s="5"/>
      <c r="P344" s="3"/>
      <c r="Q344" s="3"/>
      <c r="R344" s="6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ht="15.75" customHeight="1">
      <c r="A345" s="3" t="s">
        <v>318</v>
      </c>
      <c r="B345" s="3" t="s">
        <v>319</v>
      </c>
      <c r="C345" s="3" t="s">
        <v>19</v>
      </c>
      <c r="D345" s="3" t="s">
        <v>320</v>
      </c>
      <c r="E345" s="3" t="s">
        <v>321</v>
      </c>
      <c r="F345" s="3">
        <v>1.0</v>
      </c>
      <c r="G345" s="4">
        <v>-27.66678</v>
      </c>
      <c r="H345" s="4">
        <v>-48.49041</v>
      </c>
      <c r="I345" s="5">
        <v>4.0</v>
      </c>
      <c r="J345" s="5" t="s">
        <v>104</v>
      </c>
      <c r="K345" s="5" t="s">
        <v>104</v>
      </c>
      <c r="L345" s="3"/>
      <c r="M345" s="5">
        <v>10.0</v>
      </c>
      <c r="N345" s="5">
        <v>35.0</v>
      </c>
      <c r="O345" s="5"/>
      <c r="P345" s="3"/>
      <c r="Q345" s="3"/>
      <c r="R345" s="6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ht="15.75" customHeight="1">
      <c r="A346" s="3" t="s">
        <v>318</v>
      </c>
      <c r="B346" s="3" t="s">
        <v>319</v>
      </c>
      <c r="C346" s="3" t="s">
        <v>19</v>
      </c>
      <c r="D346" s="3" t="s">
        <v>320</v>
      </c>
      <c r="E346" s="3" t="s">
        <v>321</v>
      </c>
      <c r="F346" s="3">
        <v>1.0</v>
      </c>
      <c r="G346" s="4">
        <v>-27.66678</v>
      </c>
      <c r="H346" s="4">
        <v>-48.49041</v>
      </c>
      <c r="I346" s="5">
        <v>5.0</v>
      </c>
      <c r="J346" s="5" t="s">
        <v>34</v>
      </c>
      <c r="K346" s="5" t="s">
        <v>34</v>
      </c>
      <c r="L346" s="3"/>
      <c r="M346" s="5">
        <v>6.0</v>
      </c>
      <c r="N346" s="5">
        <v>17.0</v>
      </c>
      <c r="O346" s="5"/>
      <c r="P346" s="3"/>
      <c r="Q346" s="3"/>
      <c r="R346" s="6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ht="15.75" customHeight="1">
      <c r="A347" s="3" t="s">
        <v>318</v>
      </c>
      <c r="B347" s="3" t="s">
        <v>319</v>
      </c>
      <c r="C347" s="3" t="s">
        <v>19</v>
      </c>
      <c r="D347" s="3" t="s">
        <v>320</v>
      </c>
      <c r="E347" s="3" t="s">
        <v>321</v>
      </c>
      <c r="F347" s="3">
        <v>1.0</v>
      </c>
      <c r="G347" s="4">
        <v>-27.66678</v>
      </c>
      <c r="H347" s="4">
        <v>-48.49041</v>
      </c>
      <c r="I347" s="5">
        <v>6.0</v>
      </c>
      <c r="J347" s="5" t="s">
        <v>323</v>
      </c>
      <c r="K347" s="5" t="s">
        <v>323</v>
      </c>
      <c r="L347" s="3"/>
      <c r="M347" s="5">
        <v>8.0</v>
      </c>
      <c r="N347" s="5">
        <v>27.0</v>
      </c>
      <c r="O347" s="5"/>
      <c r="P347" s="3"/>
      <c r="Q347" s="3"/>
      <c r="R347" s="6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ht="15.75" customHeight="1">
      <c r="A348" s="3" t="s">
        <v>318</v>
      </c>
      <c r="B348" s="3" t="s">
        <v>319</v>
      </c>
      <c r="C348" s="3" t="s">
        <v>19</v>
      </c>
      <c r="D348" s="3" t="s">
        <v>320</v>
      </c>
      <c r="E348" s="3" t="s">
        <v>321</v>
      </c>
      <c r="F348" s="3">
        <v>1.0</v>
      </c>
      <c r="G348" s="4">
        <v>-27.66678</v>
      </c>
      <c r="H348" s="4">
        <v>-48.49041</v>
      </c>
      <c r="I348" s="5">
        <v>7.0</v>
      </c>
      <c r="J348" s="5" t="s">
        <v>104</v>
      </c>
      <c r="K348" s="5" t="s">
        <v>104</v>
      </c>
      <c r="L348" s="3"/>
      <c r="M348" s="5">
        <v>10.0</v>
      </c>
      <c r="N348" s="5">
        <v>25.5</v>
      </c>
      <c r="O348" s="5"/>
      <c r="P348" s="3"/>
      <c r="Q348" s="3"/>
      <c r="R348" s="6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ht="15.75" customHeight="1">
      <c r="A349" s="3" t="s">
        <v>318</v>
      </c>
      <c r="B349" s="3" t="s">
        <v>319</v>
      </c>
      <c r="C349" s="3" t="s">
        <v>19</v>
      </c>
      <c r="D349" s="3" t="s">
        <v>320</v>
      </c>
      <c r="E349" s="3" t="s">
        <v>321</v>
      </c>
      <c r="F349" s="3">
        <v>1.0</v>
      </c>
      <c r="G349" s="4">
        <v>-27.66678</v>
      </c>
      <c r="H349" s="4">
        <v>-48.49041</v>
      </c>
      <c r="I349" s="5">
        <v>8.0</v>
      </c>
      <c r="J349" s="5" t="s">
        <v>323</v>
      </c>
      <c r="K349" s="5" t="s">
        <v>323</v>
      </c>
      <c r="L349" s="3"/>
      <c r="M349" s="5">
        <v>9.0</v>
      </c>
      <c r="N349" s="5" t="s">
        <v>325</v>
      </c>
      <c r="O349" s="5"/>
      <c r="P349" s="3"/>
      <c r="Q349" s="3"/>
      <c r="R349" s="6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ht="15.75" customHeight="1">
      <c r="A350" s="3" t="s">
        <v>318</v>
      </c>
      <c r="B350" s="3" t="s">
        <v>319</v>
      </c>
      <c r="C350" s="3" t="s">
        <v>19</v>
      </c>
      <c r="D350" s="3" t="s">
        <v>320</v>
      </c>
      <c r="E350" s="3" t="s">
        <v>321</v>
      </c>
      <c r="F350" s="3">
        <v>1.0</v>
      </c>
      <c r="G350" s="4">
        <v>-27.66678</v>
      </c>
      <c r="H350" s="4">
        <v>-48.49041</v>
      </c>
      <c r="I350" s="5">
        <v>9.0</v>
      </c>
      <c r="J350" s="5" t="s">
        <v>323</v>
      </c>
      <c r="K350" s="5" t="s">
        <v>323</v>
      </c>
      <c r="L350" s="3"/>
      <c r="M350" s="5">
        <v>8.0</v>
      </c>
      <c r="N350" s="5">
        <v>25.0</v>
      </c>
      <c r="O350" s="5"/>
      <c r="P350" s="3"/>
      <c r="Q350" s="3"/>
      <c r="R350" s="6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ht="15.75" customHeight="1">
      <c r="A351" s="3" t="s">
        <v>318</v>
      </c>
      <c r="B351" s="3" t="s">
        <v>319</v>
      </c>
      <c r="C351" s="3" t="s">
        <v>19</v>
      </c>
      <c r="D351" s="3" t="s">
        <v>320</v>
      </c>
      <c r="E351" s="3" t="s">
        <v>321</v>
      </c>
      <c r="F351" s="3">
        <v>1.0</v>
      </c>
      <c r="G351" s="4">
        <v>-27.66678</v>
      </c>
      <c r="H351" s="4">
        <v>-48.49041</v>
      </c>
      <c r="I351" s="5">
        <v>10.0</v>
      </c>
      <c r="J351" s="5" t="s">
        <v>326</v>
      </c>
      <c r="K351" s="5" t="s">
        <v>326</v>
      </c>
      <c r="L351" s="3"/>
      <c r="M351" s="5">
        <v>4.0</v>
      </c>
      <c r="N351" s="5">
        <v>17.0</v>
      </c>
      <c r="O351" s="5"/>
      <c r="P351" s="3" t="s">
        <v>90</v>
      </c>
      <c r="Q351" s="3"/>
      <c r="R351" s="6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ht="15.75" customHeight="1">
      <c r="A352" s="3" t="s">
        <v>318</v>
      </c>
      <c r="B352" s="3" t="s">
        <v>319</v>
      </c>
      <c r="C352" s="3" t="s">
        <v>19</v>
      </c>
      <c r="D352" s="3" t="s">
        <v>320</v>
      </c>
      <c r="E352" s="3" t="s">
        <v>321</v>
      </c>
      <c r="F352" s="3">
        <v>1.0</v>
      </c>
      <c r="G352" s="4">
        <v>-27.66678</v>
      </c>
      <c r="H352" s="4">
        <v>-48.49041</v>
      </c>
      <c r="I352" s="5">
        <v>11.0</v>
      </c>
      <c r="J352" s="5" t="s">
        <v>100</v>
      </c>
      <c r="K352" s="5" t="s">
        <v>100</v>
      </c>
      <c r="L352" s="3"/>
      <c r="M352" s="5">
        <v>7.0</v>
      </c>
      <c r="N352" s="5">
        <v>40.0</v>
      </c>
      <c r="O352" s="5"/>
      <c r="P352" s="3"/>
      <c r="Q352" s="3"/>
      <c r="R352" s="6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ht="15.75" customHeight="1">
      <c r="A353" s="3" t="s">
        <v>318</v>
      </c>
      <c r="B353" s="3" t="s">
        <v>319</v>
      </c>
      <c r="C353" s="3" t="s">
        <v>19</v>
      </c>
      <c r="D353" s="3" t="s">
        <v>320</v>
      </c>
      <c r="E353" s="3" t="s">
        <v>321</v>
      </c>
      <c r="F353" s="3">
        <v>1.0</v>
      </c>
      <c r="G353" s="4">
        <v>-27.66678</v>
      </c>
      <c r="H353" s="4">
        <v>-48.49041</v>
      </c>
      <c r="I353" s="5">
        <v>12.0</v>
      </c>
      <c r="J353" s="5" t="s">
        <v>323</v>
      </c>
      <c r="K353" s="5" t="s">
        <v>323</v>
      </c>
      <c r="L353" s="3"/>
      <c r="M353" s="5">
        <v>8.0</v>
      </c>
      <c r="N353" s="5" t="s">
        <v>327</v>
      </c>
      <c r="O353" s="5"/>
      <c r="P353" s="3"/>
      <c r="Q353" s="3"/>
      <c r="R353" s="6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ht="15.75" customHeight="1">
      <c r="A354" s="3" t="s">
        <v>318</v>
      </c>
      <c r="B354" s="3" t="s">
        <v>319</v>
      </c>
      <c r="C354" s="3" t="s">
        <v>19</v>
      </c>
      <c r="D354" s="3" t="s">
        <v>320</v>
      </c>
      <c r="E354" s="3" t="s">
        <v>321</v>
      </c>
      <c r="F354" s="3">
        <v>1.0</v>
      </c>
      <c r="G354" s="4">
        <v>-27.66678</v>
      </c>
      <c r="H354" s="4">
        <v>-48.49041</v>
      </c>
      <c r="I354" s="5">
        <v>13.0</v>
      </c>
      <c r="J354" s="5" t="s">
        <v>323</v>
      </c>
      <c r="K354" s="5" t="s">
        <v>323</v>
      </c>
      <c r="L354" s="3"/>
      <c r="M354" s="5">
        <v>7.0</v>
      </c>
      <c r="N354" s="5">
        <v>20.0</v>
      </c>
      <c r="O354" s="5"/>
      <c r="P354" s="3"/>
      <c r="Q354" s="3"/>
      <c r="R354" s="6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ht="15.75" customHeight="1">
      <c r="A355" s="3" t="s">
        <v>318</v>
      </c>
      <c r="B355" s="3" t="s">
        <v>319</v>
      </c>
      <c r="C355" s="3" t="s">
        <v>19</v>
      </c>
      <c r="D355" s="3" t="s">
        <v>320</v>
      </c>
      <c r="E355" s="3" t="s">
        <v>321</v>
      </c>
      <c r="F355" s="3">
        <v>1.0</v>
      </c>
      <c r="G355" s="4">
        <v>-27.66678</v>
      </c>
      <c r="H355" s="4">
        <v>-48.49041</v>
      </c>
      <c r="I355" s="5">
        <v>14.0</v>
      </c>
      <c r="J355" s="5" t="s">
        <v>57</v>
      </c>
      <c r="K355" s="5" t="s">
        <v>57</v>
      </c>
      <c r="L355" s="3" t="s">
        <v>64</v>
      </c>
      <c r="M355" s="5">
        <v>13.0</v>
      </c>
      <c r="N355" s="5">
        <v>99.5</v>
      </c>
      <c r="O355" s="5" t="s">
        <v>328</v>
      </c>
      <c r="P355" s="3"/>
      <c r="Q355" s="3"/>
      <c r="R355" s="6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15.75" customHeight="1">
      <c r="A356" s="3" t="s">
        <v>318</v>
      </c>
      <c r="B356" s="3" t="s">
        <v>319</v>
      </c>
      <c r="C356" s="3" t="s">
        <v>19</v>
      </c>
      <c r="D356" s="3" t="s">
        <v>320</v>
      </c>
      <c r="E356" s="3" t="s">
        <v>321</v>
      </c>
      <c r="F356" s="3">
        <v>1.0</v>
      </c>
      <c r="G356" s="4">
        <v>-27.66678</v>
      </c>
      <c r="H356" s="4">
        <v>-48.49041</v>
      </c>
      <c r="I356" s="5">
        <v>15.0</v>
      </c>
      <c r="J356" s="5" t="s">
        <v>329</v>
      </c>
      <c r="K356" s="5" t="s">
        <v>329</v>
      </c>
      <c r="L356" s="3" t="s">
        <v>64</v>
      </c>
      <c r="M356" s="5">
        <v>6.0</v>
      </c>
      <c r="N356" s="5">
        <v>17.0</v>
      </c>
      <c r="O356" s="5" t="s">
        <v>330</v>
      </c>
      <c r="P356" s="3"/>
      <c r="Q356" s="3" t="s">
        <v>331</v>
      </c>
      <c r="R356" s="6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ht="15.75" customHeight="1">
      <c r="A357" s="3" t="s">
        <v>318</v>
      </c>
      <c r="B357" s="3" t="s">
        <v>319</v>
      </c>
      <c r="C357" s="3" t="s">
        <v>19</v>
      </c>
      <c r="D357" s="3" t="s">
        <v>320</v>
      </c>
      <c r="E357" s="3" t="s">
        <v>321</v>
      </c>
      <c r="F357" s="3">
        <v>1.0</v>
      </c>
      <c r="G357" s="4">
        <v>-27.66678</v>
      </c>
      <c r="H357" s="4">
        <v>-48.49041</v>
      </c>
      <c r="I357" s="5">
        <v>16.0</v>
      </c>
      <c r="J357" s="5" t="s">
        <v>57</v>
      </c>
      <c r="K357" s="5" t="s">
        <v>57</v>
      </c>
      <c r="L357" s="3"/>
      <c r="M357" s="5">
        <v>14.0</v>
      </c>
      <c r="N357" s="5" t="s">
        <v>332</v>
      </c>
      <c r="O357" s="5"/>
      <c r="P357" s="3" t="s">
        <v>90</v>
      </c>
      <c r="Q357" s="3"/>
      <c r="R357" s="6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ht="15.75" customHeight="1">
      <c r="A358" s="3" t="s">
        <v>318</v>
      </c>
      <c r="B358" s="3" t="s">
        <v>319</v>
      </c>
      <c r="C358" s="3" t="s">
        <v>19</v>
      </c>
      <c r="D358" s="3" t="s">
        <v>320</v>
      </c>
      <c r="E358" s="3" t="s">
        <v>321</v>
      </c>
      <c r="F358" s="3">
        <v>1.0</v>
      </c>
      <c r="G358" s="4">
        <v>-27.66678</v>
      </c>
      <c r="H358" s="4">
        <v>-48.49041</v>
      </c>
      <c r="I358" s="5">
        <v>17.0</v>
      </c>
      <c r="J358" s="5" t="s">
        <v>323</v>
      </c>
      <c r="K358" s="5" t="s">
        <v>323</v>
      </c>
      <c r="L358" s="3"/>
      <c r="M358" s="5">
        <v>10.0</v>
      </c>
      <c r="N358" s="5">
        <v>20.5</v>
      </c>
      <c r="O358" s="5"/>
      <c r="P358" s="3"/>
      <c r="Q358" s="3"/>
      <c r="R358" s="6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ht="15.75" customHeight="1">
      <c r="A359" s="3" t="s">
        <v>318</v>
      </c>
      <c r="B359" s="3" t="s">
        <v>319</v>
      </c>
      <c r="C359" s="3" t="s">
        <v>19</v>
      </c>
      <c r="D359" s="3" t="s">
        <v>320</v>
      </c>
      <c r="E359" s="3" t="s">
        <v>321</v>
      </c>
      <c r="F359" s="3">
        <v>1.0</v>
      </c>
      <c r="G359" s="4">
        <v>-27.66678</v>
      </c>
      <c r="H359" s="4">
        <v>-48.49041</v>
      </c>
      <c r="I359" s="5">
        <v>18.0</v>
      </c>
      <c r="J359" s="5" t="s">
        <v>323</v>
      </c>
      <c r="K359" s="5" t="s">
        <v>323</v>
      </c>
      <c r="L359" s="3"/>
      <c r="M359" s="5">
        <v>7.0</v>
      </c>
      <c r="N359" s="5" t="s">
        <v>333</v>
      </c>
      <c r="O359" s="5"/>
      <c r="P359" s="3"/>
      <c r="Q359" s="3"/>
      <c r="R359" s="6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ht="15.75" customHeight="1">
      <c r="A360" s="3" t="s">
        <v>318</v>
      </c>
      <c r="B360" s="3" t="s">
        <v>319</v>
      </c>
      <c r="C360" s="3" t="s">
        <v>19</v>
      </c>
      <c r="D360" s="3" t="s">
        <v>320</v>
      </c>
      <c r="E360" s="3" t="s">
        <v>321</v>
      </c>
      <c r="F360" s="3">
        <v>1.0</v>
      </c>
      <c r="G360" s="4">
        <v>-27.66678</v>
      </c>
      <c r="H360" s="4">
        <v>-48.49041</v>
      </c>
      <c r="I360" s="5">
        <v>19.0</v>
      </c>
      <c r="J360" s="5" t="s">
        <v>323</v>
      </c>
      <c r="K360" s="5" t="s">
        <v>323</v>
      </c>
      <c r="L360" s="3"/>
      <c r="M360" s="5">
        <v>6.0</v>
      </c>
      <c r="N360" s="5">
        <v>17.5</v>
      </c>
      <c r="O360" s="5"/>
      <c r="P360" s="3"/>
      <c r="Q360" s="3"/>
      <c r="R360" s="6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ht="15.75" customHeight="1">
      <c r="A361" s="3" t="s">
        <v>318</v>
      </c>
      <c r="B361" s="3" t="s">
        <v>319</v>
      </c>
      <c r="C361" s="3" t="s">
        <v>19</v>
      </c>
      <c r="D361" s="3" t="s">
        <v>320</v>
      </c>
      <c r="E361" s="3" t="s">
        <v>321</v>
      </c>
      <c r="F361" s="3">
        <v>1.0</v>
      </c>
      <c r="G361" s="4">
        <v>-27.66678</v>
      </c>
      <c r="H361" s="4">
        <v>-48.49041</v>
      </c>
      <c r="I361" s="5">
        <v>20.0</v>
      </c>
      <c r="J361" s="5" t="s">
        <v>323</v>
      </c>
      <c r="K361" s="5" t="s">
        <v>323</v>
      </c>
      <c r="L361" s="3"/>
      <c r="M361" s="5">
        <v>8.0</v>
      </c>
      <c r="N361" s="5" t="s">
        <v>334</v>
      </c>
      <c r="O361" s="5"/>
      <c r="P361" s="3"/>
      <c r="Q361" s="3"/>
      <c r="R361" s="6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ht="15.75" customHeight="1">
      <c r="A362" s="3" t="s">
        <v>318</v>
      </c>
      <c r="B362" s="3" t="s">
        <v>319</v>
      </c>
      <c r="C362" s="3" t="s">
        <v>19</v>
      </c>
      <c r="D362" s="3" t="s">
        <v>320</v>
      </c>
      <c r="E362" s="3" t="s">
        <v>321</v>
      </c>
      <c r="F362" s="3">
        <v>1.0</v>
      </c>
      <c r="G362" s="4">
        <v>-27.66678</v>
      </c>
      <c r="H362" s="4">
        <v>-48.49041</v>
      </c>
      <c r="I362" s="5">
        <v>21.0</v>
      </c>
      <c r="J362" s="5" t="s">
        <v>335</v>
      </c>
      <c r="K362" s="5" t="s">
        <v>335</v>
      </c>
      <c r="L362" s="3"/>
      <c r="M362" s="5">
        <v>12.0</v>
      </c>
      <c r="N362" s="5">
        <v>43.0</v>
      </c>
      <c r="O362" s="5" t="s">
        <v>336</v>
      </c>
      <c r="P362" s="3"/>
      <c r="Q362" s="3"/>
      <c r="R362" s="6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ht="15.75" customHeight="1">
      <c r="A363" s="3" t="s">
        <v>318</v>
      </c>
      <c r="B363" s="3" t="s">
        <v>319</v>
      </c>
      <c r="C363" s="3" t="s">
        <v>19</v>
      </c>
      <c r="D363" s="3" t="s">
        <v>320</v>
      </c>
      <c r="E363" s="3" t="s">
        <v>321</v>
      </c>
      <c r="F363" s="3">
        <v>1.0</v>
      </c>
      <c r="G363" s="4">
        <v>-27.66678</v>
      </c>
      <c r="H363" s="4">
        <v>-48.49041</v>
      </c>
      <c r="I363" s="5">
        <v>22.0</v>
      </c>
      <c r="J363" s="5" t="s">
        <v>323</v>
      </c>
      <c r="K363" s="5" t="s">
        <v>323</v>
      </c>
      <c r="L363" s="3"/>
      <c r="M363" s="5">
        <v>7.0</v>
      </c>
      <c r="N363" s="5" t="s">
        <v>337</v>
      </c>
      <c r="O363" s="5"/>
      <c r="P363" s="3"/>
      <c r="Q363" s="3"/>
      <c r="R363" s="6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ht="15.75" customHeight="1">
      <c r="A364" s="3" t="s">
        <v>318</v>
      </c>
      <c r="B364" s="3" t="s">
        <v>319</v>
      </c>
      <c r="C364" s="3" t="s">
        <v>19</v>
      </c>
      <c r="D364" s="3" t="s">
        <v>320</v>
      </c>
      <c r="E364" s="3" t="s">
        <v>338</v>
      </c>
      <c r="F364" s="3">
        <v>1.0</v>
      </c>
      <c r="G364" s="4">
        <v>-27.66678</v>
      </c>
      <c r="H364" s="4">
        <v>-48.49041</v>
      </c>
      <c r="I364" s="5">
        <v>23.0</v>
      </c>
      <c r="J364" s="5" t="s">
        <v>323</v>
      </c>
      <c r="K364" s="5" t="s">
        <v>323</v>
      </c>
      <c r="L364" s="3"/>
      <c r="M364" s="5">
        <v>7.0</v>
      </c>
      <c r="N364" s="5">
        <v>17.5</v>
      </c>
      <c r="O364" s="5"/>
      <c r="P364" s="3"/>
      <c r="Q364" s="3"/>
      <c r="R364" s="6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ht="15.75" customHeight="1">
      <c r="A365" s="3" t="s">
        <v>318</v>
      </c>
      <c r="B365" s="3" t="s">
        <v>319</v>
      </c>
      <c r="C365" s="3" t="s">
        <v>19</v>
      </c>
      <c r="D365" s="3" t="s">
        <v>320</v>
      </c>
      <c r="E365" s="3" t="s">
        <v>338</v>
      </c>
      <c r="F365" s="3">
        <v>2.0</v>
      </c>
      <c r="G365" s="4">
        <v>-27.66647</v>
      </c>
      <c r="H365" s="4">
        <v>-48.49067</v>
      </c>
      <c r="I365" s="5">
        <v>1.0</v>
      </c>
      <c r="J365" s="5" t="s">
        <v>324</v>
      </c>
      <c r="K365" s="5" t="s">
        <v>324</v>
      </c>
      <c r="L365" s="3"/>
      <c r="M365" s="5">
        <v>7.0</v>
      </c>
      <c r="N365" s="5">
        <v>26.5</v>
      </c>
      <c r="O365" s="5"/>
      <c r="P365" s="3"/>
      <c r="Q365" s="3"/>
      <c r="R365" s="6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ht="15.75" customHeight="1">
      <c r="A366" s="3" t="s">
        <v>318</v>
      </c>
      <c r="B366" s="3" t="s">
        <v>319</v>
      </c>
      <c r="C366" s="3" t="s">
        <v>19</v>
      </c>
      <c r="D366" s="3" t="s">
        <v>320</v>
      </c>
      <c r="E366" s="3" t="s">
        <v>338</v>
      </c>
      <c r="F366" s="3">
        <v>2.0</v>
      </c>
      <c r="G366" s="4">
        <v>-27.66647</v>
      </c>
      <c r="H366" s="4">
        <v>-48.49067</v>
      </c>
      <c r="I366" s="5">
        <v>2.0</v>
      </c>
      <c r="J366" s="5" t="s">
        <v>339</v>
      </c>
      <c r="K366" s="5" t="s">
        <v>339</v>
      </c>
      <c r="L366" s="3" t="s">
        <v>64</v>
      </c>
      <c r="M366" s="5">
        <v>5.0</v>
      </c>
      <c r="N366" s="5">
        <v>16.0</v>
      </c>
      <c r="O366" s="5" t="s">
        <v>340</v>
      </c>
      <c r="P366" s="3"/>
      <c r="Q366" s="3"/>
      <c r="R366" s="6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ht="15.75" customHeight="1">
      <c r="A367" s="3" t="s">
        <v>318</v>
      </c>
      <c r="B367" s="3" t="s">
        <v>319</v>
      </c>
      <c r="C367" s="3" t="s">
        <v>19</v>
      </c>
      <c r="D367" s="3" t="s">
        <v>320</v>
      </c>
      <c r="E367" s="3" t="s">
        <v>338</v>
      </c>
      <c r="F367" s="3">
        <v>2.0</v>
      </c>
      <c r="G367" s="4">
        <v>-27.66647</v>
      </c>
      <c r="H367" s="4">
        <v>-48.49067</v>
      </c>
      <c r="I367" s="5">
        <v>3.0</v>
      </c>
      <c r="J367" s="5" t="s">
        <v>341</v>
      </c>
      <c r="K367" s="5" t="s">
        <v>71</v>
      </c>
      <c r="L367" s="3" t="s">
        <v>64</v>
      </c>
      <c r="M367" s="5">
        <v>9.0</v>
      </c>
      <c r="N367" s="5">
        <v>36.0</v>
      </c>
      <c r="O367" s="5" t="s">
        <v>342</v>
      </c>
      <c r="P367" s="3"/>
      <c r="Q367" s="3"/>
      <c r="R367" s="6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ht="15.75" customHeight="1">
      <c r="A368" s="3" t="s">
        <v>318</v>
      </c>
      <c r="B368" s="3" t="s">
        <v>319</v>
      </c>
      <c r="C368" s="3" t="s">
        <v>19</v>
      </c>
      <c r="D368" s="3" t="s">
        <v>320</v>
      </c>
      <c r="E368" s="3" t="s">
        <v>338</v>
      </c>
      <c r="F368" s="3">
        <v>2.0</v>
      </c>
      <c r="G368" s="4">
        <v>-27.66647</v>
      </c>
      <c r="H368" s="4">
        <v>-48.49067</v>
      </c>
      <c r="I368" s="5">
        <v>4.0</v>
      </c>
      <c r="J368" s="5" t="s">
        <v>324</v>
      </c>
      <c r="K368" s="5" t="s">
        <v>324</v>
      </c>
      <c r="L368" s="3"/>
      <c r="M368" s="5">
        <v>10.0</v>
      </c>
      <c r="N368" s="5" t="s">
        <v>343</v>
      </c>
      <c r="O368" s="5"/>
      <c r="P368" s="3"/>
      <c r="Q368" s="3"/>
      <c r="R368" s="6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15.75" customHeight="1">
      <c r="A369" s="3" t="s">
        <v>318</v>
      </c>
      <c r="B369" s="3" t="s">
        <v>319</v>
      </c>
      <c r="C369" s="3" t="s">
        <v>19</v>
      </c>
      <c r="D369" s="3" t="s">
        <v>320</v>
      </c>
      <c r="E369" s="3" t="s">
        <v>338</v>
      </c>
      <c r="F369" s="3">
        <v>2.0</v>
      </c>
      <c r="G369" s="4">
        <v>-27.66647</v>
      </c>
      <c r="H369" s="4">
        <v>-48.49067</v>
      </c>
      <c r="I369" s="5">
        <v>5.0</v>
      </c>
      <c r="J369" s="5" t="s">
        <v>341</v>
      </c>
      <c r="K369" s="5" t="s">
        <v>71</v>
      </c>
      <c r="L369" s="3" t="s">
        <v>64</v>
      </c>
      <c r="M369" s="5">
        <v>7.0</v>
      </c>
      <c r="N369" s="5">
        <v>15.5</v>
      </c>
      <c r="O369" s="5" t="s">
        <v>344</v>
      </c>
      <c r="P369" s="3"/>
      <c r="Q369" s="3"/>
      <c r="R369" s="6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ht="15.75" customHeight="1">
      <c r="A370" s="3" t="s">
        <v>318</v>
      </c>
      <c r="B370" s="3" t="s">
        <v>319</v>
      </c>
      <c r="C370" s="3" t="s">
        <v>19</v>
      </c>
      <c r="D370" s="3" t="s">
        <v>320</v>
      </c>
      <c r="E370" s="3" t="s">
        <v>338</v>
      </c>
      <c r="F370" s="3">
        <v>2.0</v>
      </c>
      <c r="G370" s="4">
        <v>-27.66647</v>
      </c>
      <c r="H370" s="4">
        <v>-48.49067</v>
      </c>
      <c r="I370" s="5">
        <v>6.0</v>
      </c>
      <c r="J370" s="5" t="s">
        <v>98</v>
      </c>
      <c r="K370" s="5" t="s">
        <v>98</v>
      </c>
      <c r="L370" s="3"/>
      <c r="M370" s="5">
        <v>10.0</v>
      </c>
      <c r="N370" s="5" t="s">
        <v>345</v>
      </c>
      <c r="O370" s="5"/>
      <c r="P370" s="3"/>
      <c r="Q370" s="3"/>
      <c r="R370" s="6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ht="15.75" customHeight="1">
      <c r="A371" s="3" t="s">
        <v>318</v>
      </c>
      <c r="B371" s="3" t="s">
        <v>319</v>
      </c>
      <c r="C371" s="3" t="s">
        <v>19</v>
      </c>
      <c r="D371" s="3" t="s">
        <v>320</v>
      </c>
      <c r="E371" s="3" t="s">
        <v>338</v>
      </c>
      <c r="F371" s="3">
        <v>2.0</v>
      </c>
      <c r="G371" s="4">
        <v>-27.66647</v>
      </c>
      <c r="H371" s="4">
        <v>-48.49067</v>
      </c>
      <c r="I371" s="5">
        <v>7.0</v>
      </c>
      <c r="J371" s="5" t="s">
        <v>324</v>
      </c>
      <c r="K371" s="5" t="s">
        <v>324</v>
      </c>
      <c r="L371" s="3"/>
      <c r="M371" s="5">
        <v>9.0</v>
      </c>
      <c r="N371" s="5">
        <v>34.0</v>
      </c>
      <c r="O371" s="3"/>
      <c r="P371" s="3"/>
      <c r="Q371" s="5" t="s">
        <v>346</v>
      </c>
      <c r="R371" s="6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ht="15.75" customHeight="1">
      <c r="A372" s="3" t="s">
        <v>318</v>
      </c>
      <c r="B372" s="3" t="s">
        <v>319</v>
      </c>
      <c r="C372" s="3" t="s">
        <v>19</v>
      </c>
      <c r="D372" s="3" t="s">
        <v>320</v>
      </c>
      <c r="E372" s="3" t="s">
        <v>338</v>
      </c>
      <c r="F372" s="3">
        <v>2.0</v>
      </c>
      <c r="G372" s="4">
        <v>-27.66647</v>
      </c>
      <c r="H372" s="4">
        <v>-48.49067</v>
      </c>
      <c r="I372" s="5">
        <v>8.0</v>
      </c>
      <c r="J372" s="5" t="s">
        <v>104</v>
      </c>
      <c r="K372" s="5" t="s">
        <v>104</v>
      </c>
      <c r="L372" s="3"/>
      <c r="M372" s="5">
        <v>9.0</v>
      </c>
      <c r="N372" s="5" t="s">
        <v>347</v>
      </c>
      <c r="O372" s="5"/>
      <c r="P372" s="3"/>
      <c r="Q372" s="3"/>
      <c r="R372" s="6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ht="15.75" customHeight="1">
      <c r="A373" s="3" t="s">
        <v>318</v>
      </c>
      <c r="B373" s="3" t="s">
        <v>319</v>
      </c>
      <c r="C373" s="3" t="s">
        <v>19</v>
      </c>
      <c r="D373" s="3" t="s">
        <v>320</v>
      </c>
      <c r="E373" s="3" t="s">
        <v>338</v>
      </c>
      <c r="F373" s="3">
        <v>2.0</v>
      </c>
      <c r="G373" s="4">
        <v>-27.66647</v>
      </c>
      <c r="H373" s="4">
        <v>-48.49067</v>
      </c>
      <c r="I373" s="5">
        <v>9.0</v>
      </c>
      <c r="J373" s="5" t="s">
        <v>31</v>
      </c>
      <c r="K373" s="5" t="s">
        <v>31</v>
      </c>
      <c r="L373" s="3"/>
      <c r="M373" s="5">
        <v>7.0</v>
      </c>
      <c r="N373" s="5">
        <v>20.0</v>
      </c>
      <c r="O373" s="5"/>
      <c r="P373" s="3"/>
      <c r="Q373" s="3"/>
      <c r="R373" s="6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ht="15.75" customHeight="1">
      <c r="A374" s="3" t="s">
        <v>318</v>
      </c>
      <c r="B374" s="3" t="s">
        <v>319</v>
      </c>
      <c r="C374" s="3" t="s">
        <v>19</v>
      </c>
      <c r="D374" s="3" t="s">
        <v>320</v>
      </c>
      <c r="E374" s="3" t="s">
        <v>338</v>
      </c>
      <c r="F374" s="3">
        <v>2.0</v>
      </c>
      <c r="G374" s="4">
        <v>-27.66647</v>
      </c>
      <c r="H374" s="4">
        <v>-48.49067</v>
      </c>
      <c r="I374" s="5">
        <v>10.0</v>
      </c>
      <c r="J374" s="5" t="s">
        <v>329</v>
      </c>
      <c r="K374" s="5" t="s">
        <v>329</v>
      </c>
      <c r="L374" s="3" t="s">
        <v>64</v>
      </c>
      <c r="M374" s="5">
        <v>6.0</v>
      </c>
      <c r="N374" s="5">
        <v>16.5</v>
      </c>
      <c r="O374" s="5" t="s">
        <v>348</v>
      </c>
      <c r="P374" s="3"/>
      <c r="Q374" s="3"/>
      <c r="R374" s="6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ht="15.75" customHeight="1">
      <c r="A375" s="3" t="s">
        <v>318</v>
      </c>
      <c r="B375" s="3" t="s">
        <v>319</v>
      </c>
      <c r="C375" s="3" t="s">
        <v>19</v>
      </c>
      <c r="D375" s="3" t="s">
        <v>320</v>
      </c>
      <c r="E375" s="3" t="s">
        <v>338</v>
      </c>
      <c r="F375" s="3">
        <v>2.0</v>
      </c>
      <c r="G375" s="4">
        <v>-27.66647</v>
      </c>
      <c r="H375" s="4">
        <v>-48.49067</v>
      </c>
      <c r="I375" s="5">
        <v>11.0</v>
      </c>
      <c r="J375" s="5" t="s">
        <v>153</v>
      </c>
      <c r="K375" s="5" t="s">
        <v>153</v>
      </c>
      <c r="L375" s="3"/>
      <c r="M375" s="5">
        <v>6.0</v>
      </c>
      <c r="N375" s="5">
        <v>20.5</v>
      </c>
      <c r="O375" s="5"/>
      <c r="P375" s="3"/>
      <c r="Q375" s="3"/>
      <c r="R375" s="6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ht="15.75" customHeight="1">
      <c r="A376" s="3" t="s">
        <v>318</v>
      </c>
      <c r="B376" s="3" t="s">
        <v>319</v>
      </c>
      <c r="C376" s="3" t="s">
        <v>19</v>
      </c>
      <c r="D376" s="3" t="s">
        <v>320</v>
      </c>
      <c r="E376" s="3" t="s">
        <v>338</v>
      </c>
      <c r="F376" s="3">
        <v>2.0</v>
      </c>
      <c r="G376" s="4">
        <v>-27.66647</v>
      </c>
      <c r="H376" s="4">
        <v>-48.49067</v>
      </c>
      <c r="I376" s="5">
        <v>12.0</v>
      </c>
      <c r="J376" s="5" t="s">
        <v>329</v>
      </c>
      <c r="K376" s="5" t="s">
        <v>329</v>
      </c>
      <c r="L376" s="3"/>
      <c r="M376" s="5">
        <v>10.0</v>
      </c>
      <c r="N376" s="5">
        <v>30.0</v>
      </c>
      <c r="O376" s="3"/>
      <c r="P376" s="5" t="s">
        <v>90</v>
      </c>
      <c r="Q376" s="3"/>
      <c r="R376" s="6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ht="15.75" customHeight="1">
      <c r="A377" s="3" t="s">
        <v>318</v>
      </c>
      <c r="B377" s="3" t="s">
        <v>319</v>
      </c>
      <c r="C377" s="3" t="s">
        <v>19</v>
      </c>
      <c r="D377" s="3" t="s">
        <v>320</v>
      </c>
      <c r="E377" s="3" t="s">
        <v>338</v>
      </c>
      <c r="F377" s="3">
        <v>2.0</v>
      </c>
      <c r="G377" s="4">
        <v>-27.66647</v>
      </c>
      <c r="H377" s="4">
        <v>-48.49067</v>
      </c>
      <c r="I377" s="5">
        <v>13.0</v>
      </c>
      <c r="J377" s="5" t="s">
        <v>104</v>
      </c>
      <c r="K377" s="5" t="s">
        <v>104</v>
      </c>
      <c r="L377" s="3"/>
      <c r="M377" s="5">
        <v>7.0</v>
      </c>
      <c r="N377" s="5" t="s">
        <v>349</v>
      </c>
      <c r="O377" s="5"/>
      <c r="P377" s="3"/>
      <c r="Q377" s="3"/>
      <c r="R377" s="6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ht="15.75" customHeight="1">
      <c r="A378" s="3" t="s">
        <v>318</v>
      </c>
      <c r="B378" s="3" t="s">
        <v>319</v>
      </c>
      <c r="C378" s="3" t="s">
        <v>19</v>
      </c>
      <c r="D378" s="3" t="s">
        <v>320</v>
      </c>
      <c r="E378" s="3" t="s">
        <v>338</v>
      </c>
      <c r="F378" s="3">
        <v>2.0</v>
      </c>
      <c r="G378" s="4">
        <v>-27.66647</v>
      </c>
      <c r="H378" s="4">
        <v>-48.49067</v>
      </c>
      <c r="I378" s="5">
        <v>14.0</v>
      </c>
      <c r="J378" s="5" t="s">
        <v>324</v>
      </c>
      <c r="K378" s="5" t="s">
        <v>324</v>
      </c>
      <c r="L378" s="3"/>
      <c r="M378" s="5">
        <v>7.0</v>
      </c>
      <c r="N378" s="5" t="s">
        <v>350</v>
      </c>
      <c r="O378" s="5"/>
      <c r="P378" s="3"/>
      <c r="Q378" s="3"/>
      <c r="R378" s="6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ht="15.75" customHeight="1">
      <c r="A379" s="3" t="s">
        <v>318</v>
      </c>
      <c r="B379" s="3" t="s">
        <v>319</v>
      </c>
      <c r="C379" s="3" t="s">
        <v>19</v>
      </c>
      <c r="D379" s="3" t="s">
        <v>320</v>
      </c>
      <c r="E379" s="3" t="s">
        <v>338</v>
      </c>
      <c r="F379" s="3">
        <v>2.0</v>
      </c>
      <c r="G379" s="4">
        <v>-27.66647</v>
      </c>
      <c r="H379" s="4">
        <v>-48.49067</v>
      </c>
      <c r="I379" s="5">
        <v>15.0</v>
      </c>
      <c r="J379" s="5" t="s">
        <v>31</v>
      </c>
      <c r="K379" s="5" t="s">
        <v>31</v>
      </c>
      <c r="L379" s="3"/>
      <c r="M379" s="5">
        <v>4.0</v>
      </c>
      <c r="N379" s="5">
        <v>18.0</v>
      </c>
      <c r="O379" s="5"/>
      <c r="P379" s="3"/>
      <c r="Q379" s="3"/>
      <c r="R379" s="6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ht="15.75" customHeight="1">
      <c r="A380" s="3" t="s">
        <v>318</v>
      </c>
      <c r="B380" s="3" t="s">
        <v>319</v>
      </c>
      <c r="C380" s="3" t="s">
        <v>19</v>
      </c>
      <c r="D380" s="3" t="s">
        <v>320</v>
      </c>
      <c r="E380" s="3" t="s">
        <v>338</v>
      </c>
      <c r="F380" s="3">
        <v>2.0</v>
      </c>
      <c r="G380" s="4">
        <v>-27.66647</v>
      </c>
      <c r="H380" s="4">
        <v>-48.49067</v>
      </c>
      <c r="I380" s="5">
        <v>16.0</v>
      </c>
      <c r="J380" s="5" t="s">
        <v>329</v>
      </c>
      <c r="K380" s="5" t="s">
        <v>329</v>
      </c>
      <c r="L380" s="3"/>
      <c r="M380" s="5">
        <v>7.0</v>
      </c>
      <c r="N380" s="5">
        <v>21.0</v>
      </c>
      <c r="O380" s="3"/>
      <c r="P380" s="3"/>
      <c r="Q380" s="5" t="s">
        <v>351</v>
      </c>
      <c r="R380" s="6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ht="15.75" customHeight="1">
      <c r="A381" s="3" t="s">
        <v>318</v>
      </c>
      <c r="B381" s="3" t="s">
        <v>319</v>
      </c>
      <c r="C381" s="3" t="s">
        <v>19</v>
      </c>
      <c r="D381" s="3" t="s">
        <v>320</v>
      </c>
      <c r="E381" s="3" t="s">
        <v>338</v>
      </c>
      <c r="F381" s="3">
        <v>2.0</v>
      </c>
      <c r="G381" s="4">
        <v>-27.66647</v>
      </c>
      <c r="H381" s="4">
        <v>-48.49067</v>
      </c>
      <c r="I381" s="5">
        <v>17.0</v>
      </c>
      <c r="J381" s="5" t="s">
        <v>323</v>
      </c>
      <c r="K381" s="5" t="s">
        <v>323</v>
      </c>
      <c r="L381" s="3"/>
      <c r="M381" s="5">
        <v>6.0</v>
      </c>
      <c r="N381" s="5">
        <v>21.0</v>
      </c>
      <c r="O381" s="5"/>
      <c r="P381" s="3"/>
      <c r="Q381" s="3"/>
      <c r="R381" s="6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15.75" customHeight="1">
      <c r="A382" s="3" t="s">
        <v>318</v>
      </c>
      <c r="B382" s="3" t="s">
        <v>319</v>
      </c>
      <c r="C382" s="3" t="s">
        <v>19</v>
      </c>
      <c r="D382" s="3" t="s">
        <v>320</v>
      </c>
      <c r="E382" s="3" t="s">
        <v>338</v>
      </c>
      <c r="F382" s="3">
        <v>2.0</v>
      </c>
      <c r="G382" s="4">
        <v>-27.66647</v>
      </c>
      <c r="H382" s="4">
        <v>-48.49067</v>
      </c>
      <c r="I382" s="5">
        <v>18.0</v>
      </c>
      <c r="J382" s="5" t="s">
        <v>31</v>
      </c>
      <c r="K382" s="5" t="s">
        <v>31</v>
      </c>
      <c r="L382" s="3"/>
      <c r="M382" s="5">
        <v>7.0</v>
      </c>
      <c r="N382" s="5">
        <v>20.0</v>
      </c>
      <c r="O382" s="5"/>
      <c r="P382" s="3"/>
      <c r="Q382" s="3"/>
      <c r="R382" s="6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ht="15.75" customHeight="1">
      <c r="A383" s="3" t="s">
        <v>318</v>
      </c>
      <c r="B383" s="3" t="s">
        <v>319</v>
      </c>
      <c r="C383" s="3" t="s">
        <v>19</v>
      </c>
      <c r="D383" s="3" t="s">
        <v>320</v>
      </c>
      <c r="E383" s="3" t="s">
        <v>338</v>
      </c>
      <c r="F383" s="3">
        <v>2.0</v>
      </c>
      <c r="G383" s="4">
        <v>-27.66647</v>
      </c>
      <c r="H383" s="4">
        <v>-48.49067</v>
      </c>
      <c r="I383" s="5">
        <v>19.0</v>
      </c>
      <c r="J383" s="5" t="s">
        <v>324</v>
      </c>
      <c r="K383" s="5" t="s">
        <v>324</v>
      </c>
      <c r="L383" s="3"/>
      <c r="M383" s="5">
        <v>8.0</v>
      </c>
      <c r="N383" s="5">
        <v>51.0</v>
      </c>
      <c r="O383" s="5"/>
      <c r="P383" s="3"/>
      <c r="Q383" s="3"/>
      <c r="R383" s="6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ht="15.75" customHeight="1">
      <c r="A384" s="3" t="s">
        <v>318</v>
      </c>
      <c r="B384" s="3" t="s">
        <v>319</v>
      </c>
      <c r="C384" s="3" t="s">
        <v>19</v>
      </c>
      <c r="D384" s="3" t="s">
        <v>320</v>
      </c>
      <c r="E384" s="3" t="s">
        <v>338</v>
      </c>
      <c r="F384" s="3">
        <v>2.0</v>
      </c>
      <c r="G384" s="4">
        <v>-27.66647</v>
      </c>
      <c r="H384" s="4">
        <v>-48.49067</v>
      </c>
      <c r="I384" s="5">
        <v>20.0</v>
      </c>
      <c r="J384" s="5" t="s">
        <v>31</v>
      </c>
      <c r="K384" s="5" t="s">
        <v>31</v>
      </c>
      <c r="L384" s="3"/>
      <c r="M384" s="5">
        <v>7.0</v>
      </c>
      <c r="N384" s="5"/>
      <c r="O384" s="5"/>
      <c r="P384" s="3"/>
      <c r="Q384" s="3"/>
      <c r="R384" s="6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ht="15.75" customHeight="1">
      <c r="A385" s="3" t="s">
        <v>318</v>
      </c>
      <c r="B385" s="3" t="s">
        <v>319</v>
      </c>
      <c r="C385" s="3" t="s">
        <v>19</v>
      </c>
      <c r="D385" s="3" t="s">
        <v>320</v>
      </c>
      <c r="E385" s="3" t="s">
        <v>338</v>
      </c>
      <c r="F385" s="3">
        <v>2.0</v>
      </c>
      <c r="G385" s="4">
        <v>-27.66647</v>
      </c>
      <c r="H385" s="4">
        <v>-48.49067</v>
      </c>
      <c r="I385" s="5">
        <v>21.0</v>
      </c>
      <c r="J385" s="5" t="s">
        <v>98</v>
      </c>
      <c r="K385" s="5" t="s">
        <v>98</v>
      </c>
      <c r="L385" s="3"/>
      <c r="M385" s="5">
        <v>9.0</v>
      </c>
      <c r="N385" s="5">
        <v>64.0</v>
      </c>
      <c r="O385" s="5"/>
      <c r="P385" s="3"/>
      <c r="Q385" s="3"/>
      <c r="R385" s="6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ht="15.75" customHeight="1">
      <c r="A386" s="3" t="s">
        <v>318</v>
      </c>
      <c r="B386" s="3" t="s">
        <v>319</v>
      </c>
      <c r="C386" s="3" t="s">
        <v>19</v>
      </c>
      <c r="D386" s="3" t="s">
        <v>320</v>
      </c>
      <c r="E386" s="3" t="s">
        <v>338</v>
      </c>
      <c r="F386" s="3">
        <v>2.0</v>
      </c>
      <c r="G386" s="4">
        <v>-27.66647</v>
      </c>
      <c r="H386" s="4">
        <v>-48.49067</v>
      </c>
      <c r="I386" s="5">
        <v>22.0</v>
      </c>
      <c r="J386" s="5" t="s">
        <v>324</v>
      </c>
      <c r="K386" s="5" t="s">
        <v>324</v>
      </c>
      <c r="L386" s="3"/>
      <c r="M386" s="5">
        <v>6.0</v>
      </c>
      <c r="N386" s="5">
        <v>17.0</v>
      </c>
      <c r="O386" s="5"/>
      <c r="P386" s="3"/>
      <c r="Q386" s="3"/>
      <c r="R386" s="6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ht="15.75" customHeight="1">
      <c r="A387" s="3" t="s">
        <v>318</v>
      </c>
      <c r="B387" s="3" t="s">
        <v>319</v>
      </c>
      <c r="C387" s="3" t="s">
        <v>19</v>
      </c>
      <c r="D387" s="3" t="s">
        <v>320</v>
      </c>
      <c r="E387" s="3" t="s">
        <v>338</v>
      </c>
      <c r="F387" s="3">
        <v>2.0</v>
      </c>
      <c r="G387" s="4">
        <v>-27.66647</v>
      </c>
      <c r="H387" s="4">
        <v>-48.49067</v>
      </c>
      <c r="I387" s="5">
        <v>23.0</v>
      </c>
      <c r="J387" s="5" t="s">
        <v>95</v>
      </c>
      <c r="K387" s="5" t="s">
        <v>95</v>
      </c>
      <c r="L387" s="3"/>
      <c r="M387" s="5">
        <v>4.0</v>
      </c>
      <c r="N387" s="5" t="s">
        <v>352</v>
      </c>
      <c r="O387" s="5"/>
      <c r="P387" s="3"/>
      <c r="Q387" s="3"/>
      <c r="R387" s="6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ht="15.75" customHeight="1">
      <c r="A388" s="3" t="s">
        <v>318</v>
      </c>
      <c r="B388" s="3" t="s">
        <v>319</v>
      </c>
      <c r="C388" s="3" t="s">
        <v>19</v>
      </c>
      <c r="D388" s="3" t="s">
        <v>320</v>
      </c>
      <c r="E388" s="3" t="s">
        <v>338</v>
      </c>
      <c r="F388" s="3">
        <v>2.0</v>
      </c>
      <c r="G388" s="4">
        <v>-27.66647</v>
      </c>
      <c r="H388" s="4">
        <v>-48.49067</v>
      </c>
      <c r="I388" s="5">
        <v>24.0</v>
      </c>
      <c r="J388" s="5" t="s">
        <v>323</v>
      </c>
      <c r="K388" s="5" t="s">
        <v>323</v>
      </c>
      <c r="L388" s="3"/>
      <c r="M388" s="5">
        <v>6.5</v>
      </c>
      <c r="N388" s="5" t="s">
        <v>353</v>
      </c>
      <c r="O388" s="5"/>
      <c r="P388" s="3"/>
      <c r="Q388" s="3"/>
      <c r="R388" s="6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ht="15.75" customHeight="1">
      <c r="A389" s="3" t="s">
        <v>318</v>
      </c>
      <c r="B389" s="3" t="s">
        <v>319</v>
      </c>
      <c r="C389" s="3" t="s">
        <v>19</v>
      </c>
      <c r="D389" s="3" t="s">
        <v>320</v>
      </c>
      <c r="E389" s="3" t="s">
        <v>338</v>
      </c>
      <c r="F389" s="3">
        <v>2.0</v>
      </c>
      <c r="G389" s="4">
        <v>-27.66647</v>
      </c>
      <c r="H389" s="4">
        <v>-48.49067</v>
      </c>
      <c r="I389" s="5">
        <v>25.0</v>
      </c>
      <c r="J389" s="5" t="s">
        <v>240</v>
      </c>
      <c r="K389" s="5" t="s">
        <v>37</v>
      </c>
      <c r="L389" s="3"/>
      <c r="M389" s="5">
        <v>8.0</v>
      </c>
      <c r="N389" s="5">
        <v>38.0</v>
      </c>
      <c r="O389" s="5"/>
      <c r="P389" s="3"/>
      <c r="Q389" s="3"/>
      <c r="R389" s="6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ht="15.75" customHeight="1">
      <c r="A390" s="3" t="s">
        <v>318</v>
      </c>
      <c r="B390" s="3" t="s">
        <v>319</v>
      </c>
      <c r="C390" s="3" t="s">
        <v>19</v>
      </c>
      <c r="D390" s="3" t="s">
        <v>320</v>
      </c>
      <c r="E390" s="3" t="s">
        <v>338</v>
      </c>
      <c r="F390" s="3">
        <v>2.0</v>
      </c>
      <c r="G390" s="4">
        <v>-27.66647</v>
      </c>
      <c r="H390" s="4">
        <v>-48.49067</v>
      </c>
      <c r="I390" s="5">
        <v>26.0</v>
      </c>
      <c r="J390" s="5" t="s">
        <v>323</v>
      </c>
      <c r="K390" s="5" t="s">
        <v>323</v>
      </c>
      <c r="L390" s="3"/>
      <c r="M390" s="5">
        <v>6.0</v>
      </c>
      <c r="N390" s="5">
        <v>18.0</v>
      </c>
      <c r="O390" s="5"/>
      <c r="P390" s="3"/>
      <c r="Q390" s="3"/>
      <c r="R390" s="6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ht="15.75" customHeight="1">
      <c r="A391" s="3" t="s">
        <v>318</v>
      </c>
      <c r="B391" s="3" t="s">
        <v>319</v>
      </c>
      <c r="C391" s="3" t="s">
        <v>19</v>
      </c>
      <c r="D391" s="3" t="s">
        <v>320</v>
      </c>
      <c r="E391" s="3" t="s">
        <v>354</v>
      </c>
      <c r="F391" s="3">
        <v>3.0</v>
      </c>
      <c r="G391" s="4">
        <v>-27.66651</v>
      </c>
      <c r="H391" s="4">
        <v>-48.49095</v>
      </c>
      <c r="I391" s="5">
        <v>1.0</v>
      </c>
      <c r="J391" s="5" t="s">
        <v>104</v>
      </c>
      <c r="K391" s="5" t="s">
        <v>104</v>
      </c>
      <c r="L391" s="3"/>
      <c r="M391" s="5">
        <v>10.0</v>
      </c>
      <c r="N391" s="5" t="s">
        <v>355</v>
      </c>
      <c r="O391" s="5"/>
      <c r="P391" s="3"/>
      <c r="Q391" s="3"/>
      <c r="R391" s="6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ht="15.75" customHeight="1">
      <c r="A392" s="3" t="s">
        <v>318</v>
      </c>
      <c r="B392" s="3" t="s">
        <v>319</v>
      </c>
      <c r="C392" s="3" t="s">
        <v>19</v>
      </c>
      <c r="D392" s="3" t="s">
        <v>320</v>
      </c>
      <c r="E392" s="3" t="s">
        <v>354</v>
      </c>
      <c r="F392" s="3">
        <v>3.0</v>
      </c>
      <c r="G392" s="4">
        <v>-27.66651</v>
      </c>
      <c r="H392" s="4">
        <v>-48.49095</v>
      </c>
      <c r="I392" s="5">
        <v>2.0</v>
      </c>
      <c r="J392" s="5" t="s">
        <v>104</v>
      </c>
      <c r="K392" s="5" t="s">
        <v>104</v>
      </c>
      <c r="L392" s="3"/>
      <c r="M392" s="5">
        <v>9.0</v>
      </c>
      <c r="N392" s="5" t="s">
        <v>356</v>
      </c>
      <c r="O392" s="5"/>
      <c r="P392" s="3"/>
      <c r="Q392" s="3"/>
      <c r="R392" s="6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ht="15.75" customHeight="1">
      <c r="A393" s="3" t="s">
        <v>318</v>
      </c>
      <c r="B393" s="3" t="s">
        <v>319</v>
      </c>
      <c r="C393" s="3" t="s">
        <v>19</v>
      </c>
      <c r="D393" s="3" t="s">
        <v>320</v>
      </c>
      <c r="E393" s="3" t="s">
        <v>354</v>
      </c>
      <c r="F393" s="3">
        <v>3.0</v>
      </c>
      <c r="G393" s="4">
        <v>-27.66651</v>
      </c>
      <c r="H393" s="4">
        <v>-48.49095</v>
      </c>
      <c r="I393" s="5">
        <v>3.0</v>
      </c>
      <c r="J393" s="5" t="s">
        <v>78</v>
      </c>
      <c r="K393" s="5" t="s">
        <v>78</v>
      </c>
      <c r="L393" s="3"/>
      <c r="M393" s="5">
        <v>6.0</v>
      </c>
      <c r="N393" s="5">
        <v>18.0</v>
      </c>
      <c r="O393" s="3"/>
      <c r="P393" s="5" t="s">
        <v>357</v>
      </c>
      <c r="Q393" s="3"/>
      <c r="R393" s="6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15.75" customHeight="1">
      <c r="A394" s="3" t="s">
        <v>318</v>
      </c>
      <c r="B394" s="3" t="s">
        <v>319</v>
      </c>
      <c r="C394" s="3" t="s">
        <v>19</v>
      </c>
      <c r="D394" s="3" t="s">
        <v>320</v>
      </c>
      <c r="E394" s="3" t="s">
        <v>354</v>
      </c>
      <c r="F394" s="3">
        <v>3.0</v>
      </c>
      <c r="G394" s="4">
        <v>-27.66651</v>
      </c>
      <c r="H394" s="4">
        <v>-48.49095</v>
      </c>
      <c r="I394" s="5">
        <v>4.0</v>
      </c>
      <c r="J394" s="5" t="s">
        <v>104</v>
      </c>
      <c r="K394" s="5" t="s">
        <v>104</v>
      </c>
      <c r="L394" s="3"/>
      <c r="M394" s="5">
        <v>6.0</v>
      </c>
      <c r="N394" s="5">
        <v>16.0</v>
      </c>
      <c r="O394" s="5"/>
      <c r="P394" s="3"/>
      <c r="Q394" s="3"/>
      <c r="R394" s="6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5.75" customHeight="1">
      <c r="A395" s="3" t="s">
        <v>318</v>
      </c>
      <c r="B395" s="3" t="s">
        <v>319</v>
      </c>
      <c r="C395" s="3" t="s">
        <v>19</v>
      </c>
      <c r="D395" s="3" t="s">
        <v>320</v>
      </c>
      <c r="E395" s="3" t="s">
        <v>354</v>
      </c>
      <c r="F395" s="3">
        <v>3.0</v>
      </c>
      <c r="G395" s="4">
        <v>-27.66651</v>
      </c>
      <c r="H395" s="4">
        <v>-48.49095</v>
      </c>
      <c r="I395" s="5">
        <v>5.0</v>
      </c>
      <c r="J395" s="5" t="s">
        <v>78</v>
      </c>
      <c r="K395" s="5" t="s">
        <v>78</v>
      </c>
      <c r="L395" s="3"/>
      <c r="M395" s="5">
        <v>8.0</v>
      </c>
      <c r="N395" s="5">
        <v>24.0</v>
      </c>
      <c r="O395" s="5"/>
      <c r="P395" s="3"/>
      <c r="Q395" s="3"/>
      <c r="R395" s="6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15.75" customHeight="1">
      <c r="A396" s="3" t="s">
        <v>318</v>
      </c>
      <c r="B396" s="3" t="s">
        <v>319</v>
      </c>
      <c r="C396" s="3" t="s">
        <v>19</v>
      </c>
      <c r="D396" s="3" t="s">
        <v>320</v>
      </c>
      <c r="E396" s="3" t="s">
        <v>354</v>
      </c>
      <c r="F396" s="3">
        <v>3.0</v>
      </c>
      <c r="G396" s="4">
        <v>-27.66651</v>
      </c>
      <c r="H396" s="4">
        <v>-48.49095</v>
      </c>
      <c r="I396" s="5">
        <v>6.0</v>
      </c>
      <c r="J396" s="5" t="s">
        <v>358</v>
      </c>
      <c r="K396" s="5" t="s">
        <v>358</v>
      </c>
      <c r="L396" s="3" t="s">
        <v>64</v>
      </c>
      <c r="M396" s="5">
        <v>9.0</v>
      </c>
      <c r="N396" s="5">
        <v>17.0</v>
      </c>
      <c r="O396" s="5" t="s">
        <v>359</v>
      </c>
      <c r="P396" s="3"/>
      <c r="Q396" s="3"/>
      <c r="R396" s="6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15.75" customHeight="1">
      <c r="A397" s="3" t="s">
        <v>318</v>
      </c>
      <c r="B397" s="3" t="s">
        <v>319</v>
      </c>
      <c r="C397" s="3" t="s">
        <v>19</v>
      </c>
      <c r="D397" s="3" t="s">
        <v>320</v>
      </c>
      <c r="E397" s="3" t="s">
        <v>354</v>
      </c>
      <c r="F397" s="3">
        <v>3.0</v>
      </c>
      <c r="G397" s="4">
        <v>-27.66651</v>
      </c>
      <c r="H397" s="4">
        <v>-48.49095</v>
      </c>
      <c r="I397" s="5">
        <v>7.0</v>
      </c>
      <c r="J397" s="5" t="s">
        <v>104</v>
      </c>
      <c r="K397" s="5" t="s">
        <v>104</v>
      </c>
      <c r="L397" s="3"/>
      <c r="M397" s="5">
        <v>12.0</v>
      </c>
      <c r="N397" s="5" t="s">
        <v>360</v>
      </c>
      <c r="O397" s="5"/>
      <c r="P397" s="3"/>
      <c r="Q397" s="3"/>
      <c r="R397" s="6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15.75" customHeight="1">
      <c r="A398" s="3" t="s">
        <v>318</v>
      </c>
      <c r="B398" s="3" t="s">
        <v>319</v>
      </c>
      <c r="C398" s="3" t="s">
        <v>19</v>
      </c>
      <c r="D398" s="3" t="s">
        <v>320</v>
      </c>
      <c r="E398" s="3" t="s">
        <v>354</v>
      </c>
      <c r="F398" s="3">
        <v>3.0</v>
      </c>
      <c r="G398" s="4">
        <v>-27.66651</v>
      </c>
      <c r="H398" s="4">
        <v>-48.49095</v>
      </c>
      <c r="I398" s="5">
        <v>8.0</v>
      </c>
      <c r="J398" s="5" t="s">
        <v>324</v>
      </c>
      <c r="K398" s="5" t="s">
        <v>324</v>
      </c>
      <c r="L398" s="3"/>
      <c r="M398" s="5">
        <v>9.0</v>
      </c>
      <c r="N398" s="5">
        <v>59.0</v>
      </c>
      <c r="O398" s="5"/>
      <c r="P398" s="3"/>
      <c r="Q398" s="3"/>
      <c r="R398" s="6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15.75" customHeight="1">
      <c r="A399" s="3" t="s">
        <v>318</v>
      </c>
      <c r="B399" s="3" t="s">
        <v>319</v>
      </c>
      <c r="C399" s="3" t="s">
        <v>19</v>
      </c>
      <c r="D399" s="3" t="s">
        <v>320</v>
      </c>
      <c r="E399" s="3" t="s">
        <v>354</v>
      </c>
      <c r="F399" s="3">
        <v>3.0</v>
      </c>
      <c r="G399" s="4">
        <v>-27.66651</v>
      </c>
      <c r="H399" s="4">
        <v>-48.49095</v>
      </c>
      <c r="I399" s="5">
        <v>9.0</v>
      </c>
      <c r="J399" s="5" t="s">
        <v>104</v>
      </c>
      <c r="K399" s="5" t="s">
        <v>104</v>
      </c>
      <c r="L399" s="3"/>
      <c r="M399" s="5">
        <v>10.0</v>
      </c>
      <c r="N399" s="5">
        <v>45.5</v>
      </c>
      <c r="O399" s="5"/>
      <c r="P399" s="3"/>
      <c r="Q399" s="3"/>
      <c r="R399" s="6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15.75" customHeight="1">
      <c r="A400" s="3" t="s">
        <v>318</v>
      </c>
      <c r="B400" s="3" t="s">
        <v>319</v>
      </c>
      <c r="C400" s="3" t="s">
        <v>19</v>
      </c>
      <c r="D400" s="3" t="s">
        <v>320</v>
      </c>
      <c r="E400" s="3" t="s">
        <v>354</v>
      </c>
      <c r="F400" s="3">
        <v>3.0</v>
      </c>
      <c r="G400" s="4">
        <v>-27.66651</v>
      </c>
      <c r="H400" s="4">
        <v>-48.49095</v>
      </c>
      <c r="I400" s="5">
        <v>10.0</v>
      </c>
      <c r="J400" s="5" t="s">
        <v>361</v>
      </c>
      <c r="K400" s="5" t="s">
        <v>335</v>
      </c>
      <c r="L400" s="3"/>
      <c r="M400" s="5">
        <v>12.0</v>
      </c>
      <c r="N400" s="5">
        <v>47.5</v>
      </c>
      <c r="O400" s="3"/>
      <c r="P400" s="5" t="s">
        <v>15</v>
      </c>
      <c r="Q400" s="3" t="s">
        <v>362</v>
      </c>
      <c r="R400" s="6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15.75" customHeight="1">
      <c r="A401" s="3" t="s">
        <v>318</v>
      </c>
      <c r="B401" s="3" t="s">
        <v>319</v>
      </c>
      <c r="C401" s="3" t="s">
        <v>19</v>
      </c>
      <c r="D401" s="3" t="s">
        <v>320</v>
      </c>
      <c r="E401" s="3" t="s">
        <v>354</v>
      </c>
      <c r="F401" s="3">
        <v>3.0</v>
      </c>
      <c r="G401" s="4">
        <v>-27.66651</v>
      </c>
      <c r="H401" s="4">
        <v>-48.49095</v>
      </c>
      <c r="I401" s="5">
        <v>11.0</v>
      </c>
      <c r="J401" s="5" t="s">
        <v>363</v>
      </c>
      <c r="K401" s="5" t="s">
        <v>329</v>
      </c>
      <c r="L401" s="3"/>
      <c r="M401" s="5">
        <v>10.0</v>
      </c>
      <c r="N401" s="5">
        <v>38.5</v>
      </c>
      <c r="O401" s="5"/>
      <c r="P401" s="3"/>
      <c r="Q401" s="3"/>
      <c r="R401" s="6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15.75" customHeight="1">
      <c r="A402" s="3" t="s">
        <v>318</v>
      </c>
      <c r="B402" s="3" t="s">
        <v>319</v>
      </c>
      <c r="C402" s="3" t="s">
        <v>19</v>
      </c>
      <c r="D402" s="3" t="s">
        <v>320</v>
      </c>
      <c r="E402" s="3" t="s">
        <v>354</v>
      </c>
      <c r="F402" s="3">
        <v>3.0</v>
      </c>
      <c r="G402" s="4">
        <v>-27.66651</v>
      </c>
      <c r="H402" s="4">
        <v>-48.49095</v>
      </c>
      <c r="I402" s="5">
        <v>12.0</v>
      </c>
      <c r="J402" s="5" t="s">
        <v>78</v>
      </c>
      <c r="K402" s="5" t="s">
        <v>78</v>
      </c>
      <c r="L402" s="3"/>
      <c r="M402" s="5">
        <v>9.0</v>
      </c>
      <c r="N402" s="5">
        <v>45.5</v>
      </c>
      <c r="O402" s="5"/>
      <c r="P402" s="3"/>
      <c r="Q402" s="3"/>
      <c r="R402" s="6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15.75" customHeight="1">
      <c r="A403" s="3" t="s">
        <v>318</v>
      </c>
      <c r="B403" s="3" t="s">
        <v>319</v>
      </c>
      <c r="C403" s="3" t="s">
        <v>19</v>
      </c>
      <c r="D403" s="3" t="s">
        <v>320</v>
      </c>
      <c r="E403" s="3" t="s">
        <v>354</v>
      </c>
      <c r="F403" s="3">
        <v>3.0</v>
      </c>
      <c r="G403" s="4">
        <v>-27.66651</v>
      </c>
      <c r="H403" s="4">
        <v>-48.49095</v>
      </c>
      <c r="I403" s="5">
        <v>13.0</v>
      </c>
      <c r="J403" s="5" t="s">
        <v>335</v>
      </c>
      <c r="K403" s="5" t="s">
        <v>335</v>
      </c>
      <c r="L403" s="3"/>
      <c r="M403" s="5">
        <v>8.0</v>
      </c>
      <c r="N403" s="5">
        <v>22.0</v>
      </c>
      <c r="O403" s="5"/>
      <c r="P403" s="3"/>
      <c r="Q403" s="3"/>
      <c r="R403" s="6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15.75" customHeight="1">
      <c r="A404" s="3" t="s">
        <v>318</v>
      </c>
      <c r="B404" s="3" t="s">
        <v>319</v>
      </c>
      <c r="C404" s="3" t="s">
        <v>19</v>
      </c>
      <c r="D404" s="3" t="s">
        <v>320</v>
      </c>
      <c r="E404" s="3" t="s">
        <v>354</v>
      </c>
      <c r="F404" s="3">
        <v>3.0</v>
      </c>
      <c r="G404" s="4">
        <v>-27.66651</v>
      </c>
      <c r="H404" s="4">
        <v>-48.49095</v>
      </c>
      <c r="I404" s="5">
        <v>14.0</v>
      </c>
      <c r="J404" s="5" t="s">
        <v>335</v>
      </c>
      <c r="K404" s="5" t="s">
        <v>335</v>
      </c>
      <c r="L404" s="3"/>
      <c r="M404" s="5">
        <v>8.0</v>
      </c>
      <c r="N404" s="5">
        <v>64.0</v>
      </c>
      <c r="O404" s="5"/>
      <c r="P404" s="3"/>
      <c r="Q404" s="3"/>
      <c r="R404" s="6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15.75" customHeight="1">
      <c r="A405" s="3" t="s">
        <v>318</v>
      </c>
      <c r="B405" s="3" t="s">
        <v>319</v>
      </c>
      <c r="C405" s="3" t="s">
        <v>19</v>
      </c>
      <c r="D405" s="3" t="s">
        <v>320</v>
      </c>
      <c r="E405" s="3" t="s">
        <v>354</v>
      </c>
      <c r="F405" s="3">
        <v>3.0</v>
      </c>
      <c r="G405" s="4">
        <v>-27.66651</v>
      </c>
      <c r="H405" s="4">
        <v>-48.49095</v>
      </c>
      <c r="I405" s="5">
        <v>15.0</v>
      </c>
      <c r="J405" s="5" t="s">
        <v>324</v>
      </c>
      <c r="K405" s="5" t="s">
        <v>324</v>
      </c>
      <c r="L405" s="3"/>
      <c r="M405" s="5">
        <v>7.0</v>
      </c>
      <c r="N405" s="5">
        <v>40.5</v>
      </c>
      <c r="O405" s="5"/>
      <c r="P405" s="3"/>
      <c r="Q405" s="3"/>
      <c r="R405" s="6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5.75" customHeight="1">
      <c r="A406" s="3" t="s">
        <v>318</v>
      </c>
      <c r="B406" s="3" t="s">
        <v>319</v>
      </c>
      <c r="C406" s="3" t="s">
        <v>19</v>
      </c>
      <c r="D406" s="3" t="s">
        <v>320</v>
      </c>
      <c r="E406" s="3" t="s">
        <v>354</v>
      </c>
      <c r="F406" s="3">
        <v>3.0</v>
      </c>
      <c r="G406" s="4">
        <v>-27.66651</v>
      </c>
      <c r="H406" s="4">
        <v>-48.49095</v>
      </c>
      <c r="I406" s="5">
        <v>16.0</v>
      </c>
      <c r="J406" s="5" t="s">
        <v>324</v>
      </c>
      <c r="K406" s="5" t="s">
        <v>324</v>
      </c>
      <c r="L406" s="3"/>
      <c r="M406" s="5">
        <v>9.5</v>
      </c>
      <c r="N406" s="5">
        <v>38.0</v>
      </c>
      <c r="O406" s="5"/>
      <c r="P406" s="3"/>
      <c r="Q406" s="3"/>
      <c r="R406" s="6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15.75" customHeight="1">
      <c r="A407" s="3" t="s">
        <v>318</v>
      </c>
      <c r="B407" s="3" t="s">
        <v>319</v>
      </c>
      <c r="C407" s="3" t="s">
        <v>19</v>
      </c>
      <c r="D407" s="3" t="s">
        <v>320</v>
      </c>
      <c r="E407" s="3" t="s">
        <v>354</v>
      </c>
      <c r="F407" s="3">
        <v>3.0</v>
      </c>
      <c r="G407" s="4">
        <v>-27.66651</v>
      </c>
      <c r="H407" s="4">
        <v>-48.49095</v>
      </c>
      <c r="I407" s="5">
        <v>17.0</v>
      </c>
      <c r="J407" s="5" t="s">
        <v>364</v>
      </c>
      <c r="K407" s="5" t="s">
        <v>365</v>
      </c>
      <c r="L407" s="3"/>
      <c r="M407" s="5">
        <v>8.0</v>
      </c>
      <c r="N407" s="5" t="s">
        <v>366</v>
      </c>
      <c r="O407" s="5"/>
      <c r="P407" s="3"/>
      <c r="Q407" s="3"/>
      <c r="R407" s="6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15.75" customHeight="1">
      <c r="A408" s="3" t="s">
        <v>318</v>
      </c>
      <c r="B408" s="3" t="s">
        <v>319</v>
      </c>
      <c r="C408" s="3" t="s">
        <v>19</v>
      </c>
      <c r="D408" s="3" t="s">
        <v>320</v>
      </c>
      <c r="E408" s="3" t="s">
        <v>354</v>
      </c>
      <c r="F408" s="3">
        <v>3.0</v>
      </c>
      <c r="G408" s="4">
        <v>-27.66651</v>
      </c>
      <c r="H408" s="4">
        <v>-48.49095</v>
      </c>
      <c r="I408" s="5">
        <v>18.0</v>
      </c>
      <c r="J408" s="5" t="s">
        <v>31</v>
      </c>
      <c r="K408" s="5" t="s">
        <v>31</v>
      </c>
      <c r="L408" s="3"/>
      <c r="M408" s="5">
        <v>6.0</v>
      </c>
      <c r="N408" s="5">
        <v>21.0</v>
      </c>
      <c r="O408" s="5"/>
      <c r="P408" s="3"/>
      <c r="Q408" s="3"/>
      <c r="R408" s="6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15.75" customHeight="1">
      <c r="A409" s="3" t="s">
        <v>318</v>
      </c>
      <c r="B409" s="3" t="s">
        <v>319</v>
      </c>
      <c r="C409" s="3" t="s">
        <v>19</v>
      </c>
      <c r="D409" s="3" t="s">
        <v>320</v>
      </c>
      <c r="E409" s="3" t="s">
        <v>354</v>
      </c>
      <c r="F409" s="3">
        <v>3.0</v>
      </c>
      <c r="G409" s="4">
        <v>-27.66651</v>
      </c>
      <c r="H409" s="4">
        <v>-48.49095</v>
      </c>
      <c r="I409" s="5">
        <v>19.0</v>
      </c>
      <c r="J409" s="5" t="s">
        <v>324</v>
      </c>
      <c r="K409" s="5" t="s">
        <v>324</v>
      </c>
      <c r="L409" s="3"/>
      <c r="M409" s="5">
        <v>10.0</v>
      </c>
      <c r="N409" s="5" t="s">
        <v>367</v>
      </c>
      <c r="O409" s="5"/>
      <c r="P409" s="3"/>
      <c r="Q409" s="3"/>
      <c r="R409" s="6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15.75" customHeight="1">
      <c r="A410" s="3" t="s">
        <v>318</v>
      </c>
      <c r="B410" s="3" t="s">
        <v>319</v>
      </c>
      <c r="C410" s="3" t="s">
        <v>19</v>
      </c>
      <c r="D410" s="3" t="s">
        <v>320</v>
      </c>
      <c r="E410" s="3" t="s">
        <v>368</v>
      </c>
      <c r="F410" s="3">
        <v>4.0</v>
      </c>
      <c r="G410" s="4">
        <v>-27.66621</v>
      </c>
      <c r="H410" s="4">
        <v>-48.49087</v>
      </c>
      <c r="I410" s="5">
        <v>1.0</v>
      </c>
      <c r="J410" s="3" t="s">
        <v>369</v>
      </c>
      <c r="K410" s="3" t="s">
        <v>294</v>
      </c>
      <c r="L410" s="3" t="s">
        <v>64</v>
      </c>
      <c r="M410" s="5">
        <v>7.0</v>
      </c>
      <c r="N410" s="5">
        <v>25.5</v>
      </c>
      <c r="O410" s="5" t="s">
        <v>370</v>
      </c>
      <c r="P410" s="3"/>
      <c r="Q410" s="3"/>
      <c r="R410" s="6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15.75" customHeight="1">
      <c r="A411" s="3" t="s">
        <v>318</v>
      </c>
      <c r="B411" s="3" t="s">
        <v>319</v>
      </c>
      <c r="C411" s="3" t="s">
        <v>19</v>
      </c>
      <c r="D411" s="3" t="s">
        <v>320</v>
      </c>
      <c r="E411" s="3" t="s">
        <v>368</v>
      </c>
      <c r="F411" s="3">
        <v>4.0</v>
      </c>
      <c r="G411" s="4">
        <v>-27.66621</v>
      </c>
      <c r="H411" s="4">
        <v>-48.49087</v>
      </c>
      <c r="I411" s="5">
        <v>2.0</v>
      </c>
      <c r="J411" s="5" t="s">
        <v>98</v>
      </c>
      <c r="K411" s="5" t="s">
        <v>98</v>
      </c>
      <c r="L411" s="3"/>
      <c r="M411" s="5">
        <v>7.0</v>
      </c>
      <c r="N411" s="5">
        <v>39.0</v>
      </c>
      <c r="O411" s="5"/>
      <c r="P411" s="3"/>
      <c r="Q411" s="3"/>
      <c r="R411" s="6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15.75" customHeight="1">
      <c r="A412" s="3" t="s">
        <v>318</v>
      </c>
      <c r="B412" s="3" t="s">
        <v>319</v>
      </c>
      <c r="C412" s="3" t="s">
        <v>19</v>
      </c>
      <c r="D412" s="3" t="s">
        <v>320</v>
      </c>
      <c r="E412" s="3" t="s">
        <v>368</v>
      </c>
      <c r="F412" s="3">
        <v>4.0</v>
      </c>
      <c r="G412" s="4">
        <v>-27.66621</v>
      </c>
      <c r="H412" s="4">
        <v>-48.49087</v>
      </c>
      <c r="I412" s="5">
        <v>3.0</v>
      </c>
      <c r="J412" s="5" t="s">
        <v>78</v>
      </c>
      <c r="K412" s="5" t="s">
        <v>78</v>
      </c>
      <c r="L412" s="3"/>
      <c r="M412" s="5">
        <v>6.0</v>
      </c>
      <c r="N412" s="5">
        <v>22.0</v>
      </c>
      <c r="O412" s="5"/>
      <c r="P412" s="3"/>
      <c r="Q412" s="3"/>
      <c r="R412" s="6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15.75" customHeight="1">
      <c r="A413" s="3" t="s">
        <v>318</v>
      </c>
      <c r="B413" s="3" t="s">
        <v>319</v>
      </c>
      <c r="C413" s="3" t="s">
        <v>19</v>
      </c>
      <c r="D413" s="3" t="s">
        <v>320</v>
      </c>
      <c r="E413" s="3" t="s">
        <v>368</v>
      </c>
      <c r="F413" s="3">
        <v>4.0</v>
      </c>
      <c r="G413" s="4">
        <v>-27.66621</v>
      </c>
      <c r="H413" s="4">
        <v>-48.49087</v>
      </c>
      <c r="I413" s="5">
        <v>4.0</v>
      </c>
      <c r="J413" s="5" t="s">
        <v>78</v>
      </c>
      <c r="K413" s="5" t="s">
        <v>78</v>
      </c>
      <c r="L413" s="3"/>
      <c r="M413" s="5">
        <v>7.0</v>
      </c>
      <c r="N413" s="5" t="s">
        <v>371</v>
      </c>
      <c r="O413" s="5"/>
      <c r="P413" s="3"/>
      <c r="Q413" s="3"/>
      <c r="R413" s="6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15.75" customHeight="1">
      <c r="A414" s="3" t="s">
        <v>318</v>
      </c>
      <c r="B414" s="3" t="s">
        <v>319</v>
      </c>
      <c r="C414" s="3" t="s">
        <v>19</v>
      </c>
      <c r="D414" s="3" t="s">
        <v>320</v>
      </c>
      <c r="E414" s="3" t="s">
        <v>368</v>
      </c>
      <c r="F414" s="3">
        <v>4.0</v>
      </c>
      <c r="G414" s="4">
        <v>-27.66621</v>
      </c>
      <c r="H414" s="4">
        <v>-48.49087</v>
      </c>
      <c r="I414" s="5">
        <v>5.0</v>
      </c>
      <c r="J414" s="5" t="s">
        <v>175</v>
      </c>
      <c r="K414" s="5" t="s">
        <v>175</v>
      </c>
      <c r="L414" s="3"/>
      <c r="M414" s="5">
        <v>8.0</v>
      </c>
      <c r="N414" s="5">
        <v>22.0</v>
      </c>
      <c r="O414" s="5"/>
      <c r="P414" s="3"/>
      <c r="Q414" s="3"/>
      <c r="R414" s="6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15.75" customHeight="1">
      <c r="A415" s="3" t="s">
        <v>318</v>
      </c>
      <c r="B415" s="3" t="s">
        <v>319</v>
      </c>
      <c r="C415" s="3" t="s">
        <v>19</v>
      </c>
      <c r="D415" s="3" t="s">
        <v>320</v>
      </c>
      <c r="E415" s="3" t="s">
        <v>368</v>
      </c>
      <c r="F415" s="3">
        <v>4.0</v>
      </c>
      <c r="G415" s="4">
        <v>-27.66621</v>
      </c>
      <c r="H415" s="4">
        <v>-48.49087</v>
      </c>
      <c r="I415" s="5">
        <v>6.0</v>
      </c>
      <c r="J415" s="5" t="s">
        <v>153</v>
      </c>
      <c r="K415" s="5" t="s">
        <v>153</v>
      </c>
      <c r="L415" s="3"/>
      <c r="M415" s="5">
        <v>7.0</v>
      </c>
      <c r="N415" s="5">
        <v>24.5</v>
      </c>
      <c r="O415" s="5"/>
      <c r="P415" s="3"/>
      <c r="Q415" s="3"/>
      <c r="R415" s="6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15.75" customHeight="1">
      <c r="A416" s="3" t="s">
        <v>318</v>
      </c>
      <c r="B416" s="3" t="s">
        <v>319</v>
      </c>
      <c r="C416" s="3" t="s">
        <v>19</v>
      </c>
      <c r="D416" s="3" t="s">
        <v>320</v>
      </c>
      <c r="E416" s="3" t="s">
        <v>368</v>
      </c>
      <c r="F416" s="3">
        <v>4.0</v>
      </c>
      <c r="G416" s="4">
        <v>-27.66621</v>
      </c>
      <c r="H416" s="4">
        <v>-48.49087</v>
      </c>
      <c r="I416" s="5">
        <v>7.0</v>
      </c>
      <c r="J416" s="5" t="s">
        <v>372</v>
      </c>
      <c r="K416" s="5" t="s">
        <v>372</v>
      </c>
      <c r="L416" s="3"/>
      <c r="M416" s="5">
        <v>10.0</v>
      </c>
      <c r="N416" s="5">
        <v>42.5</v>
      </c>
      <c r="O416" s="5"/>
      <c r="P416" s="3"/>
      <c r="Q416" s="3"/>
      <c r="R416" s="6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15.75" customHeight="1">
      <c r="A417" s="3" t="s">
        <v>318</v>
      </c>
      <c r="B417" s="3" t="s">
        <v>319</v>
      </c>
      <c r="C417" s="3" t="s">
        <v>19</v>
      </c>
      <c r="D417" s="3" t="s">
        <v>320</v>
      </c>
      <c r="E417" s="3" t="s">
        <v>368</v>
      </c>
      <c r="F417" s="3">
        <v>4.0</v>
      </c>
      <c r="G417" s="4">
        <v>-27.66621</v>
      </c>
      <c r="H417" s="4">
        <v>-48.49087</v>
      </c>
      <c r="I417" s="5">
        <v>8.0</v>
      </c>
      <c r="J417" s="5" t="s">
        <v>373</v>
      </c>
      <c r="K417" s="5" t="s">
        <v>373</v>
      </c>
      <c r="L417" s="3"/>
      <c r="M417" s="5">
        <v>7.0</v>
      </c>
      <c r="N417" s="5" t="s">
        <v>374</v>
      </c>
      <c r="O417" s="5"/>
      <c r="P417" s="3"/>
      <c r="Q417" s="3"/>
      <c r="R417" s="6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15.75" customHeight="1">
      <c r="A418" s="3" t="s">
        <v>318</v>
      </c>
      <c r="B418" s="3" t="s">
        <v>319</v>
      </c>
      <c r="C418" s="3" t="s">
        <v>19</v>
      </c>
      <c r="D418" s="3" t="s">
        <v>320</v>
      </c>
      <c r="E418" s="3" t="s">
        <v>368</v>
      </c>
      <c r="F418" s="3">
        <v>4.0</v>
      </c>
      <c r="G418" s="4">
        <v>-27.66621</v>
      </c>
      <c r="H418" s="4">
        <v>-48.49087</v>
      </c>
      <c r="I418" s="5">
        <v>9.0</v>
      </c>
      <c r="J418" s="5" t="s">
        <v>323</v>
      </c>
      <c r="K418" s="5" t="s">
        <v>323</v>
      </c>
      <c r="L418" s="3"/>
      <c r="M418" s="5">
        <v>6.0</v>
      </c>
      <c r="N418" s="5" t="s">
        <v>375</v>
      </c>
      <c r="O418" s="5"/>
      <c r="P418" s="3"/>
      <c r="Q418" s="3"/>
      <c r="R418" s="6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5.75" customHeight="1">
      <c r="A419" s="3" t="s">
        <v>318</v>
      </c>
      <c r="B419" s="3" t="s">
        <v>319</v>
      </c>
      <c r="C419" s="3" t="s">
        <v>19</v>
      </c>
      <c r="D419" s="3" t="s">
        <v>320</v>
      </c>
      <c r="E419" s="3" t="s">
        <v>368</v>
      </c>
      <c r="F419" s="3">
        <v>4.0</v>
      </c>
      <c r="G419" s="4">
        <v>-27.66621</v>
      </c>
      <c r="H419" s="4">
        <v>-48.49087</v>
      </c>
      <c r="I419" s="5">
        <v>10.0</v>
      </c>
      <c r="J419" s="5" t="s">
        <v>363</v>
      </c>
      <c r="K419" s="5" t="s">
        <v>329</v>
      </c>
      <c r="L419" s="3"/>
      <c r="M419" s="5">
        <v>7.0</v>
      </c>
      <c r="N419" s="5">
        <v>24.0</v>
      </c>
      <c r="O419" s="5"/>
      <c r="P419" s="3"/>
      <c r="Q419" s="3"/>
      <c r="R419" s="6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15.75" customHeight="1">
      <c r="A420" s="3" t="s">
        <v>318</v>
      </c>
      <c r="B420" s="3" t="s">
        <v>319</v>
      </c>
      <c r="C420" s="3" t="s">
        <v>19</v>
      </c>
      <c r="D420" s="3" t="s">
        <v>320</v>
      </c>
      <c r="E420" s="3" t="s">
        <v>368</v>
      </c>
      <c r="F420" s="3">
        <v>4.0</v>
      </c>
      <c r="G420" s="4">
        <v>-27.66621</v>
      </c>
      <c r="H420" s="4">
        <v>-48.49087</v>
      </c>
      <c r="I420" s="5">
        <v>11.0</v>
      </c>
      <c r="J420" s="5" t="s">
        <v>98</v>
      </c>
      <c r="K420" s="5" t="s">
        <v>98</v>
      </c>
      <c r="L420" s="3"/>
      <c r="M420" s="5">
        <v>5.5</v>
      </c>
      <c r="N420" s="5">
        <v>22.0</v>
      </c>
      <c r="O420" s="5"/>
      <c r="P420" s="3"/>
      <c r="Q420" s="3"/>
      <c r="R420" s="6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15.75" customHeight="1">
      <c r="A421" s="3" t="s">
        <v>318</v>
      </c>
      <c r="B421" s="3" t="s">
        <v>319</v>
      </c>
      <c r="C421" s="3" t="s">
        <v>19</v>
      </c>
      <c r="D421" s="3" t="s">
        <v>320</v>
      </c>
      <c r="E421" s="3" t="s">
        <v>368</v>
      </c>
      <c r="F421" s="3">
        <v>4.0</v>
      </c>
      <c r="G421" s="4">
        <v>-27.66621</v>
      </c>
      <c r="H421" s="4">
        <v>-48.49087</v>
      </c>
      <c r="I421" s="5">
        <v>12.0</v>
      </c>
      <c r="J421" s="5" t="s">
        <v>323</v>
      </c>
      <c r="K421" s="5" t="s">
        <v>323</v>
      </c>
      <c r="L421" s="3"/>
      <c r="M421" s="5">
        <v>5.5</v>
      </c>
      <c r="N421" s="5">
        <v>16.5</v>
      </c>
      <c r="O421" s="5"/>
      <c r="P421" s="3"/>
      <c r="Q421" s="3"/>
      <c r="R421" s="6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15.75" customHeight="1">
      <c r="A422" s="3" t="s">
        <v>318</v>
      </c>
      <c r="B422" s="3" t="s">
        <v>319</v>
      </c>
      <c r="C422" s="3" t="s">
        <v>19</v>
      </c>
      <c r="D422" s="3" t="s">
        <v>320</v>
      </c>
      <c r="E422" s="3" t="s">
        <v>368</v>
      </c>
      <c r="F422" s="3">
        <v>4.0</v>
      </c>
      <c r="G422" s="4">
        <v>-27.66621</v>
      </c>
      <c r="H422" s="4">
        <v>-48.49087</v>
      </c>
      <c r="I422" s="5">
        <v>13.0</v>
      </c>
      <c r="J422" s="5" t="s">
        <v>34</v>
      </c>
      <c r="K422" s="5" t="s">
        <v>34</v>
      </c>
      <c r="L422" s="3"/>
      <c r="M422" s="5">
        <v>3.5</v>
      </c>
      <c r="N422" s="5">
        <v>12.5</v>
      </c>
      <c r="O422" s="5"/>
      <c r="P422" s="3"/>
      <c r="Q422" s="3"/>
      <c r="R422" s="6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15.75" customHeight="1">
      <c r="A423" s="3" t="s">
        <v>318</v>
      </c>
      <c r="B423" s="3" t="s">
        <v>319</v>
      </c>
      <c r="C423" s="3" t="s">
        <v>19</v>
      </c>
      <c r="D423" s="3" t="s">
        <v>320</v>
      </c>
      <c r="E423" s="3" t="s">
        <v>368</v>
      </c>
      <c r="F423" s="3">
        <v>4.0</v>
      </c>
      <c r="G423" s="4">
        <v>-27.66621</v>
      </c>
      <c r="H423" s="4">
        <v>-48.49087</v>
      </c>
      <c r="I423" s="5">
        <v>14.0</v>
      </c>
      <c r="J423" s="5" t="s">
        <v>323</v>
      </c>
      <c r="K423" s="5" t="s">
        <v>323</v>
      </c>
      <c r="L423" s="3"/>
      <c r="M423" s="5">
        <v>4.0</v>
      </c>
      <c r="N423" s="5">
        <v>22.0</v>
      </c>
      <c r="O423" s="5"/>
      <c r="P423" s="3"/>
      <c r="Q423" s="3"/>
      <c r="R423" s="6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15.75" customHeight="1">
      <c r="A424" s="3" t="s">
        <v>318</v>
      </c>
      <c r="B424" s="3" t="s">
        <v>319</v>
      </c>
      <c r="C424" s="3" t="s">
        <v>19</v>
      </c>
      <c r="D424" s="3" t="s">
        <v>320</v>
      </c>
      <c r="E424" s="3" t="s">
        <v>368</v>
      </c>
      <c r="F424" s="3">
        <v>4.0</v>
      </c>
      <c r="G424" s="4">
        <v>-27.66621</v>
      </c>
      <c r="H424" s="4">
        <v>-48.49087</v>
      </c>
      <c r="I424" s="5">
        <v>15.0</v>
      </c>
      <c r="J424" s="5" t="s">
        <v>323</v>
      </c>
      <c r="K424" s="5" t="s">
        <v>323</v>
      </c>
      <c r="L424" s="3"/>
      <c r="M424" s="5">
        <v>5.0</v>
      </c>
      <c r="N424" s="5">
        <v>20.0</v>
      </c>
      <c r="O424" s="5"/>
      <c r="P424" s="3"/>
      <c r="Q424" s="3"/>
      <c r="R424" s="6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15.75" customHeight="1">
      <c r="A425" s="3" t="s">
        <v>318</v>
      </c>
      <c r="B425" s="3" t="s">
        <v>319</v>
      </c>
      <c r="C425" s="3" t="s">
        <v>19</v>
      </c>
      <c r="D425" s="3" t="s">
        <v>320</v>
      </c>
      <c r="E425" s="3" t="s">
        <v>368</v>
      </c>
      <c r="F425" s="3">
        <v>4.0</v>
      </c>
      <c r="G425" s="4">
        <v>-27.66621</v>
      </c>
      <c r="H425" s="4">
        <v>-48.49087</v>
      </c>
      <c r="I425" s="5">
        <v>16.0</v>
      </c>
      <c r="J425" s="5" t="s">
        <v>98</v>
      </c>
      <c r="K425" s="5" t="s">
        <v>98</v>
      </c>
      <c r="L425" s="3"/>
      <c r="M425" s="5">
        <v>7.0</v>
      </c>
      <c r="N425" s="5">
        <v>20.0</v>
      </c>
      <c r="O425" s="5"/>
      <c r="P425" s="3"/>
      <c r="Q425" s="3"/>
      <c r="R425" s="6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15.75" customHeight="1">
      <c r="A426" s="3" t="s">
        <v>318</v>
      </c>
      <c r="B426" s="3" t="s">
        <v>319</v>
      </c>
      <c r="C426" s="3" t="s">
        <v>19</v>
      </c>
      <c r="D426" s="3" t="s">
        <v>320</v>
      </c>
      <c r="E426" s="3" t="s">
        <v>368</v>
      </c>
      <c r="F426" s="3">
        <v>4.0</v>
      </c>
      <c r="G426" s="4">
        <v>-27.66621</v>
      </c>
      <c r="H426" s="4">
        <v>-48.49087</v>
      </c>
      <c r="I426" s="5">
        <v>17.0</v>
      </c>
      <c r="J426" s="5" t="s">
        <v>98</v>
      </c>
      <c r="K426" s="5" t="s">
        <v>98</v>
      </c>
      <c r="L426" s="3"/>
      <c r="M426" s="5">
        <v>7.0</v>
      </c>
      <c r="N426" s="5">
        <v>26.0</v>
      </c>
      <c r="O426" s="5"/>
      <c r="P426" s="3"/>
      <c r="Q426" s="3"/>
      <c r="R426" s="6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15.75" customHeight="1">
      <c r="A427" s="3" t="s">
        <v>318</v>
      </c>
      <c r="B427" s="3" t="s">
        <v>319</v>
      </c>
      <c r="C427" s="3" t="s">
        <v>19</v>
      </c>
      <c r="D427" s="3" t="s">
        <v>320</v>
      </c>
      <c r="E427" s="3" t="s">
        <v>368</v>
      </c>
      <c r="F427" s="3">
        <v>4.0</v>
      </c>
      <c r="G427" s="4">
        <v>-27.66621</v>
      </c>
      <c r="H427" s="4">
        <v>-48.49087</v>
      </c>
      <c r="I427" s="5">
        <v>18.0</v>
      </c>
      <c r="J427" s="5" t="s">
        <v>372</v>
      </c>
      <c r="K427" s="5" t="s">
        <v>372</v>
      </c>
      <c r="L427" s="3"/>
      <c r="M427" s="5">
        <v>8.0</v>
      </c>
      <c r="N427" s="5">
        <v>26.5</v>
      </c>
      <c r="O427" s="5"/>
      <c r="P427" s="3"/>
      <c r="Q427" s="3"/>
      <c r="R427" s="6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15.75" customHeight="1">
      <c r="A428" s="3" t="s">
        <v>318</v>
      </c>
      <c r="B428" s="3" t="s">
        <v>319</v>
      </c>
      <c r="C428" s="3" t="s">
        <v>19</v>
      </c>
      <c r="D428" s="3" t="s">
        <v>320</v>
      </c>
      <c r="E428" s="3" t="s">
        <v>368</v>
      </c>
      <c r="F428" s="3">
        <v>4.0</v>
      </c>
      <c r="G428" s="4">
        <v>-27.66621</v>
      </c>
      <c r="H428" s="4">
        <v>-48.49087</v>
      </c>
      <c r="I428" s="5">
        <v>19.0</v>
      </c>
      <c r="J428" s="5" t="s">
        <v>323</v>
      </c>
      <c r="K428" s="5" t="s">
        <v>323</v>
      </c>
      <c r="L428" s="3"/>
      <c r="M428" s="5">
        <v>7.0</v>
      </c>
      <c r="N428" s="5" t="s">
        <v>376</v>
      </c>
      <c r="O428" s="5"/>
      <c r="P428" s="3"/>
      <c r="Q428" s="3"/>
      <c r="R428" s="6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15.75" customHeight="1">
      <c r="A429" s="3" t="s">
        <v>318</v>
      </c>
      <c r="B429" s="3" t="s">
        <v>319</v>
      </c>
      <c r="C429" s="3" t="s">
        <v>19</v>
      </c>
      <c r="D429" s="3" t="s">
        <v>320</v>
      </c>
      <c r="E429" s="3" t="s">
        <v>368</v>
      </c>
      <c r="F429" s="3">
        <v>4.0</v>
      </c>
      <c r="G429" s="4">
        <v>-27.66621</v>
      </c>
      <c r="H429" s="4">
        <v>-48.49087</v>
      </c>
      <c r="I429" s="5">
        <v>20.0</v>
      </c>
      <c r="J429" s="5" t="s">
        <v>98</v>
      </c>
      <c r="K429" s="5" t="s">
        <v>98</v>
      </c>
      <c r="L429" s="3"/>
      <c r="M429" s="5">
        <v>8.0</v>
      </c>
      <c r="N429" s="5">
        <v>33.0</v>
      </c>
      <c r="O429" s="5"/>
      <c r="P429" s="3"/>
      <c r="Q429" s="3"/>
      <c r="R429" s="6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15.75" customHeight="1">
      <c r="A430" s="3" t="s">
        <v>318</v>
      </c>
      <c r="B430" s="3" t="s">
        <v>319</v>
      </c>
      <c r="C430" s="3" t="s">
        <v>19</v>
      </c>
      <c r="D430" s="3" t="s">
        <v>320</v>
      </c>
      <c r="E430" s="3" t="s">
        <v>368</v>
      </c>
      <c r="F430" s="3">
        <v>4.0</v>
      </c>
      <c r="G430" s="4">
        <v>-27.66621</v>
      </c>
      <c r="H430" s="4">
        <v>-48.49087</v>
      </c>
      <c r="I430" s="5">
        <v>21.0</v>
      </c>
      <c r="J430" s="5" t="s">
        <v>34</v>
      </c>
      <c r="K430" s="5" t="s">
        <v>34</v>
      </c>
      <c r="L430" s="3"/>
      <c r="M430" s="5">
        <v>4.5</v>
      </c>
      <c r="N430" s="5">
        <v>16.0</v>
      </c>
      <c r="O430" s="5"/>
      <c r="P430" s="3"/>
      <c r="Q430" s="3"/>
      <c r="R430" s="6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15.75" customHeight="1">
      <c r="A431" s="3" t="s">
        <v>318</v>
      </c>
      <c r="B431" s="3" t="s">
        <v>319</v>
      </c>
      <c r="C431" s="3" t="s">
        <v>19</v>
      </c>
      <c r="D431" s="3" t="s">
        <v>320</v>
      </c>
      <c r="E431" s="3" t="s">
        <v>368</v>
      </c>
      <c r="F431" s="3">
        <v>4.0</v>
      </c>
      <c r="G431" s="4">
        <v>-27.66621</v>
      </c>
      <c r="H431" s="4">
        <v>-48.49087</v>
      </c>
      <c r="I431" s="5">
        <v>22.0</v>
      </c>
      <c r="J431" s="5" t="s">
        <v>323</v>
      </c>
      <c r="K431" s="5" t="s">
        <v>323</v>
      </c>
      <c r="L431" s="3"/>
      <c r="M431" s="5">
        <v>5.0</v>
      </c>
      <c r="N431" s="5">
        <v>21.0</v>
      </c>
      <c r="O431" s="5"/>
      <c r="P431" s="3"/>
      <c r="Q431" s="3"/>
      <c r="R431" s="6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15.75" customHeight="1">
      <c r="A432" s="3" t="s">
        <v>318</v>
      </c>
      <c r="B432" s="3" t="s">
        <v>319</v>
      </c>
      <c r="C432" s="3" t="s">
        <v>19</v>
      </c>
      <c r="D432" s="3" t="s">
        <v>320</v>
      </c>
      <c r="E432" s="3" t="s">
        <v>368</v>
      </c>
      <c r="F432" s="3">
        <v>4.0</v>
      </c>
      <c r="G432" s="4">
        <v>-27.66621</v>
      </c>
      <c r="H432" s="4">
        <v>-48.49087</v>
      </c>
      <c r="I432" s="5">
        <v>23.0</v>
      </c>
      <c r="J432" s="12" t="s">
        <v>377</v>
      </c>
      <c r="K432" s="12" t="s">
        <v>378</v>
      </c>
      <c r="L432" s="3"/>
      <c r="M432" s="5">
        <v>6.0</v>
      </c>
      <c r="N432" s="5">
        <v>18.0</v>
      </c>
      <c r="O432" s="5"/>
      <c r="P432" s="3" t="s">
        <v>90</v>
      </c>
      <c r="Q432" s="3"/>
      <c r="R432" s="6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15.75" customHeight="1">
      <c r="A433" s="3" t="s">
        <v>318</v>
      </c>
      <c r="B433" s="3" t="s">
        <v>319</v>
      </c>
      <c r="C433" s="3" t="s">
        <v>19</v>
      </c>
      <c r="D433" s="3" t="s">
        <v>320</v>
      </c>
      <c r="E433" s="3" t="s">
        <v>368</v>
      </c>
      <c r="F433" s="3">
        <v>4.0</v>
      </c>
      <c r="G433" s="4">
        <v>-27.66621</v>
      </c>
      <c r="H433" s="4">
        <v>-48.49087</v>
      </c>
      <c r="I433" s="5">
        <v>24.0</v>
      </c>
      <c r="J433" s="5" t="s">
        <v>379</v>
      </c>
      <c r="K433" s="5" t="s">
        <v>379</v>
      </c>
      <c r="L433" s="3"/>
      <c r="M433" s="5">
        <v>4.0</v>
      </c>
      <c r="N433" s="5">
        <v>15.0</v>
      </c>
      <c r="O433" s="5"/>
      <c r="P433" s="3"/>
      <c r="Q433" s="3"/>
      <c r="R433" s="6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15.75" customHeight="1">
      <c r="A434" s="3" t="s">
        <v>318</v>
      </c>
      <c r="B434" s="3" t="s">
        <v>319</v>
      </c>
      <c r="C434" s="3" t="s">
        <v>19</v>
      </c>
      <c r="D434" s="3" t="s">
        <v>320</v>
      </c>
      <c r="E434" s="3" t="s">
        <v>368</v>
      </c>
      <c r="F434" s="3">
        <v>4.0</v>
      </c>
      <c r="G434" s="4">
        <v>-27.66621</v>
      </c>
      <c r="H434" s="4">
        <v>-48.49087</v>
      </c>
      <c r="I434" s="5">
        <v>25.0</v>
      </c>
      <c r="J434" s="5" t="s">
        <v>98</v>
      </c>
      <c r="K434" s="5" t="s">
        <v>98</v>
      </c>
      <c r="L434" s="3"/>
      <c r="M434" s="5">
        <v>9.0</v>
      </c>
      <c r="N434" s="5">
        <v>63.0</v>
      </c>
      <c r="O434" s="5"/>
      <c r="P434" s="3"/>
      <c r="Q434" s="3"/>
      <c r="R434" s="6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15.75" customHeight="1">
      <c r="A435" s="3" t="s">
        <v>318</v>
      </c>
      <c r="B435" s="3" t="s">
        <v>319</v>
      </c>
      <c r="C435" s="3" t="s">
        <v>19</v>
      </c>
      <c r="D435" s="3" t="s">
        <v>320</v>
      </c>
      <c r="E435" s="3" t="s">
        <v>368</v>
      </c>
      <c r="F435" s="3">
        <v>4.0</v>
      </c>
      <c r="G435" s="4">
        <v>-27.66621</v>
      </c>
      <c r="H435" s="4">
        <v>-48.49087</v>
      </c>
      <c r="I435" s="5">
        <v>26.0</v>
      </c>
      <c r="J435" s="5" t="s">
        <v>98</v>
      </c>
      <c r="K435" s="5" t="s">
        <v>98</v>
      </c>
      <c r="L435" s="3"/>
      <c r="M435" s="5">
        <v>7.0</v>
      </c>
      <c r="N435" s="5">
        <v>21.0</v>
      </c>
      <c r="O435" s="5"/>
      <c r="P435" s="3"/>
      <c r="Q435" s="3"/>
      <c r="R435" s="6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15.75" customHeight="1">
      <c r="A436" s="3" t="s">
        <v>318</v>
      </c>
      <c r="B436" s="3" t="s">
        <v>319</v>
      </c>
      <c r="C436" s="3" t="s">
        <v>19</v>
      </c>
      <c r="D436" s="3" t="s">
        <v>320</v>
      </c>
      <c r="E436" s="3" t="s">
        <v>368</v>
      </c>
      <c r="F436" s="3">
        <v>4.0</v>
      </c>
      <c r="G436" s="4">
        <v>-27.66621</v>
      </c>
      <c r="H436" s="4">
        <v>-48.49087</v>
      </c>
      <c r="I436" s="5">
        <v>27.0</v>
      </c>
      <c r="J436" s="5" t="s">
        <v>323</v>
      </c>
      <c r="K436" s="5" t="s">
        <v>323</v>
      </c>
      <c r="L436" s="3"/>
      <c r="M436" s="5">
        <v>5.0</v>
      </c>
      <c r="N436" s="5">
        <v>27.0</v>
      </c>
      <c r="O436" s="5"/>
      <c r="P436" s="3"/>
      <c r="Q436" s="3"/>
      <c r="R436" s="6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15.75" customHeight="1">
      <c r="A437" s="3" t="s">
        <v>318</v>
      </c>
      <c r="B437" s="3" t="s">
        <v>319</v>
      </c>
      <c r="C437" s="3" t="s">
        <v>19</v>
      </c>
      <c r="D437" s="3" t="s">
        <v>320</v>
      </c>
      <c r="E437" s="3" t="s">
        <v>368</v>
      </c>
      <c r="F437" s="3">
        <v>4.0</v>
      </c>
      <c r="G437" s="4">
        <v>-27.66621</v>
      </c>
      <c r="H437" s="4">
        <v>-48.49087</v>
      </c>
      <c r="I437" s="5">
        <v>28.0</v>
      </c>
      <c r="J437" s="5" t="s">
        <v>380</v>
      </c>
      <c r="K437" s="5" t="s">
        <v>37</v>
      </c>
      <c r="L437" s="3"/>
      <c r="M437" s="5">
        <v>7.0</v>
      </c>
      <c r="N437" s="5">
        <v>28.0</v>
      </c>
      <c r="O437" s="5"/>
      <c r="P437" s="5" t="s">
        <v>90</v>
      </c>
      <c r="Q437" s="3"/>
      <c r="R437" s="6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15.75" customHeight="1">
      <c r="A438" s="3" t="s">
        <v>318</v>
      </c>
      <c r="B438" s="3" t="s">
        <v>319</v>
      </c>
      <c r="C438" s="3" t="s">
        <v>19</v>
      </c>
      <c r="D438" s="3" t="s">
        <v>320</v>
      </c>
      <c r="E438" s="3" t="s">
        <v>368</v>
      </c>
      <c r="F438" s="3">
        <v>4.0</v>
      </c>
      <c r="G438" s="4">
        <v>-27.66621</v>
      </c>
      <c r="H438" s="4">
        <v>-48.49087</v>
      </c>
      <c r="I438" s="5">
        <v>29.0</v>
      </c>
      <c r="J438" s="5" t="s">
        <v>34</v>
      </c>
      <c r="K438" s="5" t="s">
        <v>34</v>
      </c>
      <c r="L438" s="3"/>
      <c r="M438" s="5">
        <v>5.5</v>
      </c>
      <c r="N438" s="5" t="s">
        <v>381</v>
      </c>
      <c r="O438" s="3"/>
      <c r="P438" s="11"/>
      <c r="Q438" s="3"/>
      <c r="R438" s="6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15.75" customHeight="1">
      <c r="A439" s="3" t="s">
        <v>318</v>
      </c>
      <c r="B439" s="3" t="s">
        <v>319</v>
      </c>
      <c r="C439" s="3" t="s">
        <v>19</v>
      </c>
      <c r="D439" s="3" t="s">
        <v>320</v>
      </c>
      <c r="E439" s="3" t="s">
        <v>368</v>
      </c>
      <c r="F439" s="3">
        <v>4.0</v>
      </c>
      <c r="G439" s="4">
        <v>-27.66621</v>
      </c>
      <c r="H439" s="4">
        <v>-48.49087</v>
      </c>
      <c r="I439" s="5">
        <v>30.0</v>
      </c>
      <c r="J439" s="5" t="s">
        <v>83</v>
      </c>
      <c r="K439" s="5" t="s">
        <v>83</v>
      </c>
      <c r="L439" s="3"/>
      <c r="M439" s="5">
        <v>8.0</v>
      </c>
      <c r="N439" s="5">
        <v>20.0</v>
      </c>
      <c r="O439" s="5"/>
      <c r="P439" s="3"/>
      <c r="Q439" s="3"/>
      <c r="R439" s="6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15.75" customHeight="1">
      <c r="A440" s="3" t="s">
        <v>318</v>
      </c>
      <c r="B440" s="3" t="s">
        <v>319</v>
      </c>
      <c r="C440" s="3" t="s">
        <v>80</v>
      </c>
      <c r="D440" s="3" t="s">
        <v>382</v>
      </c>
      <c r="E440" s="3" t="s">
        <v>383</v>
      </c>
      <c r="F440" s="3">
        <v>5.0</v>
      </c>
      <c r="G440" s="4">
        <v>-27.67049</v>
      </c>
      <c r="H440" s="4">
        <v>-48.49293</v>
      </c>
      <c r="I440" s="5">
        <v>1.0</v>
      </c>
      <c r="J440" s="5" t="s">
        <v>384</v>
      </c>
      <c r="K440" s="5" t="s">
        <v>67</v>
      </c>
      <c r="L440" s="3" t="s">
        <v>64</v>
      </c>
      <c r="M440" s="5">
        <v>6.0</v>
      </c>
      <c r="N440" s="5">
        <v>18.0</v>
      </c>
      <c r="O440" s="5" t="s">
        <v>385</v>
      </c>
      <c r="P440" s="3" t="s">
        <v>15</v>
      </c>
      <c r="Q440" s="3"/>
      <c r="R440" s="6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15.75" customHeight="1">
      <c r="A441" s="3" t="s">
        <v>318</v>
      </c>
      <c r="B441" s="3" t="s">
        <v>319</v>
      </c>
      <c r="C441" s="3" t="s">
        <v>80</v>
      </c>
      <c r="D441" s="3" t="s">
        <v>382</v>
      </c>
      <c r="E441" s="3" t="s">
        <v>383</v>
      </c>
      <c r="F441" s="3">
        <v>5.0</v>
      </c>
      <c r="G441" s="4">
        <v>-27.67049</v>
      </c>
      <c r="H441" s="4">
        <v>-48.49293</v>
      </c>
      <c r="I441" s="5">
        <v>2.0</v>
      </c>
      <c r="J441" s="5" t="s">
        <v>104</v>
      </c>
      <c r="K441" s="5" t="s">
        <v>104</v>
      </c>
      <c r="L441" s="3"/>
      <c r="M441" s="5">
        <v>7.0</v>
      </c>
      <c r="N441" s="5">
        <v>21.0</v>
      </c>
      <c r="O441" s="5"/>
      <c r="P441" s="3"/>
      <c r="Q441" s="3"/>
      <c r="R441" s="6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ht="15.75" customHeight="1">
      <c r="A442" s="3" t="s">
        <v>318</v>
      </c>
      <c r="B442" s="3" t="s">
        <v>319</v>
      </c>
      <c r="C442" s="3" t="s">
        <v>80</v>
      </c>
      <c r="D442" s="3" t="s">
        <v>382</v>
      </c>
      <c r="E442" s="3" t="s">
        <v>383</v>
      </c>
      <c r="F442" s="3">
        <v>5.0</v>
      </c>
      <c r="G442" s="4">
        <v>-27.67049</v>
      </c>
      <c r="H442" s="4">
        <v>-48.49293</v>
      </c>
      <c r="I442" s="5">
        <v>3.0</v>
      </c>
      <c r="J442" s="5" t="s">
        <v>386</v>
      </c>
      <c r="K442" s="5" t="s">
        <v>387</v>
      </c>
      <c r="L442" s="3" t="s">
        <v>64</v>
      </c>
      <c r="M442" s="5">
        <v>10.0</v>
      </c>
      <c r="N442" s="5">
        <v>93.0</v>
      </c>
      <c r="O442" s="3"/>
      <c r="P442" s="5" t="s">
        <v>90</v>
      </c>
      <c r="Q442" s="3"/>
      <c r="R442" s="6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ht="15.75" customHeight="1">
      <c r="A443" s="3" t="s">
        <v>318</v>
      </c>
      <c r="B443" s="3" t="s">
        <v>319</v>
      </c>
      <c r="C443" s="3" t="s">
        <v>80</v>
      </c>
      <c r="D443" s="3" t="s">
        <v>382</v>
      </c>
      <c r="E443" s="3" t="s">
        <v>383</v>
      </c>
      <c r="F443" s="3">
        <v>5.0</v>
      </c>
      <c r="G443" s="4">
        <v>-27.67049</v>
      </c>
      <c r="H443" s="4">
        <v>-48.49293</v>
      </c>
      <c r="I443" s="5">
        <v>4.0</v>
      </c>
      <c r="J443" s="5" t="s">
        <v>178</v>
      </c>
      <c r="K443" s="5" t="s">
        <v>179</v>
      </c>
      <c r="L443" s="3" t="s">
        <v>64</v>
      </c>
      <c r="M443" s="5">
        <v>8.0</v>
      </c>
      <c r="N443" s="5">
        <v>22.0</v>
      </c>
      <c r="O443" s="5" t="s">
        <v>388</v>
      </c>
      <c r="P443" s="3"/>
      <c r="Q443" s="3"/>
      <c r="R443" s="6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ht="15.75" customHeight="1">
      <c r="A444" s="3" t="s">
        <v>318</v>
      </c>
      <c r="B444" s="3" t="s">
        <v>319</v>
      </c>
      <c r="C444" s="3" t="s">
        <v>80</v>
      </c>
      <c r="D444" s="3" t="s">
        <v>382</v>
      </c>
      <c r="E444" s="3" t="s">
        <v>383</v>
      </c>
      <c r="F444" s="3">
        <v>5.0</v>
      </c>
      <c r="G444" s="4">
        <v>-27.67049</v>
      </c>
      <c r="H444" s="4">
        <v>-48.49293</v>
      </c>
      <c r="I444" s="5">
        <v>5.0</v>
      </c>
      <c r="J444" s="5" t="s">
        <v>104</v>
      </c>
      <c r="K444" s="5" t="s">
        <v>104</v>
      </c>
      <c r="L444" s="3"/>
      <c r="M444" s="5">
        <v>8.0</v>
      </c>
      <c r="N444" s="5">
        <v>32.0</v>
      </c>
      <c r="O444" s="5"/>
      <c r="P444" s="3"/>
      <c r="Q444" s="3"/>
      <c r="R444" s="6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ht="15.75" customHeight="1">
      <c r="A445" s="3" t="s">
        <v>318</v>
      </c>
      <c r="B445" s="3" t="s">
        <v>319</v>
      </c>
      <c r="C445" s="3" t="s">
        <v>80</v>
      </c>
      <c r="D445" s="3" t="s">
        <v>382</v>
      </c>
      <c r="E445" s="3" t="s">
        <v>383</v>
      </c>
      <c r="F445" s="3">
        <v>5.0</v>
      </c>
      <c r="G445" s="4">
        <v>-27.67049</v>
      </c>
      <c r="H445" s="4">
        <v>-48.49293</v>
      </c>
      <c r="I445" s="5">
        <v>6.0</v>
      </c>
      <c r="J445" s="5" t="s">
        <v>192</v>
      </c>
      <c r="K445" s="5" t="s">
        <v>192</v>
      </c>
      <c r="L445" s="3"/>
      <c r="M445" s="5">
        <v>8.0</v>
      </c>
      <c r="N445" s="5" t="s">
        <v>389</v>
      </c>
      <c r="O445" s="5"/>
      <c r="P445" s="3" t="s">
        <v>90</v>
      </c>
      <c r="Q445" s="3"/>
      <c r="R445" s="6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ht="15.75" customHeight="1">
      <c r="A446" s="3" t="s">
        <v>318</v>
      </c>
      <c r="B446" s="3" t="s">
        <v>319</v>
      </c>
      <c r="C446" s="3" t="s">
        <v>80</v>
      </c>
      <c r="D446" s="3" t="s">
        <v>382</v>
      </c>
      <c r="E446" s="3" t="s">
        <v>383</v>
      </c>
      <c r="F446" s="3">
        <v>5.0</v>
      </c>
      <c r="G446" s="4">
        <v>-27.67049</v>
      </c>
      <c r="H446" s="4">
        <v>-48.49293</v>
      </c>
      <c r="I446" s="5">
        <v>7.0</v>
      </c>
      <c r="J446" s="5" t="s">
        <v>27</v>
      </c>
      <c r="K446" s="5" t="s">
        <v>27</v>
      </c>
      <c r="L446" s="3"/>
      <c r="M446" s="5">
        <v>14.0</v>
      </c>
      <c r="N446" s="5">
        <v>190.0</v>
      </c>
      <c r="O446" s="5"/>
      <c r="P446" s="3"/>
      <c r="Q446" s="3"/>
      <c r="R446" s="6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ht="15.75" customHeight="1">
      <c r="A447" s="3" t="s">
        <v>318</v>
      </c>
      <c r="B447" s="3" t="s">
        <v>319</v>
      </c>
      <c r="C447" s="3" t="s">
        <v>80</v>
      </c>
      <c r="D447" s="3" t="s">
        <v>382</v>
      </c>
      <c r="E447" s="3" t="s">
        <v>383</v>
      </c>
      <c r="F447" s="3">
        <v>5.0</v>
      </c>
      <c r="G447" s="4">
        <v>-27.67049</v>
      </c>
      <c r="H447" s="4">
        <v>-48.49293</v>
      </c>
      <c r="I447" s="5">
        <v>8.0</v>
      </c>
      <c r="J447" s="5" t="s">
        <v>104</v>
      </c>
      <c r="K447" s="5" t="s">
        <v>104</v>
      </c>
      <c r="L447" s="3"/>
      <c r="M447" s="5">
        <v>8.0</v>
      </c>
      <c r="N447" s="5">
        <v>24.0</v>
      </c>
      <c r="O447" s="5"/>
      <c r="P447" s="3"/>
      <c r="Q447" s="3"/>
      <c r="R447" s="6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ht="15.75" customHeight="1">
      <c r="A448" s="3" t="s">
        <v>318</v>
      </c>
      <c r="B448" s="3" t="s">
        <v>319</v>
      </c>
      <c r="C448" s="3" t="s">
        <v>80</v>
      </c>
      <c r="D448" s="3" t="s">
        <v>382</v>
      </c>
      <c r="E448" s="3" t="s">
        <v>383</v>
      </c>
      <c r="F448" s="3">
        <v>5.0</v>
      </c>
      <c r="G448" s="4">
        <v>-27.67049</v>
      </c>
      <c r="H448" s="4">
        <v>-48.49293</v>
      </c>
      <c r="I448" s="5">
        <v>9.0</v>
      </c>
      <c r="J448" s="5" t="s">
        <v>104</v>
      </c>
      <c r="K448" s="5" t="s">
        <v>104</v>
      </c>
      <c r="L448" s="3"/>
      <c r="M448" s="5">
        <v>5.0</v>
      </c>
      <c r="N448" s="5">
        <v>15.0</v>
      </c>
      <c r="O448" s="5"/>
      <c r="P448" s="3"/>
      <c r="Q448" s="3"/>
      <c r="R448" s="6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ht="15.75" customHeight="1">
      <c r="A449" s="3" t="s">
        <v>318</v>
      </c>
      <c r="B449" s="3" t="s">
        <v>319</v>
      </c>
      <c r="C449" s="3" t="s">
        <v>80</v>
      </c>
      <c r="D449" s="3" t="s">
        <v>382</v>
      </c>
      <c r="E449" s="3" t="s">
        <v>383</v>
      </c>
      <c r="F449" s="3">
        <v>5.0</v>
      </c>
      <c r="G449" s="4">
        <v>-27.67049</v>
      </c>
      <c r="H449" s="4">
        <v>-48.49293</v>
      </c>
      <c r="I449" s="5">
        <v>10.0</v>
      </c>
      <c r="J449" s="3" t="s">
        <v>390</v>
      </c>
      <c r="K449" s="3" t="s">
        <v>390</v>
      </c>
      <c r="L449" s="3" t="s">
        <v>64</v>
      </c>
      <c r="M449" s="5">
        <v>12.0</v>
      </c>
      <c r="N449" s="5">
        <v>54.0</v>
      </c>
      <c r="O449" s="5" t="s">
        <v>391</v>
      </c>
      <c r="P449" s="3"/>
      <c r="Q449" s="3"/>
      <c r="R449" s="6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ht="15.75" customHeight="1">
      <c r="A450" s="3" t="s">
        <v>318</v>
      </c>
      <c r="B450" s="3" t="s">
        <v>319</v>
      </c>
      <c r="C450" s="3" t="s">
        <v>80</v>
      </c>
      <c r="D450" s="3" t="s">
        <v>382</v>
      </c>
      <c r="E450" s="3" t="s">
        <v>383</v>
      </c>
      <c r="F450" s="3">
        <v>5.0</v>
      </c>
      <c r="G450" s="4">
        <v>-27.67049</v>
      </c>
      <c r="H450" s="4">
        <v>-48.49293</v>
      </c>
      <c r="I450" s="5">
        <v>11.0</v>
      </c>
      <c r="J450" s="5" t="s">
        <v>392</v>
      </c>
      <c r="K450" s="5" t="s">
        <v>179</v>
      </c>
      <c r="L450" s="3" t="s">
        <v>64</v>
      </c>
      <c r="M450" s="5">
        <v>8.0</v>
      </c>
      <c r="N450" s="5" t="s">
        <v>393</v>
      </c>
      <c r="O450" s="5"/>
      <c r="P450" s="3"/>
      <c r="Q450" s="3"/>
      <c r="R450" s="6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ht="15.75" customHeight="1">
      <c r="A451" s="3" t="s">
        <v>318</v>
      </c>
      <c r="B451" s="3" t="s">
        <v>319</v>
      </c>
      <c r="C451" s="3" t="s">
        <v>80</v>
      </c>
      <c r="D451" s="3" t="s">
        <v>382</v>
      </c>
      <c r="E451" s="3" t="s">
        <v>383</v>
      </c>
      <c r="F451" s="3">
        <v>5.0</v>
      </c>
      <c r="G451" s="4">
        <v>-27.67049</v>
      </c>
      <c r="H451" s="4">
        <v>-48.49293</v>
      </c>
      <c r="I451" s="5">
        <v>12.0</v>
      </c>
      <c r="J451" s="5" t="s">
        <v>192</v>
      </c>
      <c r="K451" s="5" t="s">
        <v>192</v>
      </c>
      <c r="L451" s="3"/>
      <c r="M451" s="5">
        <v>11.0</v>
      </c>
      <c r="N451" s="5">
        <v>61.0</v>
      </c>
      <c r="O451" s="5"/>
      <c r="P451" s="3"/>
      <c r="Q451" s="3"/>
      <c r="R451" s="6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ht="15.75" customHeight="1">
      <c r="A452" s="3" t="s">
        <v>318</v>
      </c>
      <c r="B452" s="3" t="s">
        <v>319</v>
      </c>
      <c r="C452" s="3" t="s">
        <v>80</v>
      </c>
      <c r="D452" s="3" t="s">
        <v>382</v>
      </c>
      <c r="E452" s="3" t="s">
        <v>383</v>
      </c>
      <c r="F452" s="3">
        <v>5.0</v>
      </c>
      <c r="G452" s="4">
        <v>-27.67049</v>
      </c>
      <c r="H452" s="4">
        <v>-48.49293</v>
      </c>
      <c r="I452" s="5">
        <v>13.0</v>
      </c>
      <c r="J452" s="5" t="s">
        <v>394</v>
      </c>
      <c r="K452" s="5" t="s">
        <v>394</v>
      </c>
      <c r="L452" s="3" t="s">
        <v>64</v>
      </c>
      <c r="M452" s="5">
        <v>7.0</v>
      </c>
      <c r="N452" s="5">
        <v>26.0</v>
      </c>
      <c r="O452" s="5"/>
      <c r="P452" s="3"/>
      <c r="Q452" s="3"/>
      <c r="R452" s="6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ht="15.75" customHeight="1">
      <c r="A453" s="3" t="s">
        <v>318</v>
      </c>
      <c r="B453" s="3" t="s">
        <v>319</v>
      </c>
      <c r="C453" s="3" t="s">
        <v>80</v>
      </c>
      <c r="D453" s="3" t="s">
        <v>382</v>
      </c>
      <c r="E453" s="3" t="s">
        <v>383</v>
      </c>
      <c r="F453" s="3">
        <v>5.0</v>
      </c>
      <c r="G453" s="4">
        <v>-27.67049</v>
      </c>
      <c r="H453" s="4">
        <v>-48.49293</v>
      </c>
      <c r="I453" s="5">
        <v>14.0</v>
      </c>
      <c r="J453" s="5" t="s">
        <v>24</v>
      </c>
      <c r="K453" s="5" t="s">
        <v>24</v>
      </c>
      <c r="L453" s="3"/>
      <c r="M453" s="5">
        <v>6.0</v>
      </c>
      <c r="N453" s="5">
        <v>25.0</v>
      </c>
      <c r="O453" s="5"/>
      <c r="P453" s="3"/>
      <c r="Q453" s="3"/>
      <c r="R453" s="6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ht="15.75" customHeight="1">
      <c r="A454" s="3" t="s">
        <v>318</v>
      </c>
      <c r="B454" s="3" t="s">
        <v>319</v>
      </c>
      <c r="C454" s="3" t="s">
        <v>80</v>
      </c>
      <c r="D454" s="3" t="s">
        <v>382</v>
      </c>
      <c r="E454" s="3" t="s">
        <v>383</v>
      </c>
      <c r="F454" s="3">
        <v>5.0</v>
      </c>
      <c r="G454" s="4">
        <v>-27.67049</v>
      </c>
      <c r="H454" s="4">
        <v>-48.49293</v>
      </c>
      <c r="I454" s="5">
        <v>15.0</v>
      </c>
      <c r="J454" s="5" t="s">
        <v>104</v>
      </c>
      <c r="K454" s="5" t="s">
        <v>104</v>
      </c>
      <c r="L454" s="3"/>
      <c r="M454" s="5">
        <v>10.0</v>
      </c>
      <c r="N454" s="5">
        <v>36.0</v>
      </c>
      <c r="O454" s="5"/>
      <c r="P454" s="3"/>
      <c r="Q454" s="3"/>
      <c r="R454" s="6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ht="15.75" customHeight="1">
      <c r="A455" s="3" t="s">
        <v>318</v>
      </c>
      <c r="B455" s="3" t="s">
        <v>319</v>
      </c>
      <c r="C455" s="3" t="s">
        <v>80</v>
      </c>
      <c r="D455" s="3" t="s">
        <v>382</v>
      </c>
      <c r="E455" s="3" t="s">
        <v>383</v>
      </c>
      <c r="F455" s="3">
        <v>5.0</v>
      </c>
      <c r="G455" s="4">
        <v>-27.67049</v>
      </c>
      <c r="H455" s="4">
        <v>-48.49293</v>
      </c>
      <c r="I455" s="5">
        <v>16.0</v>
      </c>
      <c r="J455" s="20" t="s">
        <v>395</v>
      </c>
      <c r="K455" s="5" t="s">
        <v>315</v>
      </c>
      <c r="L455" s="3"/>
      <c r="M455" s="5"/>
      <c r="N455" s="5"/>
      <c r="O455" s="5"/>
      <c r="P455" s="3"/>
      <c r="Q455" s="3"/>
      <c r="R455" s="6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ht="15.75" customHeight="1">
      <c r="A456" s="3" t="s">
        <v>318</v>
      </c>
      <c r="B456" s="3" t="s">
        <v>319</v>
      </c>
      <c r="C456" s="3" t="s">
        <v>80</v>
      </c>
      <c r="D456" s="3" t="s">
        <v>382</v>
      </c>
      <c r="E456" s="3" t="s">
        <v>383</v>
      </c>
      <c r="F456" s="3">
        <v>5.0</v>
      </c>
      <c r="G456" s="4">
        <v>-27.67049</v>
      </c>
      <c r="H456" s="4">
        <v>-48.49293</v>
      </c>
      <c r="I456" s="5">
        <v>17.0</v>
      </c>
      <c r="J456" s="20" t="s">
        <v>395</v>
      </c>
      <c r="K456" s="5" t="s">
        <v>315</v>
      </c>
      <c r="L456" s="3"/>
      <c r="M456" s="5"/>
      <c r="N456" s="5"/>
      <c r="O456" s="5"/>
      <c r="P456" s="3"/>
      <c r="Q456" s="3"/>
      <c r="R456" s="6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ht="15.75" customHeight="1">
      <c r="A457" s="3" t="s">
        <v>318</v>
      </c>
      <c r="B457" s="3" t="s">
        <v>319</v>
      </c>
      <c r="C457" s="3" t="s">
        <v>80</v>
      </c>
      <c r="D457" s="3" t="s">
        <v>382</v>
      </c>
      <c r="E457" s="3" t="s">
        <v>383</v>
      </c>
      <c r="F457" s="3">
        <v>5.0</v>
      </c>
      <c r="G457" s="4">
        <v>-27.67049</v>
      </c>
      <c r="H457" s="4">
        <v>-48.49293</v>
      </c>
      <c r="I457" s="5">
        <v>18.0</v>
      </c>
      <c r="J457" s="14" t="s">
        <v>396</v>
      </c>
      <c r="K457" s="5" t="s">
        <v>397</v>
      </c>
      <c r="L457" s="3"/>
      <c r="M457" s="5">
        <v>5.0</v>
      </c>
      <c r="N457" s="5">
        <v>17.0</v>
      </c>
      <c r="O457" s="3"/>
      <c r="P457" s="5" t="s">
        <v>90</v>
      </c>
      <c r="Q457" s="3"/>
      <c r="R457" s="6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ht="15.75" customHeight="1">
      <c r="A458" s="3" t="s">
        <v>318</v>
      </c>
      <c r="B458" s="3" t="s">
        <v>319</v>
      </c>
      <c r="C458" s="3" t="s">
        <v>80</v>
      </c>
      <c r="D458" s="3" t="s">
        <v>382</v>
      </c>
      <c r="E458" s="3" t="s">
        <v>383</v>
      </c>
      <c r="F458" s="3">
        <v>5.0</v>
      </c>
      <c r="G458" s="4">
        <v>-27.67049</v>
      </c>
      <c r="H458" s="4">
        <v>-48.49293</v>
      </c>
      <c r="I458" s="5">
        <v>19.0</v>
      </c>
      <c r="J458" s="5" t="s">
        <v>104</v>
      </c>
      <c r="K458" s="5" t="s">
        <v>104</v>
      </c>
      <c r="L458" s="3"/>
      <c r="M458" s="5">
        <v>7.0</v>
      </c>
      <c r="N458" s="5">
        <v>28.0</v>
      </c>
      <c r="O458" s="5"/>
      <c r="P458" s="3"/>
      <c r="Q458" s="3"/>
      <c r="R458" s="6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ht="15.75" customHeight="1">
      <c r="A459" s="3" t="s">
        <v>318</v>
      </c>
      <c r="B459" s="3" t="s">
        <v>319</v>
      </c>
      <c r="C459" s="3" t="s">
        <v>80</v>
      </c>
      <c r="D459" s="3" t="s">
        <v>382</v>
      </c>
      <c r="E459" s="3" t="s">
        <v>383</v>
      </c>
      <c r="F459" s="3">
        <v>5.0</v>
      </c>
      <c r="G459" s="4">
        <v>-27.67049</v>
      </c>
      <c r="H459" s="4">
        <v>-48.49293</v>
      </c>
      <c r="I459" s="5">
        <v>20.0</v>
      </c>
      <c r="J459" s="5" t="s">
        <v>31</v>
      </c>
      <c r="K459" s="5" t="s">
        <v>31</v>
      </c>
      <c r="L459" s="3"/>
      <c r="M459" s="5">
        <v>9.0</v>
      </c>
      <c r="N459" s="5">
        <v>65.0</v>
      </c>
      <c r="O459" s="5"/>
      <c r="P459" s="3"/>
      <c r="Q459" s="3"/>
      <c r="R459" s="6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ht="15.75" customHeight="1">
      <c r="A460" s="3" t="s">
        <v>318</v>
      </c>
      <c r="B460" s="3" t="s">
        <v>319</v>
      </c>
      <c r="C460" s="3" t="s">
        <v>80</v>
      </c>
      <c r="D460" s="3" t="s">
        <v>382</v>
      </c>
      <c r="E460" s="3" t="s">
        <v>383</v>
      </c>
      <c r="F460" s="3">
        <v>5.0</v>
      </c>
      <c r="G460" s="4">
        <v>-27.67049</v>
      </c>
      <c r="H460" s="4">
        <v>-48.49293</v>
      </c>
      <c r="I460" s="5">
        <v>21.0</v>
      </c>
      <c r="J460" s="5" t="s">
        <v>56</v>
      </c>
      <c r="K460" s="5" t="s">
        <v>56</v>
      </c>
      <c r="L460" s="3"/>
      <c r="M460" s="5">
        <v>5.0</v>
      </c>
      <c r="N460" s="5">
        <v>18.0</v>
      </c>
      <c r="O460" s="5"/>
      <c r="P460" s="3"/>
      <c r="Q460" s="3"/>
      <c r="R460" s="6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ht="15.75" customHeight="1">
      <c r="A461" s="3" t="s">
        <v>318</v>
      </c>
      <c r="B461" s="3" t="s">
        <v>319</v>
      </c>
      <c r="C461" s="3" t="s">
        <v>80</v>
      </c>
      <c r="D461" s="3" t="s">
        <v>382</v>
      </c>
      <c r="E461" s="3" t="s">
        <v>383</v>
      </c>
      <c r="F461" s="3">
        <v>5.0</v>
      </c>
      <c r="G461" s="4">
        <v>-27.67049</v>
      </c>
      <c r="H461" s="4">
        <v>-48.49293</v>
      </c>
      <c r="I461" s="5">
        <v>22.0</v>
      </c>
      <c r="J461" s="5" t="s">
        <v>104</v>
      </c>
      <c r="K461" s="5" t="s">
        <v>104</v>
      </c>
      <c r="L461" s="3"/>
      <c r="M461" s="5">
        <v>8.0</v>
      </c>
      <c r="N461" s="5">
        <v>25.0</v>
      </c>
      <c r="O461" s="5"/>
      <c r="P461" s="3"/>
      <c r="Q461" s="3"/>
      <c r="R461" s="6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ht="15.75" customHeight="1">
      <c r="A462" s="3" t="s">
        <v>318</v>
      </c>
      <c r="B462" s="3" t="s">
        <v>319</v>
      </c>
      <c r="C462" s="3" t="s">
        <v>80</v>
      </c>
      <c r="D462" s="3" t="s">
        <v>382</v>
      </c>
      <c r="E462" s="3" t="s">
        <v>383</v>
      </c>
      <c r="F462" s="3">
        <v>5.0</v>
      </c>
      <c r="G462" s="4">
        <v>-27.67049</v>
      </c>
      <c r="H462" s="4">
        <v>-48.49293</v>
      </c>
      <c r="I462" s="5">
        <v>23.0</v>
      </c>
      <c r="J462" s="5" t="s">
        <v>104</v>
      </c>
      <c r="K462" s="5" t="s">
        <v>104</v>
      </c>
      <c r="L462" s="3"/>
      <c r="M462" s="5">
        <v>9.0</v>
      </c>
      <c r="N462" s="5" t="s">
        <v>398</v>
      </c>
      <c r="O462" s="5"/>
      <c r="P462" s="3"/>
      <c r="Q462" s="3"/>
      <c r="R462" s="6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ht="15.75" customHeight="1">
      <c r="A463" s="3" t="s">
        <v>318</v>
      </c>
      <c r="B463" s="3" t="s">
        <v>319</v>
      </c>
      <c r="C463" s="3" t="s">
        <v>80</v>
      </c>
      <c r="D463" s="3" t="s">
        <v>382</v>
      </c>
      <c r="E463" s="3" t="s">
        <v>383</v>
      </c>
      <c r="F463" s="3">
        <v>5.0</v>
      </c>
      <c r="G463" s="4">
        <v>-27.67049</v>
      </c>
      <c r="H463" s="4">
        <v>-48.49293</v>
      </c>
      <c r="I463" s="5">
        <v>24.0</v>
      </c>
      <c r="J463" s="5" t="s">
        <v>284</v>
      </c>
      <c r="K463" s="5" t="s">
        <v>285</v>
      </c>
      <c r="L463" s="3" t="s">
        <v>64</v>
      </c>
      <c r="M463" s="5">
        <v>5.5</v>
      </c>
      <c r="N463" s="5">
        <v>17.5</v>
      </c>
      <c r="O463" s="5" t="s">
        <v>399</v>
      </c>
      <c r="P463" s="3"/>
      <c r="Q463" s="3"/>
      <c r="R463" s="6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ht="15.75" customHeight="1">
      <c r="A464" s="3" t="s">
        <v>318</v>
      </c>
      <c r="B464" s="3" t="s">
        <v>319</v>
      </c>
      <c r="C464" s="3" t="s">
        <v>80</v>
      </c>
      <c r="D464" s="3" t="s">
        <v>382</v>
      </c>
      <c r="E464" s="3" t="s">
        <v>383</v>
      </c>
      <c r="F464" s="3">
        <v>5.0</v>
      </c>
      <c r="G464" s="4">
        <v>-27.67049</v>
      </c>
      <c r="H464" s="4">
        <v>-48.49293</v>
      </c>
      <c r="I464" s="5">
        <v>25.0</v>
      </c>
      <c r="J464" s="5" t="s">
        <v>400</v>
      </c>
      <c r="K464" s="5" t="s">
        <v>401</v>
      </c>
      <c r="L464" s="3"/>
      <c r="M464" s="5">
        <v>6.0</v>
      </c>
      <c r="N464" s="5">
        <v>16.0</v>
      </c>
      <c r="O464" s="5"/>
      <c r="P464" s="3" t="s">
        <v>90</v>
      </c>
      <c r="Q464" s="3"/>
      <c r="R464" s="6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ht="15.75" customHeight="1">
      <c r="A465" s="3" t="s">
        <v>318</v>
      </c>
      <c r="B465" s="3" t="s">
        <v>319</v>
      </c>
      <c r="C465" s="3" t="s">
        <v>80</v>
      </c>
      <c r="D465" s="3" t="s">
        <v>382</v>
      </c>
      <c r="E465" s="3" t="s">
        <v>402</v>
      </c>
      <c r="F465" s="3">
        <v>6.0</v>
      </c>
      <c r="G465" s="4">
        <v>-27.6707</v>
      </c>
      <c r="H465" s="4">
        <v>-48.49287</v>
      </c>
      <c r="I465" s="5">
        <v>1.0</v>
      </c>
      <c r="J465" s="5" t="s">
        <v>104</v>
      </c>
      <c r="K465" s="5" t="s">
        <v>104</v>
      </c>
      <c r="L465" s="3"/>
      <c r="M465" s="5">
        <v>7.0</v>
      </c>
      <c r="N465" s="5">
        <v>18.5</v>
      </c>
      <c r="O465" s="5"/>
      <c r="P465" s="3"/>
      <c r="Q465" s="3"/>
      <c r="R465" s="6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ht="15.75" customHeight="1">
      <c r="A466" s="3" t="s">
        <v>318</v>
      </c>
      <c r="B466" s="3" t="s">
        <v>319</v>
      </c>
      <c r="C466" s="3" t="s">
        <v>80</v>
      </c>
      <c r="D466" s="3" t="s">
        <v>382</v>
      </c>
      <c r="E466" s="3" t="s">
        <v>402</v>
      </c>
      <c r="F466" s="3">
        <v>6.0</v>
      </c>
      <c r="G466" s="4">
        <v>-27.6707</v>
      </c>
      <c r="H466" s="4">
        <v>-48.49287</v>
      </c>
      <c r="I466" s="5">
        <v>2.0</v>
      </c>
      <c r="J466" s="5" t="s">
        <v>403</v>
      </c>
      <c r="K466" s="5" t="s">
        <v>403</v>
      </c>
      <c r="L466" s="3" t="s">
        <v>64</v>
      </c>
      <c r="M466" s="5">
        <v>9.0</v>
      </c>
      <c r="N466" s="5">
        <v>21.5</v>
      </c>
      <c r="O466" s="5" t="s">
        <v>404</v>
      </c>
      <c r="P466" s="3"/>
      <c r="Q466" s="3"/>
      <c r="R466" s="6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ht="15.75" customHeight="1">
      <c r="A467" s="3" t="s">
        <v>318</v>
      </c>
      <c r="B467" s="3" t="s">
        <v>319</v>
      </c>
      <c r="C467" s="3" t="s">
        <v>80</v>
      </c>
      <c r="D467" s="3" t="s">
        <v>382</v>
      </c>
      <c r="E467" s="3" t="s">
        <v>402</v>
      </c>
      <c r="F467" s="3">
        <v>6.0</v>
      </c>
      <c r="G467" s="4">
        <v>-27.6707</v>
      </c>
      <c r="H467" s="4">
        <v>-48.49287</v>
      </c>
      <c r="I467" s="5">
        <v>3.0</v>
      </c>
      <c r="J467" s="5" t="s">
        <v>56</v>
      </c>
      <c r="K467" s="5" t="s">
        <v>56</v>
      </c>
      <c r="L467" s="3"/>
      <c r="M467" s="5">
        <v>7.0</v>
      </c>
      <c r="N467" s="5" t="s">
        <v>405</v>
      </c>
      <c r="O467" s="5"/>
      <c r="P467" s="3"/>
      <c r="Q467" s="3"/>
      <c r="R467" s="6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ht="15.75" customHeight="1">
      <c r="A468" s="3" t="s">
        <v>318</v>
      </c>
      <c r="B468" s="3" t="s">
        <v>319</v>
      </c>
      <c r="C468" s="3" t="s">
        <v>80</v>
      </c>
      <c r="D468" s="3" t="s">
        <v>382</v>
      </c>
      <c r="E468" s="3" t="s">
        <v>402</v>
      </c>
      <c r="F468" s="3">
        <v>6.0</v>
      </c>
      <c r="G468" s="4">
        <v>-27.6707</v>
      </c>
      <c r="H468" s="4">
        <v>-48.49287</v>
      </c>
      <c r="I468" s="5">
        <v>4.0</v>
      </c>
      <c r="J468" s="5" t="s">
        <v>104</v>
      </c>
      <c r="K468" s="5" t="s">
        <v>104</v>
      </c>
      <c r="L468" s="3"/>
      <c r="M468" s="5">
        <v>11.0</v>
      </c>
      <c r="N468" s="5" t="s">
        <v>406</v>
      </c>
      <c r="O468" s="5"/>
      <c r="P468" s="3"/>
      <c r="Q468" s="3"/>
      <c r="R468" s="6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ht="15.75" customHeight="1">
      <c r="A469" s="3" t="s">
        <v>318</v>
      </c>
      <c r="B469" s="3" t="s">
        <v>319</v>
      </c>
      <c r="C469" s="3" t="s">
        <v>80</v>
      </c>
      <c r="D469" s="3" t="s">
        <v>382</v>
      </c>
      <c r="E469" s="3" t="s">
        <v>402</v>
      </c>
      <c r="F469" s="3">
        <v>6.0</v>
      </c>
      <c r="G469" s="4">
        <v>-27.6707</v>
      </c>
      <c r="H469" s="4">
        <v>-48.49287</v>
      </c>
      <c r="I469" s="5">
        <v>5.0</v>
      </c>
      <c r="J469" s="5" t="s">
        <v>98</v>
      </c>
      <c r="K469" s="5" t="s">
        <v>98</v>
      </c>
      <c r="L469" s="3"/>
      <c r="M469" s="5">
        <v>5.0</v>
      </c>
      <c r="N469" s="5">
        <v>16.0</v>
      </c>
      <c r="O469" s="5"/>
      <c r="P469" s="3"/>
      <c r="Q469" s="3"/>
      <c r="R469" s="6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ht="15.75" customHeight="1">
      <c r="A470" s="3" t="s">
        <v>318</v>
      </c>
      <c r="B470" s="3" t="s">
        <v>319</v>
      </c>
      <c r="C470" s="3" t="s">
        <v>80</v>
      </c>
      <c r="D470" s="3" t="s">
        <v>382</v>
      </c>
      <c r="E470" s="3" t="s">
        <v>402</v>
      </c>
      <c r="F470" s="3">
        <v>6.0</v>
      </c>
      <c r="G470" s="4">
        <v>-27.6707</v>
      </c>
      <c r="H470" s="4">
        <v>-48.49287</v>
      </c>
      <c r="I470" s="5">
        <v>6.0</v>
      </c>
      <c r="J470" s="5" t="s">
        <v>98</v>
      </c>
      <c r="K470" s="5" t="s">
        <v>98</v>
      </c>
      <c r="L470" s="3"/>
      <c r="M470" s="5">
        <v>7.0</v>
      </c>
      <c r="N470" s="5">
        <v>34.0</v>
      </c>
      <c r="O470" s="5"/>
      <c r="P470" s="3"/>
      <c r="Q470" s="3"/>
      <c r="R470" s="6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ht="15.75" customHeight="1">
      <c r="A471" s="3" t="s">
        <v>318</v>
      </c>
      <c r="B471" s="3" t="s">
        <v>319</v>
      </c>
      <c r="C471" s="3" t="s">
        <v>80</v>
      </c>
      <c r="D471" s="3" t="s">
        <v>382</v>
      </c>
      <c r="E471" s="3" t="s">
        <v>402</v>
      </c>
      <c r="F471" s="3">
        <v>6.0</v>
      </c>
      <c r="G471" s="4">
        <v>-27.6707</v>
      </c>
      <c r="H471" s="4">
        <v>-48.49287</v>
      </c>
      <c r="I471" s="5">
        <v>7.0</v>
      </c>
      <c r="J471" s="5" t="s">
        <v>104</v>
      </c>
      <c r="K471" s="5" t="s">
        <v>104</v>
      </c>
      <c r="L471" s="3"/>
      <c r="M471" s="5">
        <v>9.0</v>
      </c>
      <c r="N471" s="5" t="s">
        <v>407</v>
      </c>
      <c r="O471" s="5"/>
      <c r="P471" s="3"/>
      <c r="Q471" s="3"/>
      <c r="R471" s="6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ht="15.75" customHeight="1">
      <c r="A472" s="3" t="s">
        <v>318</v>
      </c>
      <c r="B472" s="3" t="s">
        <v>319</v>
      </c>
      <c r="C472" s="3" t="s">
        <v>80</v>
      </c>
      <c r="D472" s="3" t="s">
        <v>382</v>
      </c>
      <c r="E472" s="3" t="s">
        <v>402</v>
      </c>
      <c r="F472" s="3">
        <v>6.0</v>
      </c>
      <c r="G472" s="4">
        <v>-27.6707</v>
      </c>
      <c r="H472" s="4">
        <v>-48.49287</v>
      </c>
      <c r="I472" s="5">
        <v>8.0</v>
      </c>
      <c r="J472" s="5" t="s">
        <v>202</v>
      </c>
      <c r="K472" s="5" t="s">
        <v>202</v>
      </c>
      <c r="L472" s="3"/>
      <c r="M472" s="5">
        <v>5.0</v>
      </c>
      <c r="N472" s="5" t="s">
        <v>408</v>
      </c>
      <c r="O472" s="5"/>
      <c r="P472" s="3"/>
      <c r="Q472" s="3"/>
      <c r="R472" s="6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ht="15.75" customHeight="1">
      <c r="A473" s="3" t="s">
        <v>318</v>
      </c>
      <c r="B473" s="3" t="s">
        <v>319</v>
      </c>
      <c r="C473" s="3" t="s">
        <v>80</v>
      </c>
      <c r="D473" s="3" t="s">
        <v>382</v>
      </c>
      <c r="E473" s="3" t="s">
        <v>402</v>
      </c>
      <c r="F473" s="3">
        <v>6.0</v>
      </c>
      <c r="G473" s="4">
        <v>-27.6707</v>
      </c>
      <c r="H473" s="4">
        <v>-48.49287</v>
      </c>
      <c r="I473" s="5">
        <v>9.0</v>
      </c>
      <c r="J473" s="5" t="s">
        <v>104</v>
      </c>
      <c r="K473" s="5" t="s">
        <v>104</v>
      </c>
      <c r="L473" s="3"/>
      <c r="M473" s="5">
        <v>8.0</v>
      </c>
      <c r="N473" s="5" t="s">
        <v>409</v>
      </c>
      <c r="O473" s="5"/>
      <c r="P473" s="3"/>
      <c r="Q473" s="3"/>
      <c r="R473" s="6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ht="15.75" customHeight="1">
      <c r="A474" s="3" t="s">
        <v>318</v>
      </c>
      <c r="B474" s="3" t="s">
        <v>319</v>
      </c>
      <c r="C474" s="3" t="s">
        <v>80</v>
      </c>
      <c r="D474" s="3" t="s">
        <v>382</v>
      </c>
      <c r="E474" s="3" t="s">
        <v>402</v>
      </c>
      <c r="F474" s="3">
        <v>6.0</v>
      </c>
      <c r="G474" s="4">
        <v>-27.6707</v>
      </c>
      <c r="H474" s="4">
        <v>-48.49287</v>
      </c>
      <c r="I474" s="5">
        <v>10.0</v>
      </c>
      <c r="J474" s="5" t="s">
        <v>56</v>
      </c>
      <c r="K474" s="5" t="s">
        <v>56</v>
      </c>
      <c r="L474" s="3"/>
      <c r="M474" s="5">
        <v>7.0</v>
      </c>
      <c r="N474" s="5" t="s">
        <v>410</v>
      </c>
      <c r="O474" s="5"/>
      <c r="P474" s="3"/>
      <c r="Q474" s="3"/>
      <c r="R474" s="6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ht="15.75" customHeight="1">
      <c r="A475" s="3" t="s">
        <v>318</v>
      </c>
      <c r="B475" s="3" t="s">
        <v>319</v>
      </c>
      <c r="C475" s="3" t="s">
        <v>80</v>
      </c>
      <c r="D475" s="3" t="s">
        <v>382</v>
      </c>
      <c r="E475" s="3" t="s">
        <v>402</v>
      </c>
      <c r="F475" s="3">
        <v>6.0</v>
      </c>
      <c r="G475" s="4">
        <v>-27.6707</v>
      </c>
      <c r="H475" s="4">
        <v>-48.49287</v>
      </c>
      <c r="I475" s="5">
        <v>11.0</v>
      </c>
      <c r="J475" s="5" t="s">
        <v>104</v>
      </c>
      <c r="K475" s="5" t="s">
        <v>104</v>
      </c>
      <c r="L475" s="3"/>
      <c r="M475" s="5">
        <v>12.0</v>
      </c>
      <c r="N475" s="5">
        <v>118.0</v>
      </c>
      <c r="O475" s="5"/>
      <c r="P475" s="3"/>
      <c r="Q475" s="3"/>
      <c r="R475" s="6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ht="15.75" customHeight="1">
      <c r="A476" s="3" t="s">
        <v>318</v>
      </c>
      <c r="B476" s="3" t="s">
        <v>319</v>
      </c>
      <c r="C476" s="3" t="s">
        <v>80</v>
      </c>
      <c r="D476" s="3" t="s">
        <v>382</v>
      </c>
      <c r="E476" s="3" t="s">
        <v>402</v>
      </c>
      <c r="F476" s="3">
        <v>6.0</v>
      </c>
      <c r="G476" s="4">
        <v>-27.6707</v>
      </c>
      <c r="H476" s="4">
        <v>-48.49287</v>
      </c>
      <c r="I476" s="5">
        <v>12.0</v>
      </c>
      <c r="J476" s="5" t="s">
        <v>104</v>
      </c>
      <c r="K476" s="5" t="s">
        <v>104</v>
      </c>
      <c r="L476" s="3"/>
      <c r="M476" s="5">
        <v>10.0</v>
      </c>
      <c r="N476" s="5" t="s">
        <v>411</v>
      </c>
      <c r="O476" s="5"/>
      <c r="P476" s="3"/>
      <c r="Q476" s="3"/>
      <c r="R476" s="6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ht="15.75" customHeight="1">
      <c r="A477" s="3" t="s">
        <v>318</v>
      </c>
      <c r="B477" s="3" t="s">
        <v>319</v>
      </c>
      <c r="C477" s="3" t="s">
        <v>80</v>
      </c>
      <c r="D477" s="3" t="s">
        <v>382</v>
      </c>
      <c r="E477" s="3" t="s">
        <v>402</v>
      </c>
      <c r="F477" s="3">
        <v>6.0</v>
      </c>
      <c r="G477" s="4">
        <v>-27.6707</v>
      </c>
      <c r="H477" s="4">
        <v>-48.49287</v>
      </c>
      <c r="I477" s="5">
        <v>13.0</v>
      </c>
      <c r="J477" s="5" t="s">
        <v>104</v>
      </c>
      <c r="K477" s="5" t="s">
        <v>104</v>
      </c>
      <c r="L477" s="3"/>
      <c r="M477" s="5">
        <v>7.0</v>
      </c>
      <c r="N477" s="5" t="s">
        <v>412</v>
      </c>
      <c r="O477" s="5"/>
      <c r="P477" s="3"/>
      <c r="Q477" s="3"/>
      <c r="R477" s="6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ht="15.75" customHeight="1">
      <c r="A478" s="3" t="s">
        <v>318</v>
      </c>
      <c r="B478" s="3" t="s">
        <v>319</v>
      </c>
      <c r="C478" s="3" t="s">
        <v>80</v>
      </c>
      <c r="D478" s="3" t="s">
        <v>382</v>
      </c>
      <c r="E478" s="3" t="s">
        <v>402</v>
      </c>
      <c r="F478" s="3">
        <v>6.0</v>
      </c>
      <c r="G478" s="4">
        <v>-27.6707</v>
      </c>
      <c r="H478" s="4">
        <v>-48.49287</v>
      </c>
      <c r="I478" s="5">
        <v>14.0</v>
      </c>
      <c r="J478" s="5" t="s">
        <v>98</v>
      </c>
      <c r="K478" s="5" t="s">
        <v>98</v>
      </c>
      <c r="L478" s="3"/>
      <c r="M478" s="5">
        <v>9.0</v>
      </c>
      <c r="N478" s="5">
        <v>48.0</v>
      </c>
      <c r="O478" s="5"/>
      <c r="P478" s="3"/>
      <c r="Q478" s="3"/>
      <c r="R478" s="6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ht="15.75" customHeight="1">
      <c r="A479" s="3" t="s">
        <v>318</v>
      </c>
      <c r="B479" s="3" t="s">
        <v>319</v>
      </c>
      <c r="C479" s="3" t="s">
        <v>80</v>
      </c>
      <c r="D479" s="3" t="s">
        <v>382</v>
      </c>
      <c r="E479" s="3" t="s">
        <v>402</v>
      </c>
      <c r="F479" s="3">
        <v>6.0</v>
      </c>
      <c r="G479" s="4">
        <v>-27.6707</v>
      </c>
      <c r="H479" s="4">
        <v>-48.49287</v>
      </c>
      <c r="I479" s="5">
        <v>15.0</v>
      </c>
      <c r="J479" s="5" t="s">
        <v>98</v>
      </c>
      <c r="K479" s="5" t="s">
        <v>98</v>
      </c>
      <c r="L479" s="3"/>
      <c r="M479" s="5">
        <v>6.0</v>
      </c>
      <c r="N479" s="5">
        <v>17.0</v>
      </c>
      <c r="O479" s="5"/>
      <c r="P479" s="3"/>
      <c r="Q479" s="3"/>
      <c r="R479" s="6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ht="15.75" customHeight="1">
      <c r="A480" s="3" t="s">
        <v>318</v>
      </c>
      <c r="B480" s="3" t="s">
        <v>319</v>
      </c>
      <c r="C480" s="3" t="s">
        <v>80</v>
      </c>
      <c r="D480" s="3" t="s">
        <v>382</v>
      </c>
      <c r="E480" s="3" t="s">
        <v>402</v>
      </c>
      <c r="F480" s="3">
        <v>6.0</v>
      </c>
      <c r="G480" s="4">
        <v>-27.6707</v>
      </c>
      <c r="H480" s="4">
        <v>-48.49287</v>
      </c>
      <c r="I480" s="5">
        <v>16.0</v>
      </c>
      <c r="J480" s="5" t="s">
        <v>413</v>
      </c>
      <c r="K480" s="5" t="s">
        <v>192</v>
      </c>
      <c r="L480" s="3"/>
      <c r="M480" s="5">
        <v>6.0</v>
      </c>
      <c r="N480" s="5">
        <v>26.0</v>
      </c>
      <c r="O480" s="3"/>
      <c r="P480" s="5" t="s">
        <v>90</v>
      </c>
      <c r="Q480" s="3"/>
      <c r="R480" s="6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ht="15.75" customHeight="1">
      <c r="A481" s="3" t="s">
        <v>318</v>
      </c>
      <c r="B481" s="3" t="s">
        <v>319</v>
      </c>
      <c r="C481" s="3" t="s">
        <v>80</v>
      </c>
      <c r="D481" s="3" t="s">
        <v>382</v>
      </c>
      <c r="E481" s="3" t="s">
        <v>402</v>
      </c>
      <c r="F481" s="3">
        <v>6.0</v>
      </c>
      <c r="G481" s="4">
        <v>-27.6707</v>
      </c>
      <c r="H481" s="4">
        <v>-48.49287</v>
      </c>
      <c r="I481" s="5">
        <v>17.0</v>
      </c>
      <c r="J481" s="5" t="s">
        <v>24</v>
      </c>
      <c r="K481" s="5" t="s">
        <v>24</v>
      </c>
      <c r="L481" s="3"/>
      <c r="M481" s="5">
        <v>8.0</v>
      </c>
      <c r="N481" s="5" t="s">
        <v>414</v>
      </c>
      <c r="O481" s="5"/>
      <c r="P481" s="3"/>
      <c r="Q481" s="3"/>
      <c r="R481" s="6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ht="15.75" customHeight="1">
      <c r="A482" s="3" t="s">
        <v>318</v>
      </c>
      <c r="B482" s="3" t="s">
        <v>319</v>
      </c>
      <c r="C482" s="3" t="s">
        <v>80</v>
      </c>
      <c r="D482" s="3" t="s">
        <v>382</v>
      </c>
      <c r="E482" s="3" t="s">
        <v>402</v>
      </c>
      <c r="F482" s="3">
        <v>6.0</v>
      </c>
      <c r="G482" s="4">
        <v>-27.6707</v>
      </c>
      <c r="H482" s="4">
        <v>-48.49287</v>
      </c>
      <c r="I482" s="5">
        <v>18.0</v>
      </c>
      <c r="J482" s="5" t="s">
        <v>104</v>
      </c>
      <c r="K482" s="5" t="s">
        <v>104</v>
      </c>
      <c r="L482" s="3"/>
      <c r="M482" s="5">
        <v>7.0</v>
      </c>
      <c r="N482" s="5" t="s">
        <v>415</v>
      </c>
      <c r="O482" s="5"/>
      <c r="P482" s="3"/>
      <c r="Q482" s="3"/>
      <c r="R482" s="6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ht="15.75" customHeight="1">
      <c r="A483" s="3" t="s">
        <v>318</v>
      </c>
      <c r="B483" s="3" t="s">
        <v>319</v>
      </c>
      <c r="C483" s="3" t="s">
        <v>80</v>
      </c>
      <c r="D483" s="3" t="s">
        <v>382</v>
      </c>
      <c r="E483" s="3" t="s">
        <v>402</v>
      </c>
      <c r="F483" s="3">
        <v>6.0</v>
      </c>
      <c r="G483" s="4">
        <v>-27.6707</v>
      </c>
      <c r="H483" s="4">
        <v>-48.49287</v>
      </c>
      <c r="I483" s="5">
        <v>19.0</v>
      </c>
      <c r="J483" s="5" t="s">
        <v>78</v>
      </c>
      <c r="K483" s="5" t="s">
        <v>78</v>
      </c>
      <c r="L483" s="3"/>
      <c r="M483" s="5">
        <v>12.0</v>
      </c>
      <c r="N483" s="5">
        <v>104.0</v>
      </c>
      <c r="O483" s="5"/>
      <c r="P483" s="3"/>
      <c r="Q483" s="3"/>
      <c r="R483" s="6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ht="15.75" customHeight="1">
      <c r="A484" s="3" t="s">
        <v>318</v>
      </c>
      <c r="B484" s="3" t="s">
        <v>319</v>
      </c>
      <c r="C484" s="3" t="s">
        <v>80</v>
      </c>
      <c r="D484" s="3" t="s">
        <v>382</v>
      </c>
      <c r="E484" s="3" t="s">
        <v>402</v>
      </c>
      <c r="F484" s="3">
        <v>6.0</v>
      </c>
      <c r="G484" s="4">
        <v>-27.6707</v>
      </c>
      <c r="H484" s="4">
        <v>-48.49287</v>
      </c>
      <c r="I484" s="5">
        <v>20.0</v>
      </c>
      <c r="J484" s="5" t="s">
        <v>104</v>
      </c>
      <c r="K484" s="5" t="s">
        <v>104</v>
      </c>
      <c r="L484" s="3"/>
      <c r="M484" s="5">
        <v>8.0</v>
      </c>
      <c r="N484" s="5" t="s">
        <v>416</v>
      </c>
      <c r="O484" s="5"/>
      <c r="P484" s="3"/>
      <c r="Q484" s="3"/>
      <c r="R484" s="6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ht="15.75" customHeight="1">
      <c r="A485" s="3" t="s">
        <v>318</v>
      </c>
      <c r="B485" s="3" t="s">
        <v>319</v>
      </c>
      <c r="C485" s="3" t="s">
        <v>80</v>
      </c>
      <c r="D485" s="3" t="s">
        <v>382</v>
      </c>
      <c r="E485" s="3" t="s">
        <v>402</v>
      </c>
      <c r="F485" s="3">
        <v>6.0</v>
      </c>
      <c r="G485" s="4">
        <v>-27.6707</v>
      </c>
      <c r="H485" s="4">
        <v>-48.49287</v>
      </c>
      <c r="I485" s="5">
        <v>21.0</v>
      </c>
      <c r="J485" s="5" t="s">
        <v>104</v>
      </c>
      <c r="K485" s="5" t="s">
        <v>104</v>
      </c>
      <c r="L485" s="3"/>
      <c r="M485" s="5">
        <v>10.0</v>
      </c>
      <c r="N485" s="5">
        <v>67.0</v>
      </c>
      <c r="O485" s="5"/>
      <c r="P485" s="3"/>
      <c r="Q485" s="3"/>
      <c r="R485" s="6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ht="15.75" customHeight="1">
      <c r="A486" s="3" t="s">
        <v>318</v>
      </c>
      <c r="B486" s="3" t="s">
        <v>319</v>
      </c>
      <c r="C486" s="3" t="s">
        <v>80</v>
      </c>
      <c r="D486" s="3" t="s">
        <v>382</v>
      </c>
      <c r="E486" s="3" t="s">
        <v>402</v>
      </c>
      <c r="F486" s="3">
        <v>6.0</v>
      </c>
      <c r="G486" s="4">
        <v>-27.6707</v>
      </c>
      <c r="H486" s="4">
        <v>-48.49287</v>
      </c>
      <c r="I486" s="5">
        <v>22.0</v>
      </c>
      <c r="J486" s="5" t="s">
        <v>104</v>
      </c>
      <c r="K486" s="5" t="s">
        <v>104</v>
      </c>
      <c r="L486" s="3"/>
      <c r="M486" s="5">
        <v>7.0</v>
      </c>
      <c r="N486" s="5">
        <v>26.0</v>
      </c>
      <c r="O486" s="5"/>
      <c r="P486" s="3"/>
      <c r="Q486" s="3"/>
      <c r="R486" s="6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ht="15.75" customHeight="1">
      <c r="A487" s="3" t="s">
        <v>318</v>
      </c>
      <c r="B487" s="3" t="s">
        <v>319</v>
      </c>
      <c r="C487" s="3" t="s">
        <v>80</v>
      </c>
      <c r="D487" s="3" t="s">
        <v>382</v>
      </c>
      <c r="E487" s="3" t="s">
        <v>417</v>
      </c>
      <c r="F487" s="3">
        <v>7.0</v>
      </c>
      <c r="G487" s="4">
        <v>-27.67103</v>
      </c>
      <c r="H487" s="4">
        <v>-48.49274</v>
      </c>
      <c r="I487" s="5">
        <v>1.0</v>
      </c>
      <c r="J487" s="5" t="s">
        <v>104</v>
      </c>
      <c r="K487" s="5" t="s">
        <v>104</v>
      </c>
      <c r="L487" s="3"/>
      <c r="M487" s="5">
        <v>12.0</v>
      </c>
      <c r="N487" s="5" t="s">
        <v>418</v>
      </c>
      <c r="O487" s="5"/>
      <c r="P487" s="3"/>
      <c r="Q487" s="3"/>
      <c r="R487" s="6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ht="15.75" customHeight="1">
      <c r="A488" s="3" t="s">
        <v>318</v>
      </c>
      <c r="B488" s="3" t="s">
        <v>319</v>
      </c>
      <c r="C488" s="3" t="s">
        <v>80</v>
      </c>
      <c r="D488" s="3" t="s">
        <v>382</v>
      </c>
      <c r="E488" s="3" t="s">
        <v>417</v>
      </c>
      <c r="F488" s="3">
        <v>7.0</v>
      </c>
      <c r="G488" s="4">
        <v>-27.67103</v>
      </c>
      <c r="H488" s="4">
        <v>-48.49274</v>
      </c>
      <c r="I488" s="5">
        <v>2.0</v>
      </c>
      <c r="J488" s="5" t="s">
        <v>104</v>
      </c>
      <c r="K488" s="5" t="s">
        <v>104</v>
      </c>
      <c r="L488" s="3"/>
      <c r="M488" s="5">
        <v>10.0</v>
      </c>
      <c r="N488" s="5" t="s">
        <v>419</v>
      </c>
      <c r="O488" s="5"/>
      <c r="P488" s="3"/>
      <c r="Q488" s="3"/>
      <c r="R488" s="6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ht="15.75" customHeight="1">
      <c r="A489" s="3" t="s">
        <v>318</v>
      </c>
      <c r="B489" s="3" t="s">
        <v>319</v>
      </c>
      <c r="C489" s="3" t="s">
        <v>80</v>
      </c>
      <c r="D489" s="3" t="s">
        <v>382</v>
      </c>
      <c r="E489" s="3" t="s">
        <v>417</v>
      </c>
      <c r="F489" s="3">
        <v>7.0</v>
      </c>
      <c r="G489" s="4">
        <v>-27.67103</v>
      </c>
      <c r="H489" s="4">
        <v>-48.49274</v>
      </c>
      <c r="I489" s="5">
        <v>3.0</v>
      </c>
      <c r="J489" s="5" t="s">
        <v>98</v>
      </c>
      <c r="K489" s="5" t="s">
        <v>98</v>
      </c>
      <c r="L489" s="3"/>
      <c r="M489" s="5">
        <v>12.0</v>
      </c>
      <c r="N489" s="5">
        <v>34.0</v>
      </c>
      <c r="O489" s="5"/>
      <c r="P489" s="3"/>
      <c r="Q489" s="3"/>
      <c r="R489" s="6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ht="15.75" customHeight="1">
      <c r="A490" s="3" t="s">
        <v>318</v>
      </c>
      <c r="B490" s="3" t="s">
        <v>319</v>
      </c>
      <c r="C490" s="3" t="s">
        <v>80</v>
      </c>
      <c r="D490" s="3" t="s">
        <v>382</v>
      </c>
      <c r="E490" s="3" t="s">
        <v>417</v>
      </c>
      <c r="F490" s="3">
        <v>7.0</v>
      </c>
      <c r="G490" s="4">
        <v>-27.67103</v>
      </c>
      <c r="H490" s="4">
        <v>-48.49274</v>
      </c>
      <c r="I490" s="5">
        <v>4.0</v>
      </c>
      <c r="J490" s="5" t="s">
        <v>104</v>
      </c>
      <c r="K490" s="5" t="s">
        <v>104</v>
      </c>
      <c r="L490" s="3"/>
      <c r="M490" s="5">
        <v>7.0</v>
      </c>
      <c r="N490" s="5" t="s">
        <v>420</v>
      </c>
      <c r="O490" s="5"/>
      <c r="P490" s="3"/>
      <c r="Q490" s="3"/>
      <c r="R490" s="6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ht="15.75" customHeight="1">
      <c r="A491" s="3" t="s">
        <v>318</v>
      </c>
      <c r="B491" s="3" t="s">
        <v>319</v>
      </c>
      <c r="C491" s="3" t="s">
        <v>80</v>
      </c>
      <c r="D491" s="3" t="s">
        <v>382</v>
      </c>
      <c r="E491" s="3" t="s">
        <v>417</v>
      </c>
      <c r="F491" s="3">
        <v>7.0</v>
      </c>
      <c r="G491" s="4">
        <v>-27.67103</v>
      </c>
      <c r="H491" s="4">
        <v>-48.49274</v>
      </c>
      <c r="I491" s="5">
        <v>5.0</v>
      </c>
      <c r="J491" s="5" t="s">
        <v>191</v>
      </c>
      <c r="K491" s="5" t="s">
        <v>191</v>
      </c>
      <c r="L491" s="3"/>
      <c r="M491" s="5">
        <v>5.0</v>
      </c>
      <c r="N491" s="5">
        <v>18.0</v>
      </c>
      <c r="O491" s="5"/>
      <c r="P491" s="3"/>
      <c r="Q491" s="3"/>
      <c r="R491" s="6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ht="15.75" customHeight="1">
      <c r="A492" s="3" t="s">
        <v>318</v>
      </c>
      <c r="B492" s="3" t="s">
        <v>319</v>
      </c>
      <c r="C492" s="3" t="s">
        <v>80</v>
      </c>
      <c r="D492" s="3" t="s">
        <v>382</v>
      </c>
      <c r="E492" s="3" t="s">
        <v>417</v>
      </c>
      <c r="F492" s="3">
        <v>7.0</v>
      </c>
      <c r="G492" s="4">
        <v>-27.67103</v>
      </c>
      <c r="H492" s="4">
        <v>-48.49274</v>
      </c>
      <c r="I492" s="5">
        <v>6.0</v>
      </c>
      <c r="J492" s="5" t="s">
        <v>84</v>
      </c>
      <c r="K492" s="5" t="s">
        <v>85</v>
      </c>
      <c r="L492" s="3"/>
      <c r="M492" s="5">
        <v>16.0</v>
      </c>
      <c r="N492" s="5">
        <v>106.0</v>
      </c>
      <c r="O492" s="5"/>
      <c r="P492" s="3"/>
      <c r="Q492" s="3"/>
      <c r="R492" s="6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ht="15.75" customHeight="1">
      <c r="A493" s="3" t="s">
        <v>318</v>
      </c>
      <c r="B493" s="3" t="s">
        <v>319</v>
      </c>
      <c r="C493" s="3" t="s">
        <v>80</v>
      </c>
      <c r="D493" s="3" t="s">
        <v>382</v>
      </c>
      <c r="E493" s="3" t="s">
        <v>417</v>
      </c>
      <c r="F493" s="3">
        <v>7.0</v>
      </c>
      <c r="G493" s="4">
        <v>-27.67103</v>
      </c>
      <c r="H493" s="4">
        <v>-48.49274</v>
      </c>
      <c r="I493" s="5">
        <v>7.0</v>
      </c>
      <c r="J493" s="5" t="s">
        <v>56</v>
      </c>
      <c r="K493" s="5" t="s">
        <v>56</v>
      </c>
      <c r="L493" s="3"/>
      <c r="M493" s="5">
        <v>7.0</v>
      </c>
      <c r="N493" s="5">
        <v>20.0</v>
      </c>
      <c r="O493" s="5"/>
      <c r="P493" s="3"/>
      <c r="Q493" s="3"/>
      <c r="R493" s="6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ht="15.75" customHeight="1">
      <c r="A494" s="3" t="s">
        <v>318</v>
      </c>
      <c r="B494" s="3" t="s">
        <v>319</v>
      </c>
      <c r="C494" s="3" t="s">
        <v>80</v>
      </c>
      <c r="D494" s="3" t="s">
        <v>382</v>
      </c>
      <c r="E494" s="3" t="s">
        <v>417</v>
      </c>
      <c r="F494" s="3">
        <v>7.0</v>
      </c>
      <c r="G494" s="4">
        <v>-27.67103</v>
      </c>
      <c r="H494" s="4">
        <v>-48.49274</v>
      </c>
      <c r="I494" s="5">
        <v>8.0</v>
      </c>
      <c r="J494" s="5" t="s">
        <v>191</v>
      </c>
      <c r="K494" s="5" t="s">
        <v>191</v>
      </c>
      <c r="L494" s="3"/>
      <c r="M494" s="5">
        <v>7.0</v>
      </c>
      <c r="N494" s="5">
        <v>26.0</v>
      </c>
      <c r="O494" s="5"/>
      <c r="P494" s="3"/>
      <c r="Q494" s="3"/>
      <c r="R494" s="6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ht="15.75" customHeight="1">
      <c r="A495" s="3" t="s">
        <v>318</v>
      </c>
      <c r="B495" s="3" t="s">
        <v>319</v>
      </c>
      <c r="C495" s="3" t="s">
        <v>80</v>
      </c>
      <c r="D495" s="3" t="s">
        <v>382</v>
      </c>
      <c r="E495" s="3" t="s">
        <v>417</v>
      </c>
      <c r="F495" s="3">
        <v>7.0</v>
      </c>
      <c r="G495" s="4">
        <v>-27.67103</v>
      </c>
      <c r="H495" s="4">
        <v>-48.49274</v>
      </c>
      <c r="I495" s="5">
        <v>9.0</v>
      </c>
      <c r="J495" s="5" t="s">
        <v>421</v>
      </c>
      <c r="K495" s="5" t="s">
        <v>421</v>
      </c>
      <c r="L495" s="3"/>
      <c r="M495" s="5">
        <v>4.0</v>
      </c>
      <c r="N495" s="5">
        <v>37.0</v>
      </c>
      <c r="O495" s="5"/>
      <c r="P495" s="3"/>
      <c r="Q495" s="3"/>
      <c r="R495" s="6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ht="15.75" customHeight="1">
      <c r="A496" s="3" t="s">
        <v>318</v>
      </c>
      <c r="B496" s="3" t="s">
        <v>319</v>
      </c>
      <c r="C496" s="3" t="s">
        <v>80</v>
      </c>
      <c r="D496" s="3" t="s">
        <v>382</v>
      </c>
      <c r="E496" s="3" t="s">
        <v>417</v>
      </c>
      <c r="F496" s="3">
        <v>7.0</v>
      </c>
      <c r="G496" s="4">
        <v>-27.67103</v>
      </c>
      <c r="H496" s="4">
        <v>-48.49274</v>
      </c>
      <c r="I496" s="5">
        <v>10.0</v>
      </c>
      <c r="J496" s="5" t="s">
        <v>28</v>
      </c>
      <c r="K496" s="5" t="s">
        <v>28</v>
      </c>
      <c r="L496" s="3"/>
      <c r="M496" s="5">
        <v>8.0</v>
      </c>
      <c r="N496" s="5" t="s">
        <v>422</v>
      </c>
      <c r="O496" s="5"/>
      <c r="P496" s="3"/>
      <c r="Q496" s="3"/>
      <c r="R496" s="6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ht="15.75" customHeight="1">
      <c r="A497" s="3" t="s">
        <v>318</v>
      </c>
      <c r="B497" s="3" t="s">
        <v>319</v>
      </c>
      <c r="C497" s="3" t="s">
        <v>80</v>
      </c>
      <c r="D497" s="3" t="s">
        <v>382</v>
      </c>
      <c r="E497" s="3" t="s">
        <v>417</v>
      </c>
      <c r="F497" s="3">
        <v>7.0</v>
      </c>
      <c r="G497" s="4">
        <v>-27.67103</v>
      </c>
      <c r="H497" s="4">
        <v>-48.49274</v>
      </c>
      <c r="I497" s="5">
        <v>11.0</v>
      </c>
      <c r="J497" s="5" t="s">
        <v>104</v>
      </c>
      <c r="K497" s="5" t="s">
        <v>104</v>
      </c>
      <c r="L497" s="3"/>
      <c r="M497" s="5">
        <v>6.0</v>
      </c>
      <c r="N497" s="5">
        <v>16.0</v>
      </c>
      <c r="O497" s="5"/>
      <c r="P497" s="3"/>
      <c r="Q497" s="3"/>
      <c r="R497" s="6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ht="15.75" customHeight="1">
      <c r="A498" s="3" t="s">
        <v>318</v>
      </c>
      <c r="B498" s="3" t="s">
        <v>319</v>
      </c>
      <c r="C498" s="3" t="s">
        <v>80</v>
      </c>
      <c r="D498" s="3" t="s">
        <v>382</v>
      </c>
      <c r="E498" s="3" t="s">
        <v>417</v>
      </c>
      <c r="F498" s="3">
        <v>7.0</v>
      </c>
      <c r="G498" s="4">
        <v>-27.67103</v>
      </c>
      <c r="H498" s="4">
        <v>-48.49274</v>
      </c>
      <c r="I498" s="5">
        <v>12.0</v>
      </c>
      <c r="J498" s="5" t="s">
        <v>191</v>
      </c>
      <c r="K498" s="5" t="s">
        <v>191</v>
      </c>
      <c r="L498" s="3"/>
      <c r="M498" s="5">
        <v>6.0</v>
      </c>
      <c r="N498" s="5">
        <v>16.0</v>
      </c>
      <c r="O498" s="5"/>
      <c r="P498" s="3"/>
      <c r="Q498" s="3"/>
      <c r="R498" s="6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ht="15.75" customHeight="1">
      <c r="A499" s="3" t="s">
        <v>318</v>
      </c>
      <c r="B499" s="3" t="s">
        <v>319</v>
      </c>
      <c r="C499" s="3" t="s">
        <v>80</v>
      </c>
      <c r="D499" s="3" t="s">
        <v>382</v>
      </c>
      <c r="E499" s="3" t="s">
        <v>417</v>
      </c>
      <c r="F499" s="3">
        <v>7.0</v>
      </c>
      <c r="G499" s="4">
        <v>-27.67103</v>
      </c>
      <c r="H499" s="4">
        <v>-48.49274</v>
      </c>
      <c r="I499" s="5">
        <v>13.0</v>
      </c>
      <c r="J499" s="3" t="s">
        <v>423</v>
      </c>
      <c r="K499" s="3" t="s">
        <v>423</v>
      </c>
      <c r="L499" s="3" t="s">
        <v>64</v>
      </c>
      <c r="M499" s="5">
        <v>10.0</v>
      </c>
      <c r="N499" s="5">
        <v>31.5</v>
      </c>
      <c r="O499" s="5" t="s">
        <v>424</v>
      </c>
      <c r="P499" s="3"/>
      <c r="Q499" s="3"/>
      <c r="R499" s="6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ht="15.75" customHeight="1">
      <c r="A500" s="3" t="s">
        <v>318</v>
      </c>
      <c r="B500" s="3" t="s">
        <v>319</v>
      </c>
      <c r="C500" s="3" t="s">
        <v>80</v>
      </c>
      <c r="D500" s="3" t="s">
        <v>382</v>
      </c>
      <c r="E500" s="3" t="s">
        <v>417</v>
      </c>
      <c r="F500" s="3">
        <v>7.0</v>
      </c>
      <c r="G500" s="4">
        <v>-27.67103</v>
      </c>
      <c r="H500" s="4">
        <v>-48.49274</v>
      </c>
      <c r="I500" s="5">
        <v>14.0</v>
      </c>
      <c r="J500" s="5" t="s">
        <v>323</v>
      </c>
      <c r="K500" s="5" t="s">
        <v>323</v>
      </c>
      <c r="L500" s="3"/>
      <c r="M500" s="5">
        <v>6.0</v>
      </c>
      <c r="N500" s="5">
        <v>21.0</v>
      </c>
      <c r="O500" s="5"/>
      <c r="P500" s="3"/>
      <c r="Q500" s="3"/>
      <c r="R500" s="6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ht="15.75" customHeight="1">
      <c r="A501" s="3" t="s">
        <v>318</v>
      </c>
      <c r="B501" s="3" t="s">
        <v>319</v>
      </c>
      <c r="C501" s="3" t="s">
        <v>80</v>
      </c>
      <c r="D501" s="3" t="s">
        <v>382</v>
      </c>
      <c r="E501" s="3" t="s">
        <v>417</v>
      </c>
      <c r="F501" s="3">
        <v>7.0</v>
      </c>
      <c r="G501" s="4">
        <v>-27.67103</v>
      </c>
      <c r="H501" s="4">
        <v>-48.49274</v>
      </c>
      <c r="I501" s="5">
        <v>15.0</v>
      </c>
      <c r="J501" s="5" t="s">
        <v>191</v>
      </c>
      <c r="K501" s="5" t="s">
        <v>191</v>
      </c>
      <c r="L501" s="3"/>
      <c r="M501" s="5">
        <v>6.0</v>
      </c>
      <c r="N501" s="5">
        <v>22.0</v>
      </c>
      <c r="O501" s="5"/>
      <c r="P501" s="3"/>
      <c r="Q501" s="3"/>
      <c r="R501" s="6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ht="15.75" customHeight="1">
      <c r="A502" s="3" t="s">
        <v>318</v>
      </c>
      <c r="B502" s="3" t="s">
        <v>319</v>
      </c>
      <c r="C502" s="3" t="s">
        <v>80</v>
      </c>
      <c r="D502" s="3" t="s">
        <v>382</v>
      </c>
      <c r="E502" s="3" t="s">
        <v>417</v>
      </c>
      <c r="F502" s="3">
        <v>7.0</v>
      </c>
      <c r="G502" s="4">
        <v>-27.67103</v>
      </c>
      <c r="H502" s="4">
        <v>-48.49274</v>
      </c>
      <c r="I502" s="5">
        <v>16.0</v>
      </c>
      <c r="J502" s="5" t="s">
        <v>104</v>
      </c>
      <c r="K502" s="5" t="s">
        <v>104</v>
      </c>
      <c r="L502" s="3"/>
      <c r="M502" s="5">
        <v>8.0</v>
      </c>
      <c r="N502" s="5">
        <v>28.0</v>
      </c>
      <c r="O502" s="5"/>
      <c r="P502" s="3"/>
      <c r="Q502" s="3"/>
      <c r="R502" s="6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ht="15.75" customHeight="1">
      <c r="A503" s="3" t="s">
        <v>318</v>
      </c>
      <c r="B503" s="3" t="s">
        <v>319</v>
      </c>
      <c r="C503" s="3" t="s">
        <v>80</v>
      </c>
      <c r="D503" s="3" t="s">
        <v>382</v>
      </c>
      <c r="E503" s="3" t="s">
        <v>417</v>
      </c>
      <c r="F503" s="3">
        <v>7.0</v>
      </c>
      <c r="G503" s="4">
        <v>-27.67103</v>
      </c>
      <c r="H503" s="4">
        <v>-48.49274</v>
      </c>
      <c r="I503" s="5">
        <v>17.0</v>
      </c>
      <c r="J503" s="5" t="s">
        <v>234</v>
      </c>
      <c r="K503" s="5" t="s">
        <v>234</v>
      </c>
      <c r="L503" s="3"/>
      <c r="M503" s="5">
        <v>8.0</v>
      </c>
      <c r="N503" s="5">
        <v>26.0</v>
      </c>
      <c r="O503" s="5" t="s">
        <v>425</v>
      </c>
      <c r="P503" s="3"/>
      <c r="Q503" s="3"/>
      <c r="R503" s="6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ht="15.75" customHeight="1">
      <c r="A504" s="3" t="s">
        <v>318</v>
      </c>
      <c r="B504" s="3" t="s">
        <v>319</v>
      </c>
      <c r="C504" s="3" t="s">
        <v>80</v>
      </c>
      <c r="D504" s="3" t="s">
        <v>382</v>
      </c>
      <c r="E504" s="3" t="s">
        <v>417</v>
      </c>
      <c r="F504" s="3">
        <v>7.0</v>
      </c>
      <c r="G504" s="4">
        <v>-27.67103</v>
      </c>
      <c r="H504" s="4">
        <v>-48.49274</v>
      </c>
      <c r="I504" s="5">
        <v>18.0</v>
      </c>
      <c r="J504" s="14" t="s">
        <v>426</v>
      </c>
      <c r="K504" s="14" t="s">
        <v>426</v>
      </c>
      <c r="L504" s="3"/>
      <c r="M504" s="5">
        <v>8.0</v>
      </c>
      <c r="N504" s="5" t="s">
        <v>427</v>
      </c>
      <c r="O504" s="5" t="s">
        <v>428</v>
      </c>
      <c r="P504" s="3"/>
      <c r="Q504" s="3"/>
      <c r="R504" s="6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ht="15.75" customHeight="1">
      <c r="A505" s="3" t="s">
        <v>318</v>
      </c>
      <c r="B505" s="3" t="s">
        <v>319</v>
      </c>
      <c r="C505" s="3" t="s">
        <v>80</v>
      </c>
      <c r="D505" s="3" t="s">
        <v>382</v>
      </c>
      <c r="E505" s="3" t="s">
        <v>417</v>
      </c>
      <c r="F505" s="3">
        <v>7.0</v>
      </c>
      <c r="G505" s="4">
        <v>-27.67103</v>
      </c>
      <c r="H505" s="4">
        <v>-48.49274</v>
      </c>
      <c r="I505" s="5">
        <v>19.0</v>
      </c>
      <c r="J505" s="5" t="s">
        <v>98</v>
      </c>
      <c r="K505" s="5" t="s">
        <v>98</v>
      </c>
      <c r="L505" s="3"/>
      <c r="M505" s="5">
        <v>9.0</v>
      </c>
      <c r="N505" s="5" t="s">
        <v>429</v>
      </c>
      <c r="O505" s="5"/>
      <c r="P505" s="3"/>
      <c r="Q505" s="3"/>
      <c r="R505" s="6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ht="15.75" customHeight="1">
      <c r="A506" s="3" t="s">
        <v>318</v>
      </c>
      <c r="B506" s="3" t="s">
        <v>319</v>
      </c>
      <c r="C506" s="3" t="s">
        <v>80</v>
      </c>
      <c r="D506" s="3" t="s">
        <v>382</v>
      </c>
      <c r="E506" s="3" t="s">
        <v>417</v>
      </c>
      <c r="F506" s="3">
        <v>7.0</v>
      </c>
      <c r="G506" s="4">
        <v>-27.67103</v>
      </c>
      <c r="H506" s="4">
        <v>-48.49274</v>
      </c>
      <c r="I506" s="5">
        <v>20.0</v>
      </c>
      <c r="J506" s="5" t="s">
        <v>104</v>
      </c>
      <c r="K506" s="5" t="s">
        <v>104</v>
      </c>
      <c r="L506" s="3"/>
      <c r="M506" s="5">
        <v>10.0</v>
      </c>
      <c r="N506" s="5">
        <v>42.0</v>
      </c>
      <c r="O506" s="5"/>
      <c r="P506" s="3"/>
      <c r="Q506" s="3"/>
      <c r="R506" s="6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ht="15.75" customHeight="1">
      <c r="A507" s="3" t="s">
        <v>318</v>
      </c>
      <c r="B507" s="3" t="s">
        <v>319</v>
      </c>
      <c r="C507" s="3" t="s">
        <v>80</v>
      </c>
      <c r="D507" s="3" t="s">
        <v>382</v>
      </c>
      <c r="E507" s="3" t="s">
        <v>417</v>
      </c>
      <c r="F507" s="3">
        <v>7.0</v>
      </c>
      <c r="G507" s="4">
        <v>-27.67103</v>
      </c>
      <c r="H507" s="4">
        <v>-48.49274</v>
      </c>
      <c r="I507" s="5">
        <v>21.0</v>
      </c>
      <c r="J507" s="5" t="s">
        <v>178</v>
      </c>
      <c r="K507" s="5" t="s">
        <v>179</v>
      </c>
      <c r="L507" s="3" t="s">
        <v>430</v>
      </c>
      <c r="M507" s="5">
        <v>11.0</v>
      </c>
      <c r="N507" s="5">
        <v>25.0</v>
      </c>
      <c r="O507" s="5" t="s">
        <v>431</v>
      </c>
      <c r="P507" s="3"/>
      <c r="Q507" s="3"/>
      <c r="R507" s="6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ht="15.75" customHeight="1">
      <c r="A508" s="3" t="s">
        <v>318</v>
      </c>
      <c r="B508" s="3" t="s">
        <v>319</v>
      </c>
      <c r="C508" s="3" t="s">
        <v>80</v>
      </c>
      <c r="D508" s="3" t="s">
        <v>382</v>
      </c>
      <c r="E508" s="3" t="s">
        <v>432</v>
      </c>
      <c r="F508" s="3">
        <v>8.0</v>
      </c>
      <c r="G508" s="4">
        <v>-27.67131</v>
      </c>
      <c r="H508" s="4">
        <v>-48.49278</v>
      </c>
      <c r="I508" s="5">
        <v>1.0</v>
      </c>
      <c r="J508" s="5" t="s">
        <v>104</v>
      </c>
      <c r="K508" s="5" t="s">
        <v>104</v>
      </c>
      <c r="L508" s="3"/>
      <c r="M508" s="5">
        <v>9.0</v>
      </c>
      <c r="N508" s="5" t="s">
        <v>433</v>
      </c>
      <c r="O508" s="5"/>
      <c r="P508" s="3"/>
      <c r="Q508" s="3"/>
      <c r="R508" s="6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ht="15.75" customHeight="1">
      <c r="A509" s="3" t="s">
        <v>318</v>
      </c>
      <c r="B509" s="3" t="s">
        <v>319</v>
      </c>
      <c r="C509" s="3" t="s">
        <v>80</v>
      </c>
      <c r="D509" s="3" t="s">
        <v>382</v>
      </c>
      <c r="E509" s="3" t="s">
        <v>432</v>
      </c>
      <c r="F509" s="3">
        <v>8.0</v>
      </c>
      <c r="G509" s="4">
        <v>-27.67131</v>
      </c>
      <c r="H509" s="4">
        <v>-48.49278</v>
      </c>
      <c r="I509" s="5">
        <v>2.0</v>
      </c>
      <c r="J509" s="5" t="s">
        <v>104</v>
      </c>
      <c r="K509" s="5" t="s">
        <v>104</v>
      </c>
      <c r="L509" s="3"/>
      <c r="M509" s="5">
        <v>9.0</v>
      </c>
      <c r="N509" s="5" t="s">
        <v>434</v>
      </c>
      <c r="O509" s="5"/>
      <c r="P509" s="3"/>
      <c r="Q509" s="3"/>
      <c r="R509" s="6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ht="15.75" customHeight="1">
      <c r="A510" s="3" t="s">
        <v>318</v>
      </c>
      <c r="B510" s="3" t="s">
        <v>319</v>
      </c>
      <c r="C510" s="3" t="s">
        <v>80</v>
      </c>
      <c r="D510" s="3" t="s">
        <v>382</v>
      </c>
      <c r="E510" s="3" t="s">
        <v>432</v>
      </c>
      <c r="F510" s="3">
        <v>8.0</v>
      </c>
      <c r="G510" s="4">
        <v>-27.67131</v>
      </c>
      <c r="H510" s="4">
        <v>-48.49278</v>
      </c>
      <c r="I510" s="5">
        <v>3.0</v>
      </c>
      <c r="J510" s="5" t="s">
        <v>104</v>
      </c>
      <c r="K510" s="5" t="s">
        <v>104</v>
      </c>
      <c r="L510" s="3"/>
      <c r="M510" s="5">
        <v>8.0</v>
      </c>
      <c r="N510" s="5" t="s">
        <v>435</v>
      </c>
      <c r="O510" s="5"/>
      <c r="P510" s="3"/>
      <c r="Q510" s="3"/>
      <c r="R510" s="6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ht="15.75" customHeight="1">
      <c r="A511" s="3" t="s">
        <v>318</v>
      </c>
      <c r="B511" s="3" t="s">
        <v>319</v>
      </c>
      <c r="C511" s="3" t="s">
        <v>80</v>
      </c>
      <c r="D511" s="3" t="s">
        <v>382</v>
      </c>
      <c r="E511" s="3" t="s">
        <v>432</v>
      </c>
      <c r="F511" s="3">
        <v>8.0</v>
      </c>
      <c r="G511" s="4">
        <v>-27.67131</v>
      </c>
      <c r="H511" s="4">
        <v>-48.49278</v>
      </c>
      <c r="I511" s="5">
        <v>4.0</v>
      </c>
      <c r="J511" s="5" t="s">
        <v>104</v>
      </c>
      <c r="K511" s="5" t="s">
        <v>104</v>
      </c>
      <c r="L511" s="3"/>
      <c r="M511" s="5">
        <v>8.0</v>
      </c>
      <c r="N511" s="5" t="s">
        <v>436</v>
      </c>
      <c r="O511" s="5"/>
      <c r="P511" s="3"/>
      <c r="Q511" s="3"/>
      <c r="R511" s="6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ht="15.75" customHeight="1">
      <c r="A512" s="3" t="s">
        <v>318</v>
      </c>
      <c r="B512" s="3" t="s">
        <v>319</v>
      </c>
      <c r="C512" s="3" t="s">
        <v>80</v>
      </c>
      <c r="D512" s="3" t="s">
        <v>382</v>
      </c>
      <c r="E512" s="3" t="s">
        <v>432</v>
      </c>
      <c r="F512" s="3">
        <v>8.0</v>
      </c>
      <c r="G512" s="4">
        <v>-27.67131</v>
      </c>
      <c r="H512" s="4">
        <v>-48.49278</v>
      </c>
      <c r="I512" s="5">
        <v>5.0</v>
      </c>
      <c r="J512" s="5" t="s">
        <v>104</v>
      </c>
      <c r="K512" s="5" t="s">
        <v>104</v>
      </c>
      <c r="L512" s="3"/>
      <c r="M512" s="5">
        <v>9.0</v>
      </c>
      <c r="N512" s="5" t="s">
        <v>437</v>
      </c>
      <c r="O512" s="5"/>
      <c r="P512" s="3"/>
      <c r="Q512" s="3"/>
      <c r="R512" s="6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ht="15.75" customHeight="1">
      <c r="A513" s="3" t="s">
        <v>318</v>
      </c>
      <c r="B513" s="3" t="s">
        <v>319</v>
      </c>
      <c r="C513" s="3" t="s">
        <v>80</v>
      </c>
      <c r="D513" s="3" t="s">
        <v>382</v>
      </c>
      <c r="E513" s="3" t="s">
        <v>432</v>
      </c>
      <c r="F513" s="3">
        <v>8.0</v>
      </c>
      <c r="G513" s="4">
        <v>-27.67131</v>
      </c>
      <c r="H513" s="4">
        <v>-48.49278</v>
      </c>
      <c r="I513" s="5">
        <v>6.0</v>
      </c>
      <c r="J513" s="5" t="s">
        <v>178</v>
      </c>
      <c r="K513" s="5" t="s">
        <v>179</v>
      </c>
      <c r="L513" s="3" t="s">
        <v>64</v>
      </c>
      <c r="M513" s="5">
        <v>9.0</v>
      </c>
      <c r="N513" s="5" t="s">
        <v>438</v>
      </c>
      <c r="O513" s="5" t="s">
        <v>439</v>
      </c>
      <c r="P513" s="3" t="s">
        <v>90</v>
      </c>
      <c r="Q513" s="3"/>
      <c r="R513" s="6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ht="15.75" customHeight="1">
      <c r="A514" s="3" t="s">
        <v>318</v>
      </c>
      <c r="B514" s="3" t="s">
        <v>319</v>
      </c>
      <c r="C514" s="3" t="s">
        <v>80</v>
      </c>
      <c r="D514" s="3" t="s">
        <v>382</v>
      </c>
      <c r="E514" s="3" t="s">
        <v>432</v>
      </c>
      <c r="F514" s="3">
        <v>8.0</v>
      </c>
      <c r="G514" s="4">
        <v>-27.67131</v>
      </c>
      <c r="H514" s="4">
        <v>-48.49278</v>
      </c>
      <c r="I514" s="5">
        <v>7.0</v>
      </c>
      <c r="J514" s="5" t="s">
        <v>104</v>
      </c>
      <c r="K514" s="5" t="s">
        <v>104</v>
      </c>
      <c r="L514" s="3"/>
      <c r="M514" s="5">
        <v>9.0</v>
      </c>
      <c r="N514" s="5">
        <v>47.0</v>
      </c>
      <c r="O514" s="5"/>
      <c r="P514" s="3"/>
      <c r="Q514" s="3"/>
      <c r="R514" s="6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ht="15.75" customHeight="1">
      <c r="A515" s="3" t="s">
        <v>318</v>
      </c>
      <c r="B515" s="3" t="s">
        <v>319</v>
      </c>
      <c r="C515" s="3" t="s">
        <v>80</v>
      </c>
      <c r="D515" s="3" t="s">
        <v>382</v>
      </c>
      <c r="E515" s="3" t="s">
        <v>432</v>
      </c>
      <c r="F515" s="3">
        <v>8.0</v>
      </c>
      <c r="G515" s="4">
        <v>-27.67131</v>
      </c>
      <c r="H515" s="4">
        <v>-48.49278</v>
      </c>
      <c r="I515" s="5">
        <v>8.0</v>
      </c>
      <c r="J515" s="5" t="s">
        <v>104</v>
      </c>
      <c r="K515" s="5" t="s">
        <v>104</v>
      </c>
      <c r="L515" s="3"/>
      <c r="M515" s="5">
        <v>7.0</v>
      </c>
      <c r="N515" s="5">
        <v>23.0</v>
      </c>
      <c r="O515" s="5"/>
      <c r="P515" s="3"/>
      <c r="Q515" s="3"/>
      <c r="R515" s="6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ht="15.75" customHeight="1">
      <c r="A516" s="3" t="s">
        <v>318</v>
      </c>
      <c r="B516" s="3" t="s">
        <v>319</v>
      </c>
      <c r="C516" s="3" t="s">
        <v>80</v>
      </c>
      <c r="D516" s="3" t="s">
        <v>382</v>
      </c>
      <c r="E516" s="3" t="s">
        <v>432</v>
      </c>
      <c r="F516" s="3">
        <v>8.0</v>
      </c>
      <c r="G516" s="4">
        <v>-27.67131</v>
      </c>
      <c r="H516" s="4">
        <v>-48.49278</v>
      </c>
      <c r="I516" s="5">
        <v>9.0</v>
      </c>
      <c r="J516" s="5" t="s">
        <v>104</v>
      </c>
      <c r="K516" s="5" t="s">
        <v>104</v>
      </c>
      <c r="L516" s="3"/>
      <c r="M516" s="5">
        <v>8.0</v>
      </c>
      <c r="N516" s="5" t="s">
        <v>440</v>
      </c>
      <c r="O516" s="5"/>
      <c r="P516" s="3"/>
      <c r="Q516" s="3"/>
      <c r="R516" s="6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ht="15.75" customHeight="1">
      <c r="A517" s="3" t="s">
        <v>318</v>
      </c>
      <c r="B517" s="3" t="s">
        <v>319</v>
      </c>
      <c r="C517" s="3" t="s">
        <v>80</v>
      </c>
      <c r="D517" s="3" t="s">
        <v>382</v>
      </c>
      <c r="E517" s="3" t="s">
        <v>432</v>
      </c>
      <c r="F517" s="3">
        <v>8.0</v>
      </c>
      <c r="G517" s="4">
        <v>-27.67131</v>
      </c>
      <c r="H517" s="4">
        <v>-48.49278</v>
      </c>
      <c r="I517" s="5">
        <v>10.0</v>
      </c>
      <c r="J517" s="5" t="s">
        <v>31</v>
      </c>
      <c r="K517" s="5" t="s">
        <v>31</v>
      </c>
      <c r="L517" s="3"/>
      <c r="M517" s="5">
        <v>6.0</v>
      </c>
      <c r="N517" s="5">
        <v>22.0</v>
      </c>
      <c r="O517" s="5"/>
      <c r="P517" s="3"/>
      <c r="Q517" s="3"/>
      <c r="R517" s="6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ht="15.75" customHeight="1">
      <c r="A518" s="3" t="s">
        <v>318</v>
      </c>
      <c r="B518" s="3" t="s">
        <v>319</v>
      </c>
      <c r="C518" s="3" t="s">
        <v>80</v>
      </c>
      <c r="D518" s="3" t="s">
        <v>382</v>
      </c>
      <c r="E518" s="3" t="s">
        <v>432</v>
      </c>
      <c r="F518" s="3">
        <v>8.0</v>
      </c>
      <c r="G518" s="4">
        <v>-27.67131</v>
      </c>
      <c r="H518" s="4">
        <v>-48.49278</v>
      </c>
      <c r="I518" s="5">
        <v>11.0</v>
      </c>
      <c r="J518" s="5" t="s">
        <v>441</v>
      </c>
      <c r="K518" s="5" t="s">
        <v>442</v>
      </c>
      <c r="L518" s="3" t="s">
        <v>64</v>
      </c>
      <c r="M518" s="5">
        <v>6.0</v>
      </c>
      <c r="N518" s="5">
        <v>17.0</v>
      </c>
      <c r="O518" s="5"/>
      <c r="P518" s="3"/>
      <c r="Q518" s="3"/>
      <c r="R518" s="6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ht="15.75" customHeight="1">
      <c r="A519" s="3" t="s">
        <v>318</v>
      </c>
      <c r="B519" s="3" t="s">
        <v>319</v>
      </c>
      <c r="C519" s="3" t="s">
        <v>80</v>
      </c>
      <c r="D519" s="3" t="s">
        <v>382</v>
      </c>
      <c r="E519" s="3" t="s">
        <v>432</v>
      </c>
      <c r="F519" s="3">
        <v>8.0</v>
      </c>
      <c r="G519" s="4">
        <v>-27.67131</v>
      </c>
      <c r="H519" s="4">
        <v>-48.49278</v>
      </c>
      <c r="I519" s="5">
        <v>12.0</v>
      </c>
      <c r="J519" s="5" t="s">
        <v>443</v>
      </c>
      <c r="K519" s="5" t="s">
        <v>443</v>
      </c>
      <c r="L519" s="3"/>
      <c r="M519" s="12">
        <v>6.0</v>
      </c>
      <c r="N519" s="12">
        <v>17.0</v>
      </c>
      <c r="O519" s="12"/>
      <c r="P519" s="3"/>
      <c r="Q519" s="3"/>
      <c r="R519" s="6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ht="15.75" customHeight="1">
      <c r="A520" s="3" t="s">
        <v>318</v>
      </c>
      <c r="B520" s="3" t="s">
        <v>319</v>
      </c>
      <c r="C520" s="3" t="s">
        <v>80</v>
      </c>
      <c r="D520" s="3" t="s">
        <v>382</v>
      </c>
      <c r="E520" s="3" t="s">
        <v>432</v>
      </c>
      <c r="F520" s="3">
        <v>8.0</v>
      </c>
      <c r="G520" s="4">
        <v>-27.67131</v>
      </c>
      <c r="H520" s="4">
        <v>-48.49278</v>
      </c>
      <c r="I520" s="5">
        <v>13.0</v>
      </c>
      <c r="J520" s="5" t="s">
        <v>104</v>
      </c>
      <c r="K520" s="5" t="s">
        <v>104</v>
      </c>
      <c r="L520" s="3"/>
      <c r="M520" s="12">
        <v>8.0</v>
      </c>
      <c r="N520" s="12">
        <v>23.5</v>
      </c>
      <c r="O520" s="12"/>
      <c r="P520" s="3"/>
      <c r="Q520" s="3"/>
      <c r="R520" s="6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ht="15.75" customHeight="1">
      <c r="A521" s="3" t="s">
        <v>318</v>
      </c>
      <c r="B521" s="3" t="s">
        <v>319</v>
      </c>
      <c r="C521" s="3" t="s">
        <v>80</v>
      </c>
      <c r="D521" s="3" t="s">
        <v>382</v>
      </c>
      <c r="E521" s="3" t="s">
        <v>432</v>
      </c>
      <c r="F521" s="3">
        <v>8.0</v>
      </c>
      <c r="G521" s="4">
        <v>-27.67131</v>
      </c>
      <c r="H521" s="4">
        <v>-48.49278</v>
      </c>
      <c r="I521" s="5">
        <v>14.0</v>
      </c>
      <c r="J521" s="5" t="s">
        <v>329</v>
      </c>
      <c r="K521" s="5" t="s">
        <v>329</v>
      </c>
      <c r="L521" s="3" t="s">
        <v>64</v>
      </c>
      <c r="M521" s="5">
        <v>7.0</v>
      </c>
      <c r="N521" s="5">
        <v>18.5</v>
      </c>
      <c r="O521" s="5"/>
      <c r="P521" s="3"/>
      <c r="Q521" s="3"/>
      <c r="R521" s="6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ht="15.75" customHeight="1">
      <c r="A522" s="3" t="s">
        <v>318</v>
      </c>
      <c r="B522" s="3" t="s">
        <v>319</v>
      </c>
      <c r="C522" s="3" t="s">
        <v>80</v>
      </c>
      <c r="D522" s="3" t="s">
        <v>382</v>
      </c>
      <c r="E522" s="3" t="s">
        <v>432</v>
      </c>
      <c r="F522" s="3">
        <v>8.0</v>
      </c>
      <c r="G522" s="4">
        <v>-27.67131</v>
      </c>
      <c r="H522" s="4">
        <v>-48.49278</v>
      </c>
      <c r="I522" s="5">
        <v>15.0</v>
      </c>
      <c r="J522" s="5" t="s">
        <v>104</v>
      </c>
      <c r="K522" s="5" t="s">
        <v>104</v>
      </c>
      <c r="L522" s="3"/>
      <c r="M522" s="12">
        <v>8.0</v>
      </c>
      <c r="N522" s="12">
        <v>27.0</v>
      </c>
      <c r="O522" s="12"/>
      <c r="P522" s="3"/>
      <c r="Q522" s="3"/>
      <c r="R522" s="6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ht="15.75" customHeight="1">
      <c r="A523" s="3" t="s">
        <v>318</v>
      </c>
      <c r="B523" s="3" t="s">
        <v>319</v>
      </c>
      <c r="C523" s="3" t="s">
        <v>80</v>
      </c>
      <c r="D523" s="3" t="s">
        <v>382</v>
      </c>
      <c r="E523" s="3" t="s">
        <v>432</v>
      </c>
      <c r="F523" s="3">
        <v>8.0</v>
      </c>
      <c r="G523" s="4">
        <v>-27.67131</v>
      </c>
      <c r="H523" s="4">
        <v>-48.49278</v>
      </c>
      <c r="I523" s="5">
        <v>16.0</v>
      </c>
      <c r="J523" s="5" t="s">
        <v>104</v>
      </c>
      <c r="K523" s="5" t="s">
        <v>104</v>
      </c>
      <c r="L523" s="3"/>
      <c r="M523" s="12">
        <v>8.0</v>
      </c>
      <c r="N523" s="12" t="s">
        <v>444</v>
      </c>
      <c r="O523" s="12"/>
      <c r="P523" s="3"/>
      <c r="Q523" s="3"/>
      <c r="R523" s="6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ht="15.75" customHeight="1">
      <c r="A524" s="3" t="s">
        <v>318</v>
      </c>
      <c r="B524" s="3" t="s">
        <v>319</v>
      </c>
      <c r="C524" s="3" t="s">
        <v>80</v>
      </c>
      <c r="D524" s="3" t="s">
        <v>382</v>
      </c>
      <c r="E524" s="3" t="s">
        <v>432</v>
      </c>
      <c r="F524" s="3">
        <v>8.0</v>
      </c>
      <c r="G524" s="4">
        <v>-27.67131</v>
      </c>
      <c r="H524" s="4">
        <v>-48.49278</v>
      </c>
      <c r="I524" s="5">
        <v>17.0</v>
      </c>
      <c r="J524" s="5" t="s">
        <v>104</v>
      </c>
      <c r="K524" s="5" t="s">
        <v>104</v>
      </c>
      <c r="L524" s="3"/>
      <c r="M524" s="12">
        <v>9.0</v>
      </c>
      <c r="N524" s="12">
        <v>24.5</v>
      </c>
      <c r="O524" s="12"/>
      <c r="P524" s="3"/>
      <c r="Q524" s="3"/>
      <c r="R524" s="6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ht="15.75" customHeight="1">
      <c r="A525" s="3" t="s">
        <v>318</v>
      </c>
      <c r="B525" s="3" t="s">
        <v>319</v>
      </c>
      <c r="C525" s="3" t="s">
        <v>80</v>
      </c>
      <c r="D525" s="3" t="s">
        <v>382</v>
      </c>
      <c r="E525" s="3" t="s">
        <v>432</v>
      </c>
      <c r="F525" s="3">
        <v>8.0</v>
      </c>
      <c r="G525" s="4">
        <v>-27.67131</v>
      </c>
      <c r="H525" s="4">
        <v>-48.4927799999999</v>
      </c>
      <c r="I525" s="5">
        <v>18.0</v>
      </c>
      <c r="J525" s="5" t="s">
        <v>104</v>
      </c>
      <c r="K525" s="5" t="s">
        <v>104</v>
      </c>
      <c r="L525" s="3"/>
      <c r="M525" s="12">
        <v>7.0</v>
      </c>
      <c r="N525" s="12">
        <v>17.5</v>
      </c>
      <c r="O525" s="12"/>
      <c r="P525" s="3"/>
      <c r="Q525" s="3"/>
      <c r="R525" s="6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ht="15.75" customHeight="1">
      <c r="A526" s="3" t="s">
        <v>318</v>
      </c>
      <c r="B526" s="3" t="s">
        <v>319</v>
      </c>
      <c r="C526" s="3" t="s">
        <v>80</v>
      </c>
      <c r="D526" s="3" t="s">
        <v>382</v>
      </c>
      <c r="E526" s="3" t="s">
        <v>432</v>
      </c>
      <c r="F526" s="3">
        <v>8.0</v>
      </c>
      <c r="G526" s="4">
        <v>-27.67131</v>
      </c>
      <c r="H526" s="4">
        <v>-48.4927799999999</v>
      </c>
      <c r="I526" s="5">
        <v>19.0</v>
      </c>
      <c r="J526" s="5" t="s">
        <v>329</v>
      </c>
      <c r="K526" s="5" t="s">
        <v>329</v>
      </c>
      <c r="L526" s="3" t="s">
        <v>64</v>
      </c>
      <c r="M526" s="12">
        <v>8.0</v>
      </c>
      <c r="N526" s="12">
        <v>19.0</v>
      </c>
      <c r="O526" s="12"/>
      <c r="P526" s="3"/>
      <c r="Q526" s="3"/>
      <c r="R526" s="6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ht="15.75" customHeight="1">
      <c r="A527" s="3" t="s">
        <v>318</v>
      </c>
      <c r="B527" s="3" t="s">
        <v>319</v>
      </c>
      <c r="C527" s="3" t="s">
        <v>80</v>
      </c>
      <c r="D527" s="3" t="s">
        <v>382</v>
      </c>
      <c r="E527" s="3" t="s">
        <v>432</v>
      </c>
      <c r="F527" s="3">
        <v>8.0</v>
      </c>
      <c r="G527" s="4">
        <v>-27.67131</v>
      </c>
      <c r="H527" s="4">
        <v>-48.4927799999999</v>
      </c>
      <c r="I527" s="5">
        <v>20.0</v>
      </c>
      <c r="J527" s="5" t="s">
        <v>104</v>
      </c>
      <c r="K527" s="5" t="s">
        <v>104</v>
      </c>
      <c r="L527" s="3"/>
      <c r="M527" s="12">
        <v>7.0</v>
      </c>
      <c r="N527" s="12" t="s">
        <v>445</v>
      </c>
      <c r="O527" s="12"/>
      <c r="P527" s="3"/>
      <c r="Q527" s="3"/>
      <c r="R527" s="6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ht="15.75" customHeight="1">
      <c r="A528" s="3" t="s">
        <v>318</v>
      </c>
      <c r="B528" s="3" t="s">
        <v>319</v>
      </c>
      <c r="C528" s="3" t="s">
        <v>80</v>
      </c>
      <c r="D528" s="3" t="s">
        <v>382</v>
      </c>
      <c r="E528" s="3" t="s">
        <v>432</v>
      </c>
      <c r="F528" s="3">
        <v>8.0</v>
      </c>
      <c r="G528" s="4">
        <v>-27.67131</v>
      </c>
      <c r="H528" s="4">
        <v>-48.4927799999999</v>
      </c>
      <c r="I528" s="5">
        <v>21.0</v>
      </c>
      <c r="J528" s="5" t="s">
        <v>104</v>
      </c>
      <c r="K528" s="5" t="s">
        <v>104</v>
      </c>
      <c r="L528" s="3"/>
      <c r="M528" s="12">
        <v>8.0</v>
      </c>
      <c r="N528" s="12" t="s">
        <v>446</v>
      </c>
      <c r="O528" s="12"/>
      <c r="P528" s="3"/>
      <c r="Q528" s="3"/>
      <c r="R528" s="6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ht="15.75" customHeight="1">
      <c r="A529" s="3" t="s">
        <v>318</v>
      </c>
      <c r="B529" s="3" t="s">
        <v>319</v>
      </c>
      <c r="C529" s="3" t="s">
        <v>80</v>
      </c>
      <c r="D529" s="3" t="s">
        <v>382</v>
      </c>
      <c r="E529" s="3" t="s">
        <v>432</v>
      </c>
      <c r="F529" s="3">
        <v>8.0</v>
      </c>
      <c r="G529" s="4">
        <v>-27.67131</v>
      </c>
      <c r="H529" s="4">
        <v>-48.4927799999999</v>
      </c>
      <c r="I529" s="5">
        <v>22.0</v>
      </c>
      <c r="J529" s="5" t="s">
        <v>122</v>
      </c>
      <c r="K529" s="5" t="s">
        <v>122</v>
      </c>
      <c r="L529" s="3"/>
      <c r="M529" s="12">
        <v>8.0</v>
      </c>
      <c r="N529" s="12">
        <v>40.0</v>
      </c>
      <c r="O529" s="12"/>
      <c r="P529" s="3" t="s">
        <v>90</v>
      </c>
      <c r="Q529" s="3"/>
      <c r="R529" s="6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ht="15.75" customHeight="1">
      <c r="A530" s="3" t="s">
        <v>318</v>
      </c>
      <c r="B530" s="3" t="s">
        <v>319</v>
      </c>
      <c r="C530" s="3" t="s">
        <v>80</v>
      </c>
      <c r="D530" s="3" t="s">
        <v>382</v>
      </c>
      <c r="E530" s="3" t="s">
        <v>432</v>
      </c>
      <c r="F530" s="3">
        <v>8.0</v>
      </c>
      <c r="G530" s="4">
        <v>-27.67131</v>
      </c>
      <c r="H530" s="4">
        <v>-48.4927799999999</v>
      </c>
      <c r="I530" s="5">
        <v>23.0</v>
      </c>
      <c r="J530" s="5" t="s">
        <v>191</v>
      </c>
      <c r="K530" s="5" t="s">
        <v>191</v>
      </c>
      <c r="L530" s="3"/>
      <c r="M530" s="12">
        <v>8.0</v>
      </c>
      <c r="N530" s="12">
        <v>34.5</v>
      </c>
      <c r="O530" s="12"/>
      <c r="P530" s="3"/>
      <c r="Q530" s="3"/>
      <c r="R530" s="6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ht="15.75" customHeight="1">
      <c r="A531" s="3" t="s">
        <v>318</v>
      </c>
      <c r="B531" s="3" t="s">
        <v>319</v>
      </c>
      <c r="C531" s="3" t="s">
        <v>80</v>
      </c>
      <c r="D531" s="3" t="s">
        <v>382</v>
      </c>
      <c r="E531" s="3" t="s">
        <v>432</v>
      </c>
      <c r="F531" s="3">
        <v>8.0</v>
      </c>
      <c r="G531" s="4">
        <v>-27.67131</v>
      </c>
      <c r="H531" s="4">
        <v>-48.4927799999999</v>
      </c>
      <c r="I531" s="5">
        <v>24.0</v>
      </c>
      <c r="J531" s="5" t="s">
        <v>104</v>
      </c>
      <c r="K531" s="5" t="s">
        <v>104</v>
      </c>
      <c r="L531" s="3"/>
      <c r="M531" s="12">
        <v>9.0</v>
      </c>
      <c r="N531" s="12">
        <v>40.0</v>
      </c>
      <c r="O531" s="12"/>
      <c r="P531" s="3"/>
      <c r="Q531" s="3"/>
      <c r="R531" s="6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ht="15.75" customHeight="1">
      <c r="A532" s="3" t="s">
        <v>318</v>
      </c>
      <c r="B532" s="3" t="s">
        <v>319</v>
      </c>
      <c r="C532" s="3" t="s">
        <v>80</v>
      </c>
      <c r="D532" s="3" t="s">
        <v>382</v>
      </c>
      <c r="E532" s="3" t="s">
        <v>432</v>
      </c>
      <c r="F532" s="3">
        <v>8.0</v>
      </c>
      <c r="G532" s="4">
        <v>-27.67131</v>
      </c>
      <c r="H532" s="4">
        <v>-48.4927799999999</v>
      </c>
      <c r="I532" s="5">
        <v>25.0</v>
      </c>
      <c r="J532" s="5" t="s">
        <v>329</v>
      </c>
      <c r="K532" s="5" t="s">
        <v>329</v>
      </c>
      <c r="L532" s="3" t="s">
        <v>64</v>
      </c>
      <c r="M532" s="12">
        <v>7.0</v>
      </c>
      <c r="N532" s="12">
        <v>15.0</v>
      </c>
      <c r="O532" s="12"/>
      <c r="P532" s="3"/>
      <c r="Q532" s="3"/>
      <c r="R532" s="6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ht="15.75" customHeight="1">
      <c r="A533" s="3" t="s">
        <v>318</v>
      </c>
      <c r="B533" s="3" t="s">
        <v>319</v>
      </c>
      <c r="C533" s="3" t="s">
        <v>80</v>
      </c>
      <c r="D533" s="3" t="s">
        <v>382</v>
      </c>
      <c r="E533" s="3" t="s">
        <v>432</v>
      </c>
      <c r="F533" s="3">
        <v>8.0</v>
      </c>
      <c r="G533" s="4">
        <v>-27.67131</v>
      </c>
      <c r="H533" s="4">
        <v>-48.4927799999999</v>
      </c>
      <c r="I533" s="5">
        <v>26.0</v>
      </c>
      <c r="J533" s="12" t="s">
        <v>178</v>
      </c>
      <c r="K533" s="12" t="s">
        <v>179</v>
      </c>
      <c r="L533" s="3" t="s">
        <v>64</v>
      </c>
      <c r="M533" s="12">
        <v>5.0</v>
      </c>
      <c r="N533" s="12">
        <v>19.0</v>
      </c>
      <c r="O533" s="3"/>
      <c r="P533" s="12" t="s">
        <v>90</v>
      </c>
      <c r="Q533" s="3"/>
      <c r="R533" s="6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ht="15.75" customHeight="1">
      <c r="A534" s="3" t="s">
        <v>318</v>
      </c>
      <c r="B534" s="3" t="s">
        <v>319</v>
      </c>
      <c r="C534" s="3" t="s">
        <v>80</v>
      </c>
      <c r="D534" s="3" t="s">
        <v>382</v>
      </c>
      <c r="E534" s="3" t="s">
        <v>432</v>
      </c>
      <c r="F534" s="3">
        <v>8.0</v>
      </c>
      <c r="G534" s="4">
        <v>-27.67131</v>
      </c>
      <c r="H534" s="4">
        <v>-48.4927799999999</v>
      </c>
      <c r="I534" s="5">
        <v>27.0</v>
      </c>
      <c r="J534" s="5" t="s">
        <v>104</v>
      </c>
      <c r="K534" s="5" t="s">
        <v>104</v>
      </c>
      <c r="L534" s="3"/>
      <c r="M534" s="12">
        <v>7.0</v>
      </c>
      <c r="N534" s="12">
        <v>32.0</v>
      </c>
      <c r="O534" s="12"/>
      <c r="P534" s="3"/>
      <c r="Q534" s="3"/>
      <c r="R534" s="6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ht="15.75" customHeight="1">
      <c r="A535" s="3" t="s">
        <v>318</v>
      </c>
      <c r="B535" s="3" t="s">
        <v>319</v>
      </c>
      <c r="C535" s="3" t="s">
        <v>80</v>
      </c>
      <c r="D535" s="3" t="s">
        <v>382</v>
      </c>
      <c r="E535" s="3" t="s">
        <v>432</v>
      </c>
      <c r="F535" s="3">
        <v>8.0</v>
      </c>
      <c r="G535" s="4">
        <v>-27.67131</v>
      </c>
      <c r="H535" s="4">
        <v>-48.4927799999999</v>
      </c>
      <c r="I535" s="5">
        <v>28.0</v>
      </c>
      <c r="J535" s="5" t="s">
        <v>104</v>
      </c>
      <c r="K535" s="5" t="s">
        <v>104</v>
      </c>
      <c r="L535" s="3"/>
      <c r="M535" s="12">
        <v>11.0</v>
      </c>
      <c r="N535" s="12">
        <v>28.0</v>
      </c>
      <c r="O535" s="12"/>
      <c r="P535" s="3"/>
      <c r="Q535" s="3"/>
      <c r="R535" s="6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ht="15.75" customHeight="1">
      <c r="A536" s="3" t="s">
        <v>318</v>
      </c>
      <c r="B536" s="3" t="s">
        <v>319</v>
      </c>
      <c r="C536" s="3" t="s">
        <v>80</v>
      </c>
      <c r="D536" s="3" t="s">
        <v>382</v>
      </c>
      <c r="E536" s="3" t="s">
        <v>432</v>
      </c>
      <c r="F536" s="3">
        <v>8.0</v>
      </c>
      <c r="G536" s="4">
        <v>-27.67131</v>
      </c>
      <c r="H536" s="4">
        <v>-48.4927799999999</v>
      </c>
      <c r="I536" s="5">
        <v>29.0</v>
      </c>
      <c r="J536" s="12" t="s">
        <v>447</v>
      </c>
      <c r="K536" s="12" t="s">
        <v>37</v>
      </c>
      <c r="L536" s="3" t="s">
        <v>64</v>
      </c>
      <c r="M536" s="12">
        <v>8.0</v>
      </c>
      <c r="N536" s="12">
        <v>18.0</v>
      </c>
      <c r="O536" s="12" t="s">
        <v>448</v>
      </c>
      <c r="P536" s="3"/>
      <c r="Q536" s="3"/>
      <c r="R536" s="6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ht="15.75" customHeight="1">
      <c r="A537" s="3" t="s">
        <v>318</v>
      </c>
      <c r="B537" s="3" t="s">
        <v>319</v>
      </c>
      <c r="C537" s="3" t="s">
        <v>80</v>
      </c>
      <c r="D537" s="3" t="s">
        <v>382</v>
      </c>
      <c r="E537" s="3" t="s">
        <v>432</v>
      </c>
      <c r="F537" s="3">
        <v>8.0</v>
      </c>
      <c r="G537" s="4">
        <v>-27.67131</v>
      </c>
      <c r="H537" s="4">
        <v>-48.4927799999999</v>
      </c>
      <c r="I537" s="5">
        <v>30.0</v>
      </c>
      <c r="J537" s="5" t="s">
        <v>104</v>
      </c>
      <c r="K537" s="5" t="s">
        <v>104</v>
      </c>
      <c r="L537" s="3"/>
      <c r="M537" s="12">
        <v>10.0</v>
      </c>
      <c r="N537" s="12">
        <v>43.0</v>
      </c>
      <c r="O537" s="12"/>
      <c r="P537" s="3"/>
      <c r="Q537" s="3"/>
      <c r="R537" s="6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ht="15.75" customHeight="1">
      <c r="A538" s="3" t="s">
        <v>318</v>
      </c>
      <c r="B538" s="3" t="s">
        <v>319</v>
      </c>
      <c r="C538" s="3" t="s">
        <v>80</v>
      </c>
      <c r="D538" s="3" t="s">
        <v>382</v>
      </c>
      <c r="E538" s="3" t="s">
        <v>432</v>
      </c>
      <c r="F538" s="3">
        <v>8.0</v>
      </c>
      <c r="G538" s="4">
        <v>-27.67131</v>
      </c>
      <c r="H538" s="4">
        <v>-48.4927799999999</v>
      </c>
      <c r="I538" s="5">
        <v>31.0</v>
      </c>
      <c r="J538" s="5" t="s">
        <v>104</v>
      </c>
      <c r="K538" s="5" t="s">
        <v>104</v>
      </c>
      <c r="L538" s="3"/>
      <c r="M538" s="12">
        <v>7.0</v>
      </c>
      <c r="N538" s="12">
        <v>21.0</v>
      </c>
      <c r="O538" s="12"/>
      <c r="P538" s="3"/>
      <c r="Q538" s="3"/>
      <c r="R538" s="6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ht="15.75" customHeight="1">
      <c r="A539" s="3" t="s">
        <v>318</v>
      </c>
      <c r="B539" s="3" t="s">
        <v>319</v>
      </c>
      <c r="C539" s="3" t="s">
        <v>80</v>
      </c>
      <c r="D539" s="3" t="s">
        <v>382</v>
      </c>
      <c r="E539" s="3" t="s">
        <v>432</v>
      </c>
      <c r="F539" s="3">
        <v>8.0</v>
      </c>
      <c r="G539" s="4">
        <v>-27.67131</v>
      </c>
      <c r="H539" s="4">
        <v>-48.4927799999999</v>
      </c>
      <c r="I539" s="5">
        <v>32.0</v>
      </c>
      <c r="J539" s="12" t="s">
        <v>167</v>
      </c>
      <c r="K539" s="12" t="s">
        <v>167</v>
      </c>
      <c r="L539" s="3"/>
      <c r="M539" s="12">
        <v>7.0</v>
      </c>
      <c r="N539" s="12">
        <v>16.0</v>
      </c>
      <c r="O539" s="12"/>
      <c r="P539" s="3"/>
      <c r="Q539" s="3"/>
      <c r="R539" s="6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ht="15.75" customHeight="1">
      <c r="A540" s="3" t="s">
        <v>318</v>
      </c>
      <c r="B540" s="3" t="s">
        <v>319</v>
      </c>
      <c r="C540" s="3" t="s">
        <v>80</v>
      </c>
      <c r="D540" s="3" t="s">
        <v>382</v>
      </c>
      <c r="E540" s="3" t="s">
        <v>432</v>
      </c>
      <c r="F540" s="3">
        <v>8.0</v>
      </c>
      <c r="G540" s="4">
        <v>-27.67131</v>
      </c>
      <c r="H540" s="4">
        <v>-48.4927799999999</v>
      </c>
      <c r="I540" s="5">
        <v>33.0</v>
      </c>
      <c r="J540" s="12" t="s">
        <v>178</v>
      </c>
      <c r="K540" s="12" t="s">
        <v>179</v>
      </c>
      <c r="L540" s="3"/>
      <c r="M540" s="12">
        <v>6.0</v>
      </c>
      <c r="N540" s="12">
        <v>15.0</v>
      </c>
      <c r="O540" s="12"/>
      <c r="P540" s="3"/>
      <c r="Q540" s="3"/>
      <c r="R540" s="6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ht="15.75" customHeight="1">
      <c r="A541" s="3" t="s">
        <v>318</v>
      </c>
      <c r="B541" s="3" t="s">
        <v>319</v>
      </c>
      <c r="C541" s="3" t="s">
        <v>80</v>
      </c>
      <c r="D541" s="3" t="s">
        <v>382</v>
      </c>
      <c r="E541" s="3" t="s">
        <v>432</v>
      </c>
      <c r="F541" s="3">
        <v>8.0</v>
      </c>
      <c r="G541" s="4">
        <v>-27.67131</v>
      </c>
      <c r="H541" s="4">
        <v>-48.4927799999999</v>
      </c>
      <c r="I541" s="5">
        <v>34.0</v>
      </c>
      <c r="J541" s="12" t="s">
        <v>178</v>
      </c>
      <c r="K541" s="12" t="s">
        <v>179</v>
      </c>
      <c r="L541" s="3"/>
      <c r="M541" s="12">
        <v>6.0</v>
      </c>
      <c r="N541" s="12">
        <v>21.0</v>
      </c>
      <c r="O541" s="12"/>
      <c r="P541" s="3"/>
      <c r="Q541" s="3"/>
      <c r="R541" s="6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ht="15.75" customHeight="1">
      <c r="A542" s="3" t="s">
        <v>318</v>
      </c>
      <c r="B542" s="3" t="s">
        <v>319</v>
      </c>
      <c r="C542" s="3" t="s">
        <v>80</v>
      </c>
      <c r="D542" s="3" t="s">
        <v>382</v>
      </c>
      <c r="E542" s="3" t="s">
        <v>432</v>
      </c>
      <c r="F542" s="3">
        <v>8.0</v>
      </c>
      <c r="G542" s="4">
        <v>-27.67131</v>
      </c>
      <c r="H542" s="4">
        <v>-48.4927799999999</v>
      </c>
      <c r="I542" s="5">
        <v>35.0</v>
      </c>
      <c r="J542" s="12" t="s">
        <v>449</v>
      </c>
      <c r="K542" s="12" t="s">
        <v>449</v>
      </c>
      <c r="L542" s="3"/>
      <c r="M542" s="12">
        <v>12.0</v>
      </c>
      <c r="N542" s="12" t="s">
        <v>450</v>
      </c>
      <c r="O542" s="3"/>
      <c r="P542" s="12" t="s">
        <v>90</v>
      </c>
      <c r="Q542" s="3"/>
      <c r="R542" s="6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ht="15.75" customHeight="1">
      <c r="A543" s="3" t="s">
        <v>318</v>
      </c>
      <c r="B543" s="3" t="s">
        <v>319</v>
      </c>
      <c r="C543" s="3" t="s">
        <v>80</v>
      </c>
      <c r="D543" s="3" t="s">
        <v>382</v>
      </c>
      <c r="E543" s="3" t="s">
        <v>432</v>
      </c>
      <c r="F543" s="3">
        <v>8.0</v>
      </c>
      <c r="G543" s="4">
        <v>-27.67131</v>
      </c>
      <c r="H543" s="4">
        <v>-48.4927799999999</v>
      </c>
      <c r="I543" s="5">
        <v>36.0</v>
      </c>
      <c r="J543" s="5" t="s">
        <v>104</v>
      </c>
      <c r="K543" s="5" t="s">
        <v>104</v>
      </c>
      <c r="L543" s="3"/>
      <c r="M543" s="12">
        <v>9.0</v>
      </c>
      <c r="N543" s="12" t="s">
        <v>451</v>
      </c>
      <c r="O543" s="3"/>
      <c r="P543" s="12"/>
      <c r="Q543" s="3"/>
      <c r="R543" s="6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ht="15.75" customHeight="1">
      <c r="A544" s="3" t="s">
        <v>318</v>
      </c>
      <c r="B544" s="3" t="s">
        <v>319</v>
      </c>
      <c r="C544" s="3" t="s">
        <v>80</v>
      </c>
      <c r="D544" s="3" t="s">
        <v>382</v>
      </c>
      <c r="E544" s="3" t="s">
        <v>432</v>
      </c>
      <c r="F544" s="3">
        <v>8.0</v>
      </c>
      <c r="G544" s="4">
        <v>-27.67131</v>
      </c>
      <c r="H544" s="4">
        <v>-48.4927799999999</v>
      </c>
      <c r="I544" s="5">
        <v>37.0</v>
      </c>
      <c r="J544" s="5" t="s">
        <v>154</v>
      </c>
      <c r="K544" s="5" t="s">
        <v>154</v>
      </c>
      <c r="L544" s="3" t="s">
        <v>64</v>
      </c>
      <c r="M544" s="12">
        <v>7.0</v>
      </c>
      <c r="N544" s="12">
        <v>16.0</v>
      </c>
      <c r="O544" s="3"/>
      <c r="P544" s="12"/>
      <c r="Q544" s="3"/>
      <c r="R544" s="6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ht="15.75" customHeight="1">
      <c r="A545" s="3" t="s">
        <v>318</v>
      </c>
      <c r="B545" s="3" t="s">
        <v>319</v>
      </c>
      <c r="C545" s="3" t="s">
        <v>80</v>
      </c>
      <c r="D545" s="3" t="s">
        <v>382</v>
      </c>
      <c r="E545" s="3" t="s">
        <v>432</v>
      </c>
      <c r="F545" s="3">
        <v>8.0</v>
      </c>
      <c r="G545" s="4">
        <v>-27.67131</v>
      </c>
      <c r="H545" s="4">
        <v>-48.4927799999998</v>
      </c>
      <c r="I545" s="5">
        <v>38.0</v>
      </c>
      <c r="J545" s="5" t="s">
        <v>104</v>
      </c>
      <c r="K545" s="5" t="s">
        <v>104</v>
      </c>
      <c r="L545" s="3"/>
      <c r="M545" s="12">
        <v>9.0</v>
      </c>
      <c r="N545" s="12" t="s">
        <v>451</v>
      </c>
      <c r="O545" s="3"/>
      <c r="P545" s="12"/>
      <c r="Q545" s="3"/>
      <c r="R545" s="6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ht="15.75" customHeight="1">
      <c r="A546" s="3" t="s">
        <v>318</v>
      </c>
      <c r="B546" s="3" t="s">
        <v>319</v>
      </c>
      <c r="C546" s="3" t="s">
        <v>80</v>
      </c>
      <c r="D546" s="3" t="s">
        <v>382</v>
      </c>
      <c r="E546" s="3" t="s">
        <v>432</v>
      </c>
      <c r="F546" s="3">
        <v>8.0</v>
      </c>
      <c r="G546" s="4">
        <v>-27.67131</v>
      </c>
      <c r="H546" s="4">
        <v>-48.4927799999998</v>
      </c>
      <c r="I546" s="5">
        <v>39.0</v>
      </c>
      <c r="J546" s="5" t="s">
        <v>104</v>
      </c>
      <c r="K546" s="5" t="s">
        <v>104</v>
      </c>
      <c r="L546" s="3"/>
      <c r="M546" s="12">
        <v>6.0</v>
      </c>
      <c r="N546" s="12">
        <v>17.0</v>
      </c>
      <c r="O546" s="3"/>
      <c r="P546" s="12"/>
      <c r="Q546" s="3"/>
      <c r="R546" s="6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ht="15.75" customHeight="1">
      <c r="A547" s="3" t="s">
        <v>318</v>
      </c>
      <c r="B547" s="3" t="s">
        <v>319</v>
      </c>
      <c r="C547" s="3" t="s">
        <v>80</v>
      </c>
      <c r="D547" s="3" t="s">
        <v>382</v>
      </c>
      <c r="E547" s="3" t="s">
        <v>432</v>
      </c>
      <c r="F547" s="3">
        <v>8.0</v>
      </c>
      <c r="G547" s="4">
        <v>-27.67131</v>
      </c>
      <c r="H547" s="4">
        <v>-48.4927799999998</v>
      </c>
      <c r="I547" s="5">
        <v>40.0</v>
      </c>
      <c r="J547" s="5" t="s">
        <v>452</v>
      </c>
      <c r="K547" s="5" t="s">
        <v>202</v>
      </c>
      <c r="L547" s="3"/>
      <c r="M547" s="12">
        <v>7.0</v>
      </c>
      <c r="N547" s="12" t="s">
        <v>453</v>
      </c>
      <c r="O547" s="3"/>
      <c r="P547" s="12" t="s">
        <v>90</v>
      </c>
      <c r="Q547" s="3"/>
      <c r="R547" s="6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ht="15.75" customHeight="1">
      <c r="A548" s="3" t="s">
        <v>318</v>
      </c>
      <c r="B548" s="3" t="s">
        <v>319</v>
      </c>
      <c r="C548" s="3" t="s">
        <v>80</v>
      </c>
      <c r="D548" s="3" t="s">
        <v>382</v>
      </c>
      <c r="E548" s="3" t="s">
        <v>432</v>
      </c>
      <c r="F548" s="3">
        <v>8.0</v>
      </c>
      <c r="G548" s="4">
        <v>-27.67131</v>
      </c>
      <c r="H548" s="4">
        <v>-48.4927799999998</v>
      </c>
      <c r="I548" s="5">
        <v>41.0</v>
      </c>
      <c r="J548" s="5" t="s">
        <v>56</v>
      </c>
      <c r="K548" s="5" t="s">
        <v>56</v>
      </c>
      <c r="L548" s="3"/>
      <c r="M548" s="12">
        <v>7.0</v>
      </c>
      <c r="N548" s="12">
        <v>20.5</v>
      </c>
      <c r="O548" s="3"/>
      <c r="P548" s="12"/>
      <c r="Q548" s="3"/>
      <c r="R548" s="6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ht="15.75" customHeight="1">
      <c r="A549" s="3" t="s">
        <v>318</v>
      </c>
      <c r="B549" s="3" t="s">
        <v>319</v>
      </c>
      <c r="C549" s="3" t="s">
        <v>80</v>
      </c>
      <c r="D549" s="3" t="s">
        <v>382</v>
      </c>
      <c r="E549" s="3" t="s">
        <v>432</v>
      </c>
      <c r="F549" s="3">
        <v>8.0</v>
      </c>
      <c r="G549" s="4">
        <v>-27.67131</v>
      </c>
      <c r="H549" s="4">
        <v>-48.4927799999998</v>
      </c>
      <c r="I549" s="5">
        <v>42.0</v>
      </c>
      <c r="J549" s="12" t="s">
        <v>454</v>
      </c>
      <c r="K549" s="12" t="s">
        <v>455</v>
      </c>
      <c r="L549" s="3" t="s">
        <v>64</v>
      </c>
      <c r="M549" s="12">
        <v>9.0</v>
      </c>
      <c r="N549" s="12" t="s">
        <v>456</v>
      </c>
      <c r="O549" s="3"/>
      <c r="P549" s="12" t="s">
        <v>90</v>
      </c>
      <c r="Q549" s="3"/>
      <c r="R549" s="6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ht="15.75" customHeight="1">
      <c r="A550" s="3" t="s">
        <v>318</v>
      </c>
      <c r="B550" s="3" t="s">
        <v>319</v>
      </c>
      <c r="C550" s="3" t="s">
        <v>80</v>
      </c>
      <c r="D550" s="3" t="s">
        <v>382</v>
      </c>
      <c r="E550" s="3" t="s">
        <v>432</v>
      </c>
      <c r="F550" s="3">
        <v>8.0</v>
      </c>
      <c r="G550" s="4">
        <v>-27.67131</v>
      </c>
      <c r="H550" s="4">
        <v>-48.4927799999998</v>
      </c>
      <c r="I550" s="5">
        <v>43.0</v>
      </c>
      <c r="J550" s="5" t="s">
        <v>104</v>
      </c>
      <c r="K550" s="5" t="s">
        <v>104</v>
      </c>
      <c r="L550" s="3"/>
      <c r="M550" s="12">
        <v>8.0</v>
      </c>
      <c r="N550" s="12">
        <v>33.0</v>
      </c>
      <c r="O550" s="12"/>
      <c r="P550" s="3"/>
      <c r="Q550" s="3"/>
      <c r="R550" s="6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ht="15.75" customHeight="1">
      <c r="A551" s="3" t="s">
        <v>318</v>
      </c>
      <c r="B551" s="3" t="s">
        <v>319</v>
      </c>
      <c r="C551" s="3" t="s">
        <v>80</v>
      </c>
      <c r="D551" s="3" t="s">
        <v>382</v>
      </c>
      <c r="E551" s="3" t="s">
        <v>432</v>
      </c>
      <c r="F551" s="3">
        <v>8.0</v>
      </c>
      <c r="G551" s="4">
        <v>-27.67131</v>
      </c>
      <c r="H551" s="4">
        <v>-48.4927799999998</v>
      </c>
      <c r="I551" s="5">
        <v>44.0</v>
      </c>
      <c r="J551" s="5" t="s">
        <v>329</v>
      </c>
      <c r="K551" s="5" t="s">
        <v>329</v>
      </c>
      <c r="L551" s="3" t="s">
        <v>64</v>
      </c>
      <c r="M551" s="12">
        <v>8.0</v>
      </c>
      <c r="N551" s="12">
        <v>15.0</v>
      </c>
      <c r="O551" s="12"/>
      <c r="P551" s="3"/>
      <c r="Q551" s="3"/>
      <c r="R551" s="6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ht="15.75" customHeight="1">
      <c r="A552" s="3" t="s">
        <v>318</v>
      </c>
      <c r="B552" s="3" t="s">
        <v>319</v>
      </c>
      <c r="C552" s="3" t="s">
        <v>80</v>
      </c>
      <c r="D552" s="3" t="s">
        <v>382</v>
      </c>
      <c r="E552" s="3" t="s">
        <v>432</v>
      </c>
      <c r="F552" s="3">
        <v>8.0</v>
      </c>
      <c r="G552" s="4">
        <v>-27.67131</v>
      </c>
      <c r="H552" s="4">
        <v>-48.4927799999998</v>
      </c>
      <c r="I552" s="5">
        <v>45.0</v>
      </c>
      <c r="J552" s="12" t="s">
        <v>457</v>
      </c>
      <c r="K552" s="12" t="s">
        <v>458</v>
      </c>
      <c r="L552" s="3" t="s">
        <v>64</v>
      </c>
      <c r="M552" s="12">
        <v>8.0</v>
      </c>
      <c r="N552" s="12" t="s">
        <v>412</v>
      </c>
      <c r="O552" s="12"/>
      <c r="P552" s="3"/>
      <c r="Q552" s="3"/>
      <c r="R552" s="6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ht="15.75" customHeight="1">
      <c r="A553" s="3" t="s">
        <v>318</v>
      </c>
      <c r="B553" s="3" t="s">
        <v>319</v>
      </c>
      <c r="C553" s="3" t="s">
        <v>80</v>
      </c>
      <c r="D553" s="3" t="s">
        <v>382</v>
      </c>
      <c r="E553" s="3" t="s">
        <v>432</v>
      </c>
      <c r="F553" s="3">
        <v>8.0</v>
      </c>
      <c r="G553" s="4">
        <v>-27.67131</v>
      </c>
      <c r="H553" s="4">
        <v>-48.4927799999998</v>
      </c>
      <c r="I553" s="5">
        <v>46.0</v>
      </c>
      <c r="J553" s="5" t="s">
        <v>104</v>
      </c>
      <c r="K553" s="5" t="s">
        <v>104</v>
      </c>
      <c r="L553" s="3"/>
      <c r="M553" s="12">
        <v>7.0</v>
      </c>
      <c r="N553" s="12">
        <v>26.0</v>
      </c>
      <c r="O553" s="12"/>
      <c r="P553" s="3"/>
      <c r="Q553" s="3"/>
      <c r="R553" s="6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ht="15.75" customHeight="1">
      <c r="A554" s="3" t="s">
        <v>318</v>
      </c>
      <c r="B554" s="3" t="s">
        <v>319</v>
      </c>
      <c r="C554" s="3" t="s">
        <v>80</v>
      </c>
      <c r="D554" s="3" t="s">
        <v>382</v>
      </c>
      <c r="E554" s="3" t="s">
        <v>432</v>
      </c>
      <c r="F554" s="3">
        <v>8.0</v>
      </c>
      <c r="G554" s="4">
        <v>-27.67131</v>
      </c>
      <c r="H554" s="4">
        <v>-48.4927799999998</v>
      </c>
      <c r="I554" s="5">
        <v>47.0</v>
      </c>
      <c r="J554" s="5" t="s">
        <v>394</v>
      </c>
      <c r="K554" s="5" t="s">
        <v>394</v>
      </c>
      <c r="L554" s="3" t="s">
        <v>64</v>
      </c>
      <c r="M554" s="12">
        <v>9.0</v>
      </c>
      <c r="N554" s="12">
        <v>30.0</v>
      </c>
      <c r="O554" s="12" t="s">
        <v>459</v>
      </c>
      <c r="P554" s="3"/>
      <c r="Q554" s="3"/>
      <c r="R554" s="6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ht="15.75" customHeight="1">
      <c r="A555" s="3" t="s">
        <v>460</v>
      </c>
      <c r="B555" s="3" t="s">
        <v>461</v>
      </c>
      <c r="C555" s="3" t="s">
        <v>19</v>
      </c>
      <c r="D555" s="3" t="s">
        <v>462</v>
      </c>
      <c r="E555" s="3" t="s">
        <v>463</v>
      </c>
      <c r="F555" s="3">
        <v>1.0</v>
      </c>
      <c r="G555" s="4">
        <v>-27.53204</v>
      </c>
      <c r="H555" s="4">
        <v>-48.51236</v>
      </c>
      <c r="I555" s="5">
        <v>1.0</v>
      </c>
      <c r="J555" s="5" t="s">
        <v>104</v>
      </c>
      <c r="K555" s="5" t="s">
        <v>104</v>
      </c>
      <c r="L555" s="3"/>
      <c r="M555" s="5">
        <v>10.0</v>
      </c>
      <c r="N555" s="5" t="s">
        <v>464</v>
      </c>
      <c r="O555" s="5"/>
      <c r="P555" s="3"/>
      <c r="Q555" s="3"/>
      <c r="R555" s="6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ht="15.75" customHeight="1">
      <c r="A556" s="3" t="s">
        <v>460</v>
      </c>
      <c r="B556" s="3" t="s">
        <v>461</v>
      </c>
      <c r="C556" s="3" t="s">
        <v>19</v>
      </c>
      <c r="D556" s="3" t="s">
        <v>462</v>
      </c>
      <c r="E556" s="3" t="s">
        <v>463</v>
      </c>
      <c r="F556" s="3">
        <v>1.0</v>
      </c>
      <c r="G556" s="4">
        <v>-27.53204</v>
      </c>
      <c r="H556" s="4">
        <v>-48.51236</v>
      </c>
      <c r="I556" s="5">
        <v>2.0</v>
      </c>
      <c r="J556" s="5" t="s">
        <v>56</v>
      </c>
      <c r="K556" s="5" t="s">
        <v>56</v>
      </c>
      <c r="L556" s="3"/>
      <c r="M556" s="5">
        <v>8.0</v>
      </c>
      <c r="N556" s="5">
        <v>28.0</v>
      </c>
      <c r="O556" s="5"/>
      <c r="P556" s="3"/>
      <c r="Q556" s="3"/>
      <c r="R556" s="6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ht="15.75" customHeight="1">
      <c r="A557" s="3" t="s">
        <v>460</v>
      </c>
      <c r="B557" s="3" t="s">
        <v>461</v>
      </c>
      <c r="C557" s="3" t="s">
        <v>19</v>
      </c>
      <c r="D557" s="3" t="s">
        <v>462</v>
      </c>
      <c r="E557" s="3" t="s">
        <v>463</v>
      </c>
      <c r="F557" s="3">
        <v>1.0</v>
      </c>
      <c r="G557" s="4">
        <v>-27.53204</v>
      </c>
      <c r="H557" s="4">
        <v>-48.51236</v>
      </c>
      <c r="I557" s="5">
        <v>3.0</v>
      </c>
      <c r="J557" s="5" t="s">
        <v>50</v>
      </c>
      <c r="K557" s="5" t="s">
        <v>50</v>
      </c>
      <c r="L557" s="3"/>
      <c r="M557" s="5">
        <v>6.0</v>
      </c>
      <c r="N557" s="5" t="s">
        <v>465</v>
      </c>
      <c r="O557" s="5"/>
      <c r="P557" s="3"/>
      <c r="Q557" s="3"/>
      <c r="R557" s="6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ht="15.75" customHeight="1">
      <c r="A558" s="3" t="s">
        <v>460</v>
      </c>
      <c r="B558" s="3" t="s">
        <v>461</v>
      </c>
      <c r="C558" s="3" t="s">
        <v>19</v>
      </c>
      <c r="D558" s="3" t="s">
        <v>462</v>
      </c>
      <c r="E558" s="3" t="s">
        <v>463</v>
      </c>
      <c r="F558" s="3">
        <v>1.0</v>
      </c>
      <c r="G558" s="4">
        <v>-27.53204</v>
      </c>
      <c r="H558" s="4">
        <v>-48.51236</v>
      </c>
      <c r="I558" s="5">
        <v>4.0</v>
      </c>
      <c r="J558" s="5" t="s">
        <v>104</v>
      </c>
      <c r="K558" s="5" t="s">
        <v>104</v>
      </c>
      <c r="L558" s="3"/>
      <c r="M558" s="5">
        <v>9.0</v>
      </c>
      <c r="N558" s="5">
        <v>38.0</v>
      </c>
      <c r="O558" s="5"/>
      <c r="P558" s="3"/>
      <c r="Q558" s="3"/>
      <c r="R558" s="6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ht="15.75" customHeight="1">
      <c r="A559" s="3" t="s">
        <v>460</v>
      </c>
      <c r="B559" s="3" t="s">
        <v>461</v>
      </c>
      <c r="C559" s="3" t="s">
        <v>19</v>
      </c>
      <c r="D559" s="3" t="s">
        <v>462</v>
      </c>
      <c r="E559" s="3" t="s">
        <v>463</v>
      </c>
      <c r="F559" s="3">
        <v>1.0</v>
      </c>
      <c r="G559" s="4">
        <v>-27.53204</v>
      </c>
      <c r="H559" s="4">
        <v>-48.51236</v>
      </c>
      <c r="I559" s="5">
        <v>5.0</v>
      </c>
      <c r="J559" s="5" t="s">
        <v>104</v>
      </c>
      <c r="K559" s="5" t="s">
        <v>104</v>
      </c>
      <c r="L559" s="3"/>
      <c r="M559" s="5">
        <v>9.0</v>
      </c>
      <c r="N559" s="5">
        <v>29.0</v>
      </c>
      <c r="O559" s="5"/>
      <c r="P559" s="3"/>
      <c r="Q559" s="3"/>
      <c r="R559" s="6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ht="15.75" customHeight="1">
      <c r="A560" s="3" t="s">
        <v>460</v>
      </c>
      <c r="B560" s="3" t="s">
        <v>461</v>
      </c>
      <c r="C560" s="3" t="s">
        <v>19</v>
      </c>
      <c r="D560" s="3" t="s">
        <v>462</v>
      </c>
      <c r="E560" s="3" t="s">
        <v>463</v>
      </c>
      <c r="F560" s="3">
        <v>1.0</v>
      </c>
      <c r="G560" s="4">
        <v>-27.53204</v>
      </c>
      <c r="H560" s="4">
        <v>-48.51236</v>
      </c>
      <c r="I560" s="5">
        <v>6.0</v>
      </c>
      <c r="J560" s="5" t="s">
        <v>423</v>
      </c>
      <c r="K560" s="5" t="s">
        <v>423</v>
      </c>
      <c r="L560" s="3"/>
      <c r="M560" s="5">
        <v>12.0</v>
      </c>
      <c r="N560" s="5">
        <v>18.0</v>
      </c>
      <c r="O560" s="5" t="s">
        <v>466</v>
      </c>
      <c r="P560" s="3"/>
      <c r="Q560" s="3"/>
      <c r="R560" s="6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ht="15.75" customHeight="1">
      <c r="A561" s="3" t="s">
        <v>460</v>
      </c>
      <c r="B561" s="3" t="s">
        <v>461</v>
      </c>
      <c r="C561" s="3" t="s">
        <v>19</v>
      </c>
      <c r="D561" s="3" t="s">
        <v>462</v>
      </c>
      <c r="E561" s="3" t="s">
        <v>463</v>
      </c>
      <c r="F561" s="3">
        <v>1.0</v>
      </c>
      <c r="G561" s="4">
        <v>-27.53204</v>
      </c>
      <c r="H561" s="4">
        <v>-48.51236</v>
      </c>
      <c r="I561" s="5">
        <v>7.0</v>
      </c>
      <c r="J561" s="5" t="s">
        <v>104</v>
      </c>
      <c r="K561" s="5" t="s">
        <v>104</v>
      </c>
      <c r="L561" s="3"/>
      <c r="M561" s="5">
        <v>7.0</v>
      </c>
      <c r="N561" s="5">
        <v>22.0</v>
      </c>
      <c r="O561" s="5"/>
      <c r="P561" s="3"/>
      <c r="Q561" s="3"/>
      <c r="R561" s="6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ht="15.75" customHeight="1">
      <c r="A562" s="3" t="s">
        <v>460</v>
      </c>
      <c r="B562" s="3" t="s">
        <v>461</v>
      </c>
      <c r="C562" s="3" t="s">
        <v>19</v>
      </c>
      <c r="D562" s="3" t="s">
        <v>462</v>
      </c>
      <c r="E562" s="3" t="s">
        <v>463</v>
      </c>
      <c r="F562" s="3">
        <v>1.0</v>
      </c>
      <c r="G562" s="4">
        <v>-27.53204</v>
      </c>
      <c r="H562" s="4">
        <v>-48.51236</v>
      </c>
      <c r="I562" s="5">
        <v>8.0</v>
      </c>
      <c r="J562" s="5" t="s">
        <v>104</v>
      </c>
      <c r="K562" s="5" t="s">
        <v>104</v>
      </c>
      <c r="L562" s="3"/>
      <c r="M562" s="5">
        <v>8.0</v>
      </c>
      <c r="N562" s="5" t="s">
        <v>467</v>
      </c>
      <c r="O562" s="5"/>
      <c r="P562" s="3"/>
      <c r="Q562" s="3"/>
      <c r="R562" s="6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ht="15.75" customHeight="1">
      <c r="A563" s="3" t="s">
        <v>460</v>
      </c>
      <c r="B563" s="3" t="s">
        <v>461</v>
      </c>
      <c r="C563" s="3" t="s">
        <v>19</v>
      </c>
      <c r="D563" s="3" t="s">
        <v>462</v>
      </c>
      <c r="E563" s="3" t="s">
        <v>463</v>
      </c>
      <c r="F563" s="3">
        <v>1.0</v>
      </c>
      <c r="G563" s="4">
        <v>-27.53204</v>
      </c>
      <c r="H563" s="4">
        <v>-48.51236</v>
      </c>
      <c r="I563" s="5">
        <v>9.0</v>
      </c>
      <c r="J563" s="5" t="s">
        <v>104</v>
      </c>
      <c r="K563" s="5" t="s">
        <v>104</v>
      </c>
      <c r="L563" s="3"/>
      <c r="M563" s="5">
        <v>6.0</v>
      </c>
      <c r="N563" s="5">
        <v>15.0</v>
      </c>
      <c r="O563" s="5"/>
      <c r="P563" s="3"/>
      <c r="Q563" s="3"/>
      <c r="R563" s="6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ht="15.75" customHeight="1">
      <c r="A564" s="3" t="s">
        <v>460</v>
      </c>
      <c r="B564" s="3" t="s">
        <v>461</v>
      </c>
      <c r="C564" s="3" t="s">
        <v>19</v>
      </c>
      <c r="D564" s="3" t="s">
        <v>462</v>
      </c>
      <c r="E564" s="3" t="s">
        <v>463</v>
      </c>
      <c r="F564" s="3">
        <v>1.0</v>
      </c>
      <c r="G564" s="4">
        <v>-27.53204</v>
      </c>
      <c r="H564" s="4">
        <v>-48.51236</v>
      </c>
      <c r="I564" s="5">
        <v>10.0</v>
      </c>
      <c r="J564" s="5" t="s">
        <v>153</v>
      </c>
      <c r="K564" s="5" t="s">
        <v>153</v>
      </c>
      <c r="L564" s="3"/>
      <c r="M564" s="5">
        <v>10.0</v>
      </c>
      <c r="N564" s="5">
        <v>44.0</v>
      </c>
      <c r="O564" s="5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ht="15.75" customHeight="1">
      <c r="A565" s="3" t="s">
        <v>460</v>
      </c>
      <c r="B565" s="3" t="s">
        <v>461</v>
      </c>
      <c r="C565" s="3" t="s">
        <v>19</v>
      </c>
      <c r="D565" s="3" t="s">
        <v>462</v>
      </c>
      <c r="E565" s="3" t="s">
        <v>463</v>
      </c>
      <c r="F565" s="3">
        <v>1.0</v>
      </c>
      <c r="G565" s="4">
        <v>-27.53204</v>
      </c>
      <c r="H565" s="4">
        <v>-48.51236</v>
      </c>
      <c r="I565" s="5">
        <v>11.0</v>
      </c>
      <c r="J565" s="5" t="s">
        <v>468</v>
      </c>
      <c r="K565" s="5" t="s">
        <v>468</v>
      </c>
      <c r="L565" s="3"/>
      <c r="M565" s="5">
        <v>8.0</v>
      </c>
      <c r="N565" s="5">
        <v>24.0</v>
      </c>
      <c r="O565" s="5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ht="15.75" customHeight="1">
      <c r="A566" s="3" t="s">
        <v>460</v>
      </c>
      <c r="B566" s="3" t="s">
        <v>461</v>
      </c>
      <c r="C566" s="3" t="s">
        <v>19</v>
      </c>
      <c r="D566" s="3" t="s">
        <v>462</v>
      </c>
      <c r="E566" s="3" t="s">
        <v>463</v>
      </c>
      <c r="F566" s="3">
        <v>1.0</v>
      </c>
      <c r="G566" s="4">
        <v>-27.53204</v>
      </c>
      <c r="H566" s="4">
        <v>-48.51236</v>
      </c>
      <c r="I566" s="5">
        <v>12.0</v>
      </c>
      <c r="J566" s="5" t="s">
        <v>469</v>
      </c>
      <c r="K566" s="5" t="s">
        <v>470</v>
      </c>
      <c r="L566" s="3"/>
      <c r="M566" s="5">
        <v>4.0</v>
      </c>
      <c r="N566" s="5">
        <v>17.0</v>
      </c>
      <c r="O566" s="3"/>
      <c r="P566" s="5" t="s">
        <v>471</v>
      </c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ht="15.75" customHeight="1">
      <c r="A567" s="3" t="s">
        <v>460</v>
      </c>
      <c r="B567" s="3" t="s">
        <v>461</v>
      </c>
      <c r="C567" s="3" t="s">
        <v>19</v>
      </c>
      <c r="D567" s="3" t="s">
        <v>462</v>
      </c>
      <c r="E567" s="3" t="s">
        <v>463</v>
      </c>
      <c r="F567" s="3">
        <v>1.0</v>
      </c>
      <c r="G567" s="4">
        <v>-27.53204</v>
      </c>
      <c r="H567" s="4">
        <v>-48.51236</v>
      </c>
      <c r="I567" s="5">
        <v>13.0</v>
      </c>
      <c r="J567" s="5" t="s">
        <v>104</v>
      </c>
      <c r="K567" s="5" t="s">
        <v>104</v>
      </c>
      <c r="L567" s="3"/>
      <c r="M567" s="5">
        <v>8.0</v>
      </c>
      <c r="N567" s="5" t="s">
        <v>472</v>
      </c>
      <c r="O567" s="5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ht="15.75" customHeight="1">
      <c r="A568" s="3" t="s">
        <v>460</v>
      </c>
      <c r="B568" s="3" t="s">
        <v>461</v>
      </c>
      <c r="C568" s="3" t="s">
        <v>19</v>
      </c>
      <c r="D568" s="3" t="s">
        <v>462</v>
      </c>
      <c r="E568" s="3" t="s">
        <v>463</v>
      </c>
      <c r="F568" s="3">
        <v>1.0</v>
      </c>
      <c r="G568" s="4">
        <v>-27.53204</v>
      </c>
      <c r="H568" s="4">
        <v>-48.51236</v>
      </c>
      <c r="I568" s="5">
        <v>14.0</v>
      </c>
      <c r="J568" s="5" t="s">
        <v>468</v>
      </c>
      <c r="K568" s="5" t="s">
        <v>468</v>
      </c>
      <c r="L568" s="3"/>
      <c r="M568" s="5">
        <v>19.0</v>
      </c>
      <c r="N568" s="5">
        <v>111.0</v>
      </c>
      <c r="O568" s="5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ht="15.75" customHeight="1">
      <c r="A569" s="3" t="s">
        <v>460</v>
      </c>
      <c r="B569" s="3" t="s">
        <v>461</v>
      </c>
      <c r="C569" s="3" t="s">
        <v>19</v>
      </c>
      <c r="D569" s="3" t="s">
        <v>462</v>
      </c>
      <c r="E569" s="3" t="s">
        <v>463</v>
      </c>
      <c r="F569" s="3">
        <v>1.0</v>
      </c>
      <c r="G569" s="4">
        <v>-27.53204</v>
      </c>
      <c r="H569" s="4">
        <v>-48.51236</v>
      </c>
      <c r="I569" s="5">
        <v>15.0</v>
      </c>
      <c r="J569" s="5" t="s">
        <v>27</v>
      </c>
      <c r="K569" s="5" t="s">
        <v>27</v>
      </c>
      <c r="L569" s="3"/>
      <c r="M569" s="5">
        <v>9.0</v>
      </c>
      <c r="N569" s="5">
        <v>50.0</v>
      </c>
      <c r="O569" s="5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ht="15.75" customHeight="1">
      <c r="A570" s="3" t="s">
        <v>460</v>
      </c>
      <c r="B570" s="3" t="s">
        <v>461</v>
      </c>
      <c r="C570" s="3" t="s">
        <v>19</v>
      </c>
      <c r="D570" s="3" t="s">
        <v>462</v>
      </c>
      <c r="E570" s="3" t="s">
        <v>463</v>
      </c>
      <c r="F570" s="3">
        <v>1.0</v>
      </c>
      <c r="G570" s="4">
        <v>-27.53204</v>
      </c>
      <c r="H570" s="4">
        <v>-48.51236</v>
      </c>
      <c r="I570" s="5">
        <v>16.0</v>
      </c>
      <c r="J570" s="5" t="s">
        <v>50</v>
      </c>
      <c r="K570" s="5" t="s">
        <v>50</v>
      </c>
      <c r="L570" s="3"/>
      <c r="M570" s="5">
        <v>4.5</v>
      </c>
      <c r="N570" s="5">
        <v>15.0</v>
      </c>
      <c r="O570" s="5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ht="15.75" customHeight="1">
      <c r="A571" s="3" t="s">
        <v>460</v>
      </c>
      <c r="B571" s="3" t="s">
        <v>461</v>
      </c>
      <c r="C571" s="3" t="s">
        <v>19</v>
      </c>
      <c r="D571" s="3" t="s">
        <v>462</v>
      </c>
      <c r="E571" s="3" t="s">
        <v>463</v>
      </c>
      <c r="F571" s="3">
        <v>1.0</v>
      </c>
      <c r="G571" s="4">
        <v>-27.53204</v>
      </c>
      <c r="H571" s="4">
        <v>-48.51236</v>
      </c>
      <c r="I571" s="5">
        <v>17.0</v>
      </c>
      <c r="J571" s="5" t="s">
        <v>104</v>
      </c>
      <c r="K571" s="5" t="s">
        <v>104</v>
      </c>
      <c r="L571" s="3"/>
      <c r="M571" s="5">
        <v>8.0</v>
      </c>
      <c r="N571" s="5">
        <v>25.0</v>
      </c>
      <c r="O571" s="5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ht="15.75" customHeight="1">
      <c r="A572" s="3" t="s">
        <v>460</v>
      </c>
      <c r="B572" s="3" t="s">
        <v>461</v>
      </c>
      <c r="C572" s="3" t="s">
        <v>19</v>
      </c>
      <c r="D572" s="3" t="s">
        <v>462</v>
      </c>
      <c r="E572" s="3" t="s">
        <v>463</v>
      </c>
      <c r="F572" s="3">
        <v>1.0</v>
      </c>
      <c r="G572" s="4">
        <v>-27.53204</v>
      </c>
      <c r="H572" s="4">
        <v>-48.51236</v>
      </c>
      <c r="I572" s="5">
        <v>18.0</v>
      </c>
      <c r="J572" s="5" t="s">
        <v>104</v>
      </c>
      <c r="K572" s="5" t="s">
        <v>104</v>
      </c>
      <c r="L572" s="3"/>
      <c r="M572" s="5">
        <v>8.0</v>
      </c>
      <c r="N572" s="5">
        <v>17.0</v>
      </c>
      <c r="O572" s="5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ht="15.75" customHeight="1">
      <c r="A573" s="3" t="s">
        <v>460</v>
      </c>
      <c r="B573" s="3" t="s">
        <v>461</v>
      </c>
      <c r="C573" s="3" t="s">
        <v>19</v>
      </c>
      <c r="D573" s="3" t="s">
        <v>462</v>
      </c>
      <c r="E573" s="3" t="s">
        <v>463</v>
      </c>
      <c r="F573" s="3">
        <v>1.0</v>
      </c>
      <c r="G573" s="4">
        <v>-27.53204</v>
      </c>
      <c r="H573" s="4">
        <v>-48.51236</v>
      </c>
      <c r="I573" s="5">
        <v>19.0</v>
      </c>
      <c r="J573" s="5" t="s">
        <v>191</v>
      </c>
      <c r="K573" s="5" t="s">
        <v>191</v>
      </c>
      <c r="L573" s="3"/>
      <c r="M573" s="5">
        <v>5.0</v>
      </c>
      <c r="N573" s="5">
        <v>20.0</v>
      </c>
      <c r="O573" s="5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ht="15.75" customHeight="1">
      <c r="A574" s="3" t="s">
        <v>460</v>
      </c>
      <c r="B574" s="3" t="s">
        <v>461</v>
      </c>
      <c r="C574" s="3" t="s">
        <v>19</v>
      </c>
      <c r="D574" s="3" t="s">
        <v>462</v>
      </c>
      <c r="E574" s="3" t="s">
        <v>473</v>
      </c>
      <c r="F574" s="3">
        <v>2.0</v>
      </c>
      <c r="G574" s="4">
        <v>-27.5318</v>
      </c>
      <c r="H574" s="4">
        <v>-48.51247</v>
      </c>
      <c r="I574" s="5">
        <v>1.0</v>
      </c>
      <c r="J574" s="5" t="s">
        <v>474</v>
      </c>
      <c r="K574" s="5" t="s">
        <v>98</v>
      </c>
      <c r="L574" s="3"/>
      <c r="M574" s="5">
        <v>6.0</v>
      </c>
      <c r="N574" s="5">
        <v>15.0</v>
      </c>
      <c r="O574" s="5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ht="15.75" customHeight="1">
      <c r="A575" s="3" t="s">
        <v>460</v>
      </c>
      <c r="B575" s="3" t="s">
        <v>461</v>
      </c>
      <c r="C575" s="3" t="s">
        <v>19</v>
      </c>
      <c r="D575" s="3" t="s">
        <v>462</v>
      </c>
      <c r="E575" s="3" t="s">
        <v>473</v>
      </c>
      <c r="F575" s="3">
        <v>2.0</v>
      </c>
      <c r="G575" s="4">
        <v>-27.5318</v>
      </c>
      <c r="H575" s="4">
        <v>-48.51247</v>
      </c>
      <c r="I575" s="5">
        <v>2.0</v>
      </c>
      <c r="J575" s="5" t="s">
        <v>104</v>
      </c>
      <c r="K575" s="5" t="s">
        <v>104</v>
      </c>
      <c r="L575" s="3"/>
      <c r="M575" s="5">
        <v>5.0</v>
      </c>
      <c r="N575" s="5">
        <v>15.0</v>
      </c>
      <c r="O575" s="5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ht="15.75" customHeight="1">
      <c r="A576" s="3" t="s">
        <v>460</v>
      </c>
      <c r="B576" s="3" t="s">
        <v>461</v>
      </c>
      <c r="C576" s="3" t="s">
        <v>19</v>
      </c>
      <c r="D576" s="3" t="s">
        <v>462</v>
      </c>
      <c r="E576" s="3" t="s">
        <v>473</v>
      </c>
      <c r="F576" s="3">
        <v>2.0</v>
      </c>
      <c r="G576" s="4">
        <v>-27.5318</v>
      </c>
      <c r="H576" s="4">
        <v>-48.51247</v>
      </c>
      <c r="I576" s="5">
        <v>3.0</v>
      </c>
      <c r="J576" s="5" t="s">
        <v>28</v>
      </c>
      <c r="K576" s="5" t="s">
        <v>28</v>
      </c>
      <c r="L576" s="3"/>
      <c r="M576" s="5">
        <v>5.0</v>
      </c>
      <c r="N576" s="5">
        <v>17.0</v>
      </c>
      <c r="O576" s="5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ht="15.75" customHeight="1">
      <c r="A577" s="3" t="s">
        <v>460</v>
      </c>
      <c r="B577" s="3" t="s">
        <v>461</v>
      </c>
      <c r="C577" s="3" t="s">
        <v>19</v>
      </c>
      <c r="D577" s="3" t="s">
        <v>462</v>
      </c>
      <c r="E577" s="3" t="s">
        <v>473</v>
      </c>
      <c r="F577" s="3">
        <v>2.0</v>
      </c>
      <c r="G577" s="4">
        <v>-27.5318</v>
      </c>
      <c r="H577" s="4">
        <v>-48.51247</v>
      </c>
      <c r="I577" s="5">
        <v>4.0</v>
      </c>
      <c r="J577" s="5" t="s">
        <v>104</v>
      </c>
      <c r="K577" s="5" t="s">
        <v>104</v>
      </c>
      <c r="L577" s="3"/>
      <c r="M577" s="5">
        <v>6.0</v>
      </c>
      <c r="N577" s="5">
        <v>23.0</v>
      </c>
      <c r="O577" s="5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ht="15.75" customHeight="1">
      <c r="A578" s="3" t="s">
        <v>460</v>
      </c>
      <c r="B578" s="3" t="s">
        <v>461</v>
      </c>
      <c r="C578" s="3" t="s">
        <v>19</v>
      </c>
      <c r="D578" s="3" t="s">
        <v>462</v>
      </c>
      <c r="E578" s="3" t="s">
        <v>473</v>
      </c>
      <c r="F578" s="3">
        <v>2.0</v>
      </c>
      <c r="G578" s="4">
        <v>-27.5318</v>
      </c>
      <c r="H578" s="4">
        <v>-48.51247</v>
      </c>
      <c r="I578" s="5">
        <v>5.0</v>
      </c>
      <c r="J578" s="5" t="s">
        <v>28</v>
      </c>
      <c r="K578" s="5" t="s">
        <v>28</v>
      </c>
      <c r="L578" s="3"/>
      <c r="M578" s="5">
        <v>7.0</v>
      </c>
      <c r="N578" s="5">
        <v>24.0</v>
      </c>
      <c r="O578" s="5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ht="15.75" customHeight="1">
      <c r="A579" s="3" t="s">
        <v>460</v>
      </c>
      <c r="B579" s="3" t="s">
        <v>461</v>
      </c>
      <c r="C579" s="3" t="s">
        <v>19</v>
      </c>
      <c r="D579" s="3" t="s">
        <v>462</v>
      </c>
      <c r="E579" s="3" t="s">
        <v>473</v>
      </c>
      <c r="F579" s="3">
        <v>2.0</v>
      </c>
      <c r="G579" s="4">
        <v>-27.5318</v>
      </c>
      <c r="H579" s="4">
        <v>-48.51247</v>
      </c>
      <c r="I579" s="5">
        <v>6.0</v>
      </c>
      <c r="J579" s="5" t="s">
        <v>28</v>
      </c>
      <c r="K579" s="5" t="s">
        <v>28</v>
      </c>
      <c r="L579" s="3"/>
      <c r="M579" s="5">
        <v>8.0</v>
      </c>
      <c r="N579" s="5">
        <v>56.0</v>
      </c>
      <c r="O579" s="5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ht="15.75" customHeight="1">
      <c r="A580" s="3" t="s">
        <v>460</v>
      </c>
      <c r="B580" s="3" t="s">
        <v>461</v>
      </c>
      <c r="C580" s="3" t="s">
        <v>19</v>
      </c>
      <c r="D580" s="3" t="s">
        <v>462</v>
      </c>
      <c r="E580" s="3" t="s">
        <v>473</v>
      </c>
      <c r="F580" s="3">
        <v>2.0</v>
      </c>
      <c r="G580" s="4">
        <v>-27.5318</v>
      </c>
      <c r="H580" s="4">
        <v>-48.51247</v>
      </c>
      <c r="I580" s="5">
        <v>7.0</v>
      </c>
      <c r="J580" s="5" t="s">
        <v>475</v>
      </c>
      <c r="K580" s="5" t="s">
        <v>468</v>
      </c>
      <c r="L580" s="3"/>
      <c r="M580" s="5">
        <v>9.0</v>
      </c>
      <c r="N580" s="5">
        <v>35.0</v>
      </c>
      <c r="O580" s="5" t="s">
        <v>476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ht="15.75" customHeight="1">
      <c r="A581" s="3" t="s">
        <v>460</v>
      </c>
      <c r="B581" s="3" t="s">
        <v>461</v>
      </c>
      <c r="C581" s="3" t="s">
        <v>19</v>
      </c>
      <c r="D581" s="3" t="s">
        <v>462</v>
      </c>
      <c r="E581" s="3" t="s">
        <v>473</v>
      </c>
      <c r="F581" s="3">
        <v>2.0</v>
      </c>
      <c r="G581" s="4">
        <v>-27.5318</v>
      </c>
      <c r="H581" s="4">
        <v>-48.51247</v>
      </c>
      <c r="I581" s="5">
        <v>8.0</v>
      </c>
      <c r="J581" s="5" t="s">
        <v>475</v>
      </c>
      <c r="K581" s="5" t="s">
        <v>468</v>
      </c>
      <c r="L581" s="3"/>
      <c r="M581" s="5">
        <v>10.0</v>
      </c>
      <c r="N581" s="5">
        <v>50.0</v>
      </c>
      <c r="O581" s="5" t="s">
        <v>477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ht="15.75" customHeight="1">
      <c r="A582" s="3" t="s">
        <v>460</v>
      </c>
      <c r="B582" s="3" t="s">
        <v>461</v>
      </c>
      <c r="C582" s="3" t="s">
        <v>19</v>
      </c>
      <c r="D582" s="3" t="s">
        <v>462</v>
      </c>
      <c r="E582" s="3" t="s">
        <v>473</v>
      </c>
      <c r="F582" s="3">
        <v>2.0</v>
      </c>
      <c r="G582" s="4">
        <v>-27.5318</v>
      </c>
      <c r="H582" s="4">
        <v>-48.51247</v>
      </c>
      <c r="I582" s="5">
        <v>9.0</v>
      </c>
      <c r="J582" s="5" t="s">
        <v>394</v>
      </c>
      <c r="K582" s="5" t="s">
        <v>394</v>
      </c>
      <c r="L582" s="3"/>
      <c r="M582" s="5">
        <v>8.0</v>
      </c>
      <c r="N582" s="5">
        <v>21.0</v>
      </c>
      <c r="O582" s="5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ht="15.75" customHeight="1">
      <c r="A583" s="3" t="s">
        <v>460</v>
      </c>
      <c r="B583" s="3" t="s">
        <v>461</v>
      </c>
      <c r="C583" s="3" t="s">
        <v>19</v>
      </c>
      <c r="D583" s="3" t="s">
        <v>462</v>
      </c>
      <c r="E583" s="3" t="s">
        <v>473</v>
      </c>
      <c r="F583" s="3">
        <v>2.0</v>
      </c>
      <c r="G583" s="4">
        <v>-27.5318</v>
      </c>
      <c r="H583" s="4">
        <v>-48.51247</v>
      </c>
      <c r="I583" s="5">
        <v>10.0</v>
      </c>
      <c r="J583" s="5" t="s">
        <v>191</v>
      </c>
      <c r="K583" s="5" t="s">
        <v>191</v>
      </c>
      <c r="L583" s="3"/>
      <c r="M583" s="5">
        <v>6.0</v>
      </c>
      <c r="N583" s="5">
        <v>16.0</v>
      </c>
      <c r="O583" s="5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ht="15.75" customHeight="1">
      <c r="A584" s="3" t="s">
        <v>460</v>
      </c>
      <c r="B584" s="3" t="s">
        <v>461</v>
      </c>
      <c r="C584" s="3" t="s">
        <v>19</v>
      </c>
      <c r="D584" s="3" t="s">
        <v>462</v>
      </c>
      <c r="E584" s="3" t="s">
        <v>473</v>
      </c>
      <c r="F584" s="3">
        <v>2.0</v>
      </c>
      <c r="G584" s="4">
        <v>-27.5318</v>
      </c>
      <c r="H584" s="4">
        <v>-48.51247</v>
      </c>
      <c r="I584" s="5">
        <v>11.0</v>
      </c>
      <c r="J584" s="5" t="s">
        <v>24</v>
      </c>
      <c r="K584" s="5" t="s">
        <v>24</v>
      </c>
      <c r="L584" s="3"/>
      <c r="M584" s="5">
        <v>8.0</v>
      </c>
      <c r="N584" s="5">
        <v>17.0</v>
      </c>
      <c r="O584" s="5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ht="15.75" customHeight="1">
      <c r="A585" s="3" t="s">
        <v>460</v>
      </c>
      <c r="B585" s="3" t="s">
        <v>461</v>
      </c>
      <c r="C585" s="3" t="s">
        <v>19</v>
      </c>
      <c r="D585" s="3" t="s">
        <v>462</v>
      </c>
      <c r="E585" s="3" t="s">
        <v>473</v>
      </c>
      <c r="F585" s="3">
        <v>2.0</v>
      </c>
      <c r="G585" s="4">
        <v>-27.5318</v>
      </c>
      <c r="H585" s="4">
        <v>-48.51247</v>
      </c>
      <c r="I585" s="5">
        <v>12.0</v>
      </c>
      <c r="J585" s="5" t="s">
        <v>56</v>
      </c>
      <c r="K585" s="5" t="s">
        <v>56</v>
      </c>
      <c r="L585" s="3"/>
      <c r="M585" s="5">
        <v>9.0</v>
      </c>
      <c r="N585" s="5">
        <v>21.0</v>
      </c>
      <c r="O585" s="5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ht="15.75" customHeight="1">
      <c r="A586" s="3" t="s">
        <v>460</v>
      </c>
      <c r="B586" s="3" t="s">
        <v>461</v>
      </c>
      <c r="C586" s="3" t="s">
        <v>19</v>
      </c>
      <c r="D586" s="3" t="s">
        <v>462</v>
      </c>
      <c r="E586" s="3" t="s">
        <v>473</v>
      </c>
      <c r="F586" s="3">
        <v>2.0</v>
      </c>
      <c r="G586" s="4">
        <v>-27.5318</v>
      </c>
      <c r="H586" s="4">
        <v>-48.51247</v>
      </c>
      <c r="I586" s="5">
        <v>13.0</v>
      </c>
      <c r="J586" s="5" t="s">
        <v>469</v>
      </c>
      <c r="K586" s="5" t="s">
        <v>470</v>
      </c>
      <c r="L586" s="3"/>
      <c r="M586" s="5">
        <v>8.0</v>
      </c>
      <c r="N586" s="5" t="s">
        <v>478</v>
      </c>
      <c r="O586" s="5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ht="15.75" customHeight="1">
      <c r="A587" s="3" t="s">
        <v>460</v>
      </c>
      <c r="B587" s="3" t="s">
        <v>461</v>
      </c>
      <c r="C587" s="3" t="s">
        <v>19</v>
      </c>
      <c r="D587" s="3" t="s">
        <v>462</v>
      </c>
      <c r="E587" s="3" t="s">
        <v>473</v>
      </c>
      <c r="F587" s="3">
        <v>2.0</v>
      </c>
      <c r="G587" s="4">
        <v>-27.5318</v>
      </c>
      <c r="H587" s="4">
        <v>-48.51247</v>
      </c>
      <c r="I587" s="5">
        <v>14.0</v>
      </c>
      <c r="J587" s="5" t="s">
        <v>468</v>
      </c>
      <c r="K587" s="5" t="s">
        <v>468</v>
      </c>
      <c r="L587" s="3"/>
      <c r="M587" s="5">
        <v>13.0</v>
      </c>
      <c r="N587" s="5" t="s">
        <v>479</v>
      </c>
      <c r="O587" s="5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ht="15.75" customHeight="1">
      <c r="A588" s="3" t="s">
        <v>460</v>
      </c>
      <c r="B588" s="3" t="s">
        <v>461</v>
      </c>
      <c r="C588" s="3" t="s">
        <v>19</v>
      </c>
      <c r="D588" s="3" t="s">
        <v>462</v>
      </c>
      <c r="E588" s="3" t="s">
        <v>473</v>
      </c>
      <c r="F588" s="3">
        <v>2.0</v>
      </c>
      <c r="G588" s="4">
        <v>-27.5318</v>
      </c>
      <c r="H588" s="4">
        <v>-48.51247</v>
      </c>
      <c r="I588" s="5">
        <v>15.0</v>
      </c>
      <c r="J588" s="5" t="s">
        <v>474</v>
      </c>
      <c r="K588" s="5" t="s">
        <v>98</v>
      </c>
      <c r="L588" s="3"/>
      <c r="M588" s="5">
        <v>10.0</v>
      </c>
      <c r="N588" s="5" t="s">
        <v>480</v>
      </c>
      <c r="O588" s="5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ht="15.75" customHeight="1">
      <c r="A589" s="3" t="s">
        <v>460</v>
      </c>
      <c r="B589" s="3" t="s">
        <v>461</v>
      </c>
      <c r="C589" s="3" t="s">
        <v>19</v>
      </c>
      <c r="D589" s="3" t="s">
        <v>462</v>
      </c>
      <c r="E589" s="3" t="s">
        <v>473</v>
      </c>
      <c r="F589" s="3">
        <v>2.0</v>
      </c>
      <c r="G589" s="4">
        <v>-27.5318</v>
      </c>
      <c r="H589" s="4">
        <v>-48.51247</v>
      </c>
      <c r="I589" s="5">
        <v>16.0</v>
      </c>
      <c r="J589" s="5" t="s">
        <v>474</v>
      </c>
      <c r="K589" s="5" t="s">
        <v>98</v>
      </c>
      <c r="L589" s="3"/>
      <c r="M589" s="5">
        <v>7.0</v>
      </c>
      <c r="N589" s="5">
        <v>21.0</v>
      </c>
      <c r="O589" s="5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ht="15.75" customHeight="1">
      <c r="A590" s="3" t="s">
        <v>460</v>
      </c>
      <c r="B590" s="3" t="s">
        <v>461</v>
      </c>
      <c r="C590" s="3" t="s">
        <v>19</v>
      </c>
      <c r="D590" s="3" t="s">
        <v>462</v>
      </c>
      <c r="E590" s="3" t="s">
        <v>473</v>
      </c>
      <c r="F590" s="3">
        <v>2.0</v>
      </c>
      <c r="G590" s="4">
        <v>-27.5318</v>
      </c>
      <c r="H590" s="4">
        <v>-48.51247</v>
      </c>
      <c r="I590" s="5">
        <v>17.0</v>
      </c>
      <c r="J590" s="5" t="s">
        <v>469</v>
      </c>
      <c r="K590" s="5" t="s">
        <v>470</v>
      </c>
      <c r="L590" s="3"/>
      <c r="M590" s="5">
        <v>7.0</v>
      </c>
      <c r="N590" s="5">
        <v>25.0</v>
      </c>
      <c r="O590" s="5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ht="15.75" customHeight="1">
      <c r="A591" s="3" t="s">
        <v>460</v>
      </c>
      <c r="B591" s="3" t="s">
        <v>461</v>
      </c>
      <c r="C591" s="3" t="s">
        <v>19</v>
      </c>
      <c r="D591" s="3" t="s">
        <v>462</v>
      </c>
      <c r="E591" s="3" t="s">
        <v>473</v>
      </c>
      <c r="F591" s="3">
        <v>2.0</v>
      </c>
      <c r="G591" s="4">
        <v>-27.5318</v>
      </c>
      <c r="H591" s="4">
        <v>-48.51247</v>
      </c>
      <c r="I591" s="5">
        <v>18.0</v>
      </c>
      <c r="J591" s="5" t="s">
        <v>323</v>
      </c>
      <c r="K591" s="5" t="s">
        <v>323</v>
      </c>
      <c r="L591" s="3"/>
      <c r="M591" s="5">
        <v>9.0</v>
      </c>
      <c r="N591" s="5">
        <v>30.0</v>
      </c>
      <c r="O591" s="5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ht="15.75" customHeight="1">
      <c r="A592" s="3" t="s">
        <v>460</v>
      </c>
      <c r="B592" s="3" t="s">
        <v>461</v>
      </c>
      <c r="C592" s="3" t="s">
        <v>19</v>
      </c>
      <c r="D592" s="3" t="s">
        <v>462</v>
      </c>
      <c r="E592" s="3" t="s">
        <v>473</v>
      </c>
      <c r="F592" s="3">
        <v>2.0</v>
      </c>
      <c r="G592" s="4">
        <v>-27.5318</v>
      </c>
      <c r="H592" s="4">
        <v>-48.51247</v>
      </c>
      <c r="I592" s="5">
        <v>19.0</v>
      </c>
      <c r="J592" s="5" t="s">
        <v>469</v>
      </c>
      <c r="K592" s="5" t="s">
        <v>470</v>
      </c>
      <c r="L592" s="3"/>
      <c r="M592" s="5">
        <v>7.0</v>
      </c>
      <c r="N592" s="5">
        <v>20.0</v>
      </c>
      <c r="O592" s="5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ht="15.75" customHeight="1">
      <c r="A593" s="3" t="s">
        <v>460</v>
      </c>
      <c r="B593" s="3" t="s">
        <v>461</v>
      </c>
      <c r="C593" s="3" t="s">
        <v>19</v>
      </c>
      <c r="D593" s="3" t="s">
        <v>462</v>
      </c>
      <c r="E593" s="3" t="s">
        <v>473</v>
      </c>
      <c r="F593" s="3">
        <v>2.0</v>
      </c>
      <c r="G593" s="4">
        <v>-27.5318</v>
      </c>
      <c r="H593" s="4">
        <v>-48.51247</v>
      </c>
      <c r="I593" s="5">
        <v>20.0</v>
      </c>
      <c r="J593" s="5" t="s">
        <v>111</v>
      </c>
      <c r="K593" s="5" t="s">
        <v>111</v>
      </c>
      <c r="L593" s="3"/>
      <c r="M593" s="5">
        <v>23.0</v>
      </c>
      <c r="N593" s="5">
        <v>237.0</v>
      </c>
      <c r="O593" s="5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ht="15.75" customHeight="1">
      <c r="A594" s="3" t="s">
        <v>460</v>
      </c>
      <c r="B594" s="3" t="s">
        <v>461</v>
      </c>
      <c r="C594" s="3" t="s">
        <v>19</v>
      </c>
      <c r="D594" s="3" t="s">
        <v>462</v>
      </c>
      <c r="E594" s="3" t="s">
        <v>473</v>
      </c>
      <c r="F594" s="3">
        <v>2.0</v>
      </c>
      <c r="G594" s="4">
        <v>-27.5318</v>
      </c>
      <c r="H594" s="4">
        <v>-48.51247</v>
      </c>
      <c r="I594" s="5">
        <v>21.0</v>
      </c>
      <c r="J594" s="5" t="s">
        <v>24</v>
      </c>
      <c r="K594" s="5" t="s">
        <v>24</v>
      </c>
      <c r="L594" s="3"/>
      <c r="M594" s="5">
        <v>6.0</v>
      </c>
      <c r="N594" s="5">
        <v>40.0</v>
      </c>
      <c r="O594" s="5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ht="15.75" customHeight="1">
      <c r="A595" s="3" t="s">
        <v>460</v>
      </c>
      <c r="B595" s="3" t="s">
        <v>461</v>
      </c>
      <c r="C595" s="3" t="s">
        <v>19</v>
      </c>
      <c r="D595" s="3" t="s">
        <v>462</v>
      </c>
      <c r="E595" s="3" t="s">
        <v>473</v>
      </c>
      <c r="F595" s="3">
        <v>2.0</v>
      </c>
      <c r="G595" s="4">
        <v>-27.5318</v>
      </c>
      <c r="H595" s="4">
        <v>-48.51247</v>
      </c>
      <c r="I595" s="5">
        <v>22.0</v>
      </c>
      <c r="J595" s="5" t="s">
        <v>104</v>
      </c>
      <c r="K595" s="5" t="s">
        <v>104</v>
      </c>
      <c r="L595" s="3"/>
      <c r="M595" s="5">
        <v>7.5</v>
      </c>
      <c r="N595" s="5">
        <v>16.0</v>
      </c>
      <c r="O595" s="5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ht="15.75" customHeight="1">
      <c r="A596" s="3" t="s">
        <v>460</v>
      </c>
      <c r="B596" s="3" t="s">
        <v>461</v>
      </c>
      <c r="C596" s="3" t="s">
        <v>19</v>
      </c>
      <c r="D596" s="3" t="s">
        <v>462</v>
      </c>
      <c r="E596" s="3" t="s">
        <v>473</v>
      </c>
      <c r="F596" s="3">
        <v>2.0</v>
      </c>
      <c r="G596" s="4">
        <v>-27.5318</v>
      </c>
      <c r="H596" s="4">
        <v>-48.51247</v>
      </c>
      <c r="I596" s="5">
        <v>23.0</v>
      </c>
      <c r="J596" s="5" t="s">
        <v>30</v>
      </c>
      <c r="K596" s="5" t="s">
        <v>30</v>
      </c>
      <c r="L596" s="3"/>
      <c r="M596" s="5">
        <v>8.0</v>
      </c>
      <c r="N596" s="5">
        <v>30.0</v>
      </c>
      <c r="O596" s="5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ht="15.75" customHeight="1">
      <c r="A597" s="3" t="s">
        <v>460</v>
      </c>
      <c r="B597" s="3" t="s">
        <v>461</v>
      </c>
      <c r="C597" s="3" t="s">
        <v>19</v>
      </c>
      <c r="D597" s="3" t="s">
        <v>462</v>
      </c>
      <c r="E597" s="3" t="s">
        <v>473</v>
      </c>
      <c r="F597" s="3">
        <v>2.0</v>
      </c>
      <c r="G597" s="4">
        <v>-27.5318</v>
      </c>
      <c r="H597" s="4">
        <v>-48.51247</v>
      </c>
      <c r="I597" s="5">
        <v>24.0</v>
      </c>
      <c r="J597" s="5" t="s">
        <v>191</v>
      </c>
      <c r="K597" s="5" t="s">
        <v>191</v>
      </c>
      <c r="L597" s="3"/>
      <c r="M597" s="5">
        <v>8.0</v>
      </c>
      <c r="N597" s="5">
        <v>35.0</v>
      </c>
      <c r="O597" s="5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ht="15.75" customHeight="1">
      <c r="A598" s="3" t="s">
        <v>460</v>
      </c>
      <c r="B598" s="3" t="s">
        <v>461</v>
      </c>
      <c r="C598" s="3" t="s">
        <v>19</v>
      </c>
      <c r="D598" s="3" t="s">
        <v>462</v>
      </c>
      <c r="E598" s="3" t="s">
        <v>473</v>
      </c>
      <c r="F598" s="3">
        <v>2.0</v>
      </c>
      <c r="G598" s="4">
        <v>-27.5318</v>
      </c>
      <c r="H598" s="4">
        <v>-48.51247</v>
      </c>
      <c r="I598" s="5">
        <v>25.0</v>
      </c>
      <c r="J598" s="5" t="s">
        <v>28</v>
      </c>
      <c r="K598" s="5" t="s">
        <v>28</v>
      </c>
      <c r="L598" s="3"/>
      <c r="M598" s="5">
        <v>9.0</v>
      </c>
      <c r="N598" s="5">
        <v>37.0</v>
      </c>
      <c r="O598" s="5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ht="15.75" customHeight="1">
      <c r="A599" s="3" t="s">
        <v>460</v>
      </c>
      <c r="B599" s="3" t="s">
        <v>461</v>
      </c>
      <c r="C599" s="3" t="s">
        <v>19</v>
      </c>
      <c r="D599" s="3" t="s">
        <v>462</v>
      </c>
      <c r="E599" s="3" t="s">
        <v>473</v>
      </c>
      <c r="F599" s="3">
        <v>2.0</v>
      </c>
      <c r="G599" s="4">
        <v>-27.5318</v>
      </c>
      <c r="H599" s="4">
        <v>-48.51247</v>
      </c>
      <c r="I599" s="5">
        <v>26.0</v>
      </c>
      <c r="J599" s="5" t="s">
        <v>105</v>
      </c>
      <c r="K599" s="5" t="s">
        <v>105</v>
      </c>
      <c r="L599" s="3"/>
      <c r="M599" s="5">
        <v>6.5</v>
      </c>
      <c r="N599" s="5">
        <v>20.0</v>
      </c>
      <c r="O599" s="5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ht="15.75" customHeight="1">
      <c r="A600" s="3" t="s">
        <v>460</v>
      </c>
      <c r="B600" s="3" t="s">
        <v>461</v>
      </c>
      <c r="C600" s="3" t="s">
        <v>19</v>
      </c>
      <c r="D600" s="3" t="s">
        <v>462</v>
      </c>
      <c r="E600" s="3" t="s">
        <v>473</v>
      </c>
      <c r="F600" s="3">
        <v>2.0</v>
      </c>
      <c r="G600" s="4">
        <v>-27.5318</v>
      </c>
      <c r="H600" s="4">
        <v>-48.51247</v>
      </c>
      <c r="I600" s="5">
        <v>27.0</v>
      </c>
      <c r="J600" s="5" t="s">
        <v>191</v>
      </c>
      <c r="K600" s="5" t="s">
        <v>191</v>
      </c>
      <c r="L600" s="3"/>
      <c r="M600" s="5">
        <v>6.0</v>
      </c>
      <c r="N600" s="5">
        <v>15.0</v>
      </c>
      <c r="O600" s="5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ht="15.75" customHeight="1">
      <c r="A601" s="3" t="s">
        <v>460</v>
      </c>
      <c r="B601" s="3" t="s">
        <v>461</v>
      </c>
      <c r="C601" s="3" t="s">
        <v>19</v>
      </c>
      <c r="D601" s="3" t="s">
        <v>462</v>
      </c>
      <c r="E601" s="3" t="s">
        <v>473</v>
      </c>
      <c r="F601" s="3">
        <v>2.0</v>
      </c>
      <c r="G601" s="4">
        <v>-27.5318</v>
      </c>
      <c r="H601" s="4">
        <v>-48.51247</v>
      </c>
      <c r="I601" s="5">
        <v>28.0</v>
      </c>
      <c r="J601" s="5" t="s">
        <v>468</v>
      </c>
      <c r="K601" s="5" t="s">
        <v>468</v>
      </c>
      <c r="L601" s="3"/>
      <c r="M601" s="5">
        <v>20.0</v>
      </c>
      <c r="N601" s="5" t="s">
        <v>481</v>
      </c>
      <c r="O601" s="5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ht="15.75" customHeight="1">
      <c r="A602" s="3" t="s">
        <v>460</v>
      </c>
      <c r="B602" s="3" t="s">
        <v>461</v>
      </c>
      <c r="C602" s="3" t="s">
        <v>19</v>
      </c>
      <c r="D602" s="3" t="s">
        <v>462</v>
      </c>
      <c r="E602" s="3" t="s">
        <v>473</v>
      </c>
      <c r="F602" s="3">
        <v>2.0</v>
      </c>
      <c r="G602" s="4">
        <v>-27.5318</v>
      </c>
      <c r="H602" s="4">
        <v>-48.51247</v>
      </c>
      <c r="I602" s="5">
        <v>29.0</v>
      </c>
      <c r="J602" s="5" t="s">
        <v>30</v>
      </c>
      <c r="K602" s="5" t="s">
        <v>30</v>
      </c>
      <c r="L602" s="3"/>
      <c r="M602" s="5">
        <v>10.0</v>
      </c>
      <c r="N602" s="5">
        <v>17.0</v>
      </c>
      <c r="O602" s="5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ht="15.75" customHeight="1">
      <c r="A603" s="3" t="s">
        <v>460</v>
      </c>
      <c r="B603" s="3" t="s">
        <v>461</v>
      </c>
      <c r="C603" s="3" t="s">
        <v>19</v>
      </c>
      <c r="D603" s="3" t="s">
        <v>462</v>
      </c>
      <c r="E603" s="3" t="s">
        <v>473</v>
      </c>
      <c r="F603" s="3">
        <v>2.0</v>
      </c>
      <c r="G603" s="4">
        <v>-27.5318</v>
      </c>
      <c r="H603" s="4">
        <v>-48.51247</v>
      </c>
      <c r="I603" s="5">
        <v>30.0</v>
      </c>
      <c r="J603" s="5" t="s">
        <v>468</v>
      </c>
      <c r="K603" s="5" t="s">
        <v>468</v>
      </c>
      <c r="L603" s="3"/>
      <c r="M603" s="5">
        <v>11.0</v>
      </c>
      <c r="N603" s="5">
        <v>21.0</v>
      </c>
      <c r="O603" s="5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ht="15.75" customHeight="1">
      <c r="A604" s="3" t="s">
        <v>460</v>
      </c>
      <c r="B604" s="3" t="s">
        <v>461</v>
      </c>
      <c r="C604" s="3" t="s">
        <v>19</v>
      </c>
      <c r="D604" s="3" t="s">
        <v>462</v>
      </c>
      <c r="E604" s="3" t="s">
        <v>473</v>
      </c>
      <c r="F604" s="3">
        <v>2.0</v>
      </c>
      <c r="G604" s="4">
        <v>-27.5318</v>
      </c>
      <c r="H604" s="4">
        <v>-48.51247</v>
      </c>
      <c r="I604" s="5">
        <v>31.0</v>
      </c>
      <c r="J604" s="5" t="s">
        <v>482</v>
      </c>
      <c r="K604" s="5" t="s">
        <v>482</v>
      </c>
      <c r="L604" s="3"/>
      <c r="M604" s="5">
        <v>10.0</v>
      </c>
      <c r="N604" s="5">
        <v>57.0</v>
      </c>
      <c r="O604" s="5" t="s">
        <v>483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ht="15.75" customHeight="1">
      <c r="A605" s="3" t="s">
        <v>460</v>
      </c>
      <c r="B605" s="3" t="s">
        <v>461</v>
      </c>
      <c r="C605" s="3" t="s">
        <v>19</v>
      </c>
      <c r="D605" s="3" t="s">
        <v>462</v>
      </c>
      <c r="E605" s="3" t="s">
        <v>473</v>
      </c>
      <c r="F605" s="3">
        <v>2.0</v>
      </c>
      <c r="G605" s="4">
        <v>-27.5318</v>
      </c>
      <c r="H605" s="4">
        <v>-48.51247</v>
      </c>
      <c r="I605" s="5">
        <v>32.0</v>
      </c>
      <c r="J605" s="5" t="s">
        <v>30</v>
      </c>
      <c r="K605" s="5" t="s">
        <v>30</v>
      </c>
      <c r="L605" s="3"/>
      <c r="M605" s="5">
        <v>8.0</v>
      </c>
      <c r="N605" s="5">
        <v>17.0</v>
      </c>
      <c r="O605" s="5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ht="15.75" customHeight="1">
      <c r="A606" s="3" t="s">
        <v>460</v>
      </c>
      <c r="B606" s="3" t="s">
        <v>461</v>
      </c>
      <c r="C606" s="3" t="s">
        <v>19</v>
      </c>
      <c r="D606" s="3" t="s">
        <v>462</v>
      </c>
      <c r="E606" s="3" t="s">
        <v>473</v>
      </c>
      <c r="F606" s="3">
        <v>2.0</v>
      </c>
      <c r="G606" s="4">
        <v>-27.5318</v>
      </c>
      <c r="H606" s="4">
        <v>-48.51247</v>
      </c>
      <c r="I606" s="5">
        <v>33.0</v>
      </c>
      <c r="J606" s="5" t="s">
        <v>468</v>
      </c>
      <c r="K606" s="5" t="s">
        <v>468</v>
      </c>
      <c r="L606" s="3"/>
      <c r="M606" s="5">
        <v>20.0</v>
      </c>
      <c r="N606" s="5" t="s">
        <v>484</v>
      </c>
      <c r="O606" s="5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ht="15.75" customHeight="1">
      <c r="A607" s="3" t="s">
        <v>460</v>
      </c>
      <c r="B607" s="3" t="s">
        <v>461</v>
      </c>
      <c r="C607" s="3" t="s">
        <v>19</v>
      </c>
      <c r="D607" s="3" t="s">
        <v>462</v>
      </c>
      <c r="E607" s="3" t="s">
        <v>473</v>
      </c>
      <c r="F607" s="3">
        <v>2.0</v>
      </c>
      <c r="G607" s="4">
        <v>-27.5318</v>
      </c>
      <c r="H607" s="4">
        <v>-48.51247</v>
      </c>
      <c r="I607" s="5">
        <v>34.0</v>
      </c>
      <c r="J607" s="5" t="s">
        <v>469</v>
      </c>
      <c r="K607" s="5" t="s">
        <v>470</v>
      </c>
      <c r="L607" s="3"/>
      <c r="M607" s="5">
        <v>7.0</v>
      </c>
      <c r="N607" s="5">
        <v>18.0</v>
      </c>
      <c r="O607" s="5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ht="15.75" customHeight="1">
      <c r="A608" s="3" t="s">
        <v>460</v>
      </c>
      <c r="B608" s="3" t="s">
        <v>461</v>
      </c>
      <c r="C608" s="3" t="s">
        <v>19</v>
      </c>
      <c r="D608" s="3" t="s">
        <v>462</v>
      </c>
      <c r="E608" s="3" t="s">
        <v>473</v>
      </c>
      <c r="F608" s="3">
        <v>2.0</v>
      </c>
      <c r="G608" s="4">
        <v>-27.5318</v>
      </c>
      <c r="H608" s="4">
        <v>-48.51247</v>
      </c>
      <c r="I608" s="5">
        <v>35.0</v>
      </c>
      <c r="J608" s="5" t="s">
        <v>474</v>
      </c>
      <c r="K608" s="5" t="s">
        <v>98</v>
      </c>
      <c r="L608" s="3"/>
      <c r="M608" s="5">
        <v>8.0</v>
      </c>
      <c r="N608" s="5" t="s">
        <v>485</v>
      </c>
      <c r="O608" s="5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ht="15.75" customHeight="1">
      <c r="A609" s="3" t="s">
        <v>460</v>
      </c>
      <c r="B609" s="3" t="s">
        <v>461</v>
      </c>
      <c r="C609" s="3" t="s">
        <v>19</v>
      </c>
      <c r="D609" s="3" t="s">
        <v>462</v>
      </c>
      <c r="E609" s="3" t="s">
        <v>486</v>
      </c>
      <c r="F609" s="3">
        <v>3.0</v>
      </c>
      <c r="G609" s="4">
        <v>-27.53198</v>
      </c>
      <c r="H609" s="4">
        <v>-48.51211</v>
      </c>
      <c r="I609" s="5">
        <v>1.0</v>
      </c>
      <c r="J609" s="5" t="s">
        <v>487</v>
      </c>
      <c r="K609" s="5" t="s">
        <v>111</v>
      </c>
      <c r="L609" s="3"/>
      <c r="M609" s="5">
        <v>22.0</v>
      </c>
      <c r="N609" s="5">
        <v>164.0</v>
      </c>
      <c r="O609" s="5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ht="15.75" customHeight="1">
      <c r="A610" s="3" t="s">
        <v>460</v>
      </c>
      <c r="B610" s="3" t="s">
        <v>461</v>
      </c>
      <c r="C610" s="3" t="s">
        <v>19</v>
      </c>
      <c r="D610" s="3" t="s">
        <v>462</v>
      </c>
      <c r="E610" s="3" t="s">
        <v>486</v>
      </c>
      <c r="F610" s="3">
        <v>3.0</v>
      </c>
      <c r="G610" s="4">
        <v>-27.53198</v>
      </c>
      <c r="H610" s="4">
        <v>-48.51211</v>
      </c>
      <c r="I610" s="5">
        <v>2.0</v>
      </c>
      <c r="J610" s="5" t="s">
        <v>488</v>
      </c>
      <c r="K610" s="5" t="s">
        <v>488</v>
      </c>
      <c r="L610" s="3"/>
      <c r="M610" s="5">
        <v>10.0</v>
      </c>
      <c r="N610" s="5" t="s">
        <v>489</v>
      </c>
      <c r="O610" s="5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ht="15.75" customHeight="1">
      <c r="A611" s="3" t="s">
        <v>460</v>
      </c>
      <c r="B611" s="3" t="s">
        <v>461</v>
      </c>
      <c r="C611" s="3" t="s">
        <v>19</v>
      </c>
      <c r="D611" s="3" t="s">
        <v>462</v>
      </c>
      <c r="E611" s="3" t="s">
        <v>486</v>
      </c>
      <c r="F611" s="3">
        <v>3.0</v>
      </c>
      <c r="G611" s="4">
        <v>-27.53198</v>
      </c>
      <c r="H611" s="4">
        <v>-48.51211</v>
      </c>
      <c r="I611" s="5">
        <v>3.0</v>
      </c>
      <c r="J611" s="5" t="s">
        <v>153</v>
      </c>
      <c r="K611" s="5" t="s">
        <v>153</v>
      </c>
      <c r="L611" s="3"/>
      <c r="M611" s="5">
        <v>7.0</v>
      </c>
      <c r="N611" s="5">
        <v>21.0</v>
      </c>
      <c r="O611" s="5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ht="15.75" customHeight="1">
      <c r="A612" s="3" t="s">
        <v>460</v>
      </c>
      <c r="B612" s="3" t="s">
        <v>461</v>
      </c>
      <c r="C612" s="3" t="s">
        <v>19</v>
      </c>
      <c r="D612" s="3" t="s">
        <v>462</v>
      </c>
      <c r="E612" s="3" t="s">
        <v>486</v>
      </c>
      <c r="F612" s="3">
        <v>3.0</v>
      </c>
      <c r="G612" s="4">
        <v>-27.53198</v>
      </c>
      <c r="H612" s="4">
        <v>-48.51211</v>
      </c>
      <c r="I612" s="5">
        <v>4.0</v>
      </c>
      <c r="J612" s="5" t="s">
        <v>488</v>
      </c>
      <c r="K612" s="5" t="s">
        <v>488</v>
      </c>
      <c r="L612" s="3"/>
      <c r="M612" s="5">
        <v>10.0</v>
      </c>
      <c r="N612" s="5">
        <v>86.0</v>
      </c>
      <c r="O612" s="5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ht="15.75" customHeight="1">
      <c r="A613" s="3" t="s">
        <v>460</v>
      </c>
      <c r="B613" s="3" t="s">
        <v>461</v>
      </c>
      <c r="C613" s="3" t="s">
        <v>19</v>
      </c>
      <c r="D613" s="3" t="s">
        <v>462</v>
      </c>
      <c r="E613" s="3" t="s">
        <v>486</v>
      </c>
      <c r="F613" s="3">
        <v>3.0</v>
      </c>
      <c r="G613" s="4">
        <v>-27.53198</v>
      </c>
      <c r="H613" s="4">
        <v>-48.51211</v>
      </c>
      <c r="I613" s="5">
        <v>5.0</v>
      </c>
      <c r="J613" s="5" t="s">
        <v>490</v>
      </c>
      <c r="K613" s="5" t="s">
        <v>105</v>
      </c>
      <c r="L613" s="3"/>
      <c r="M613" s="5">
        <v>4.0</v>
      </c>
      <c r="N613" s="5">
        <v>15.0</v>
      </c>
      <c r="O613" s="5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ht="15.75" customHeight="1">
      <c r="A614" s="3" t="s">
        <v>460</v>
      </c>
      <c r="B614" s="3" t="s">
        <v>461</v>
      </c>
      <c r="C614" s="3" t="s">
        <v>19</v>
      </c>
      <c r="D614" s="3" t="s">
        <v>462</v>
      </c>
      <c r="E614" s="3" t="s">
        <v>486</v>
      </c>
      <c r="F614" s="3">
        <v>3.0</v>
      </c>
      <c r="G614" s="4">
        <v>-27.53198</v>
      </c>
      <c r="H614" s="4">
        <v>-48.51211</v>
      </c>
      <c r="I614" s="5">
        <v>6.0</v>
      </c>
      <c r="J614" s="5" t="s">
        <v>30</v>
      </c>
      <c r="K614" s="5" t="s">
        <v>30</v>
      </c>
      <c r="L614" s="3"/>
      <c r="M614" s="5">
        <v>14.0</v>
      </c>
      <c r="N614" s="5">
        <v>69.0</v>
      </c>
      <c r="O614" s="5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ht="15.75" customHeight="1">
      <c r="A615" s="3" t="s">
        <v>460</v>
      </c>
      <c r="B615" s="3" t="s">
        <v>461</v>
      </c>
      <c r="C615" s="3" t="s">
        <v>19</v>
      </c>
      <c r="D615" s="3" t="s">
        <v>462</v>
      </c>
      <c r="E615" s="3" t="s">
        <v>486</v>
      </c>
      <c r="F615" s="3">
        <v>3.0</v>
      </c>
      <c r="G615" s="4">
        <v>-27.53198</v>
      </c>
      <c r="H615" s="4">
        <v>-48.51211</v>
      </c>
      <c r="I615" s="5">
        <v>7.0</v>
      </c>
      <c r="J615" s="5" t="s">
        <v>490</v>
      </c>
      <c r="K615" s="5" t="s">
        <v>105</v>
      </c>
      <c r="L615" s="3"/>
      <c r="M615" s="5">
        <v>5.0</v>
      </c>
      <c r="N615" s="5">
        <v>21.0</v>
      </c>
      <c r="O615" s="5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ht="15.75" customHeight="1">
      <c r="A616" s="3" t="s">
        <v>460</v>
      </c>
      <c r="B616" s="3" t="s">
        <v>461</v>
      </c>
      <c r="C616" s="3" t="s">
        <v>19</v>
      </c>
      <c r="D616" s="3" t="s">
        <v>462</v>
      </c>
      <c r="E616" s="3" t="s">
        <v>486</v>
      </c>
      <c r="F616" s="3">
        <v>3.0</v>
      </c>
      <c r="G616" s="4">
        <v>-27.53198</v>
      </c>
      <c r="H616" s="4">
        <v>-48.51211</v>
      </c>
      <c r="I616" s="5">
        <v>8.0</v>
      </c>
      <c r="J616" s="5" t="s">
        <v>490</v>
      </c>
      <c r="K616" s="5" t="s">
        <v>105</v>
      </c>
      <c r="L616" s="3"/>
      <c r="M616" s="5">
        <v>5.0</v>
      </c>
      <c r="N616" s="5">
        <v>25.0</v>
      </c>
      <c r="O616" s="5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ht="15.75" customHeight="1">
      <c r="A617" s="3" t="s">
        <v>460</v>
      </c>
      <c r="B617" s="3" t="s">
        <v>461</v>
      </c>
      <c r="C617" s="3" t="s">
        <v>19</v>
      </c>
      <c r="D617" s="3" t="s">
        <v>462</v>
      </c>
      <c r="E617" s="3" t="s">
        <v>486</v>
      </c>
      <c r="F617" s="3">
        <v>3.0</v>
      </c>
      <c r="G617" s="4">
        <v>-27.53198</v>
      </c>
      <c r="H617" s="4">
        <v>-48.51211</v>
      </c>
      <c r="I617" s="5">
        <v>9.0</v>
      </c>
      <c r="J617" s="5" t="s">
        <v>86</v>
      </c>
      <c r="K617" s="5" t="s">
        <v>86</v>
      </c>
      <c r="L617" s="3"/>
      <c r="M617" s="5">
        <v>5.0</v>
      </c>
      <c r="N617" s="5">
        <v>20.0</v>
      </c>
      <c r="O617" s="5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ht="15.75" customHeight="1">
      <c r="A618" s="3" t="s">
        <v>460</v>
      </c>
      <c r="B618" s="3" t="s">
        <v>461</v>
      </c>
      <c r="C618" s="3" t="s">
        <v>19</v>
      </c>
      <c r="D618" s="3" t="s">
        <v>462</v>
      </c>
      <c r="E618" s="3" t="s">
        <v>486</v>
      </c>
      <c r="F618" s="3">
        <v>3.0</v>
      </c>
      <c r="G618" s="4">
        <v>-27.53198</v>
      </c>
      <c r="H618" s="4">
        <v>-48.51211</v>
      </c>
      <c r="I618" s="5">
        <v>10.0</v>
      </c>
      <c r="J618" s="5" t="s">
        <v>153</v>
      </c>
      <c r="K618" s="5" t="s">
        <v>153</v>
      </c>
      <c r="L618" s="3"/>
      <c r="M618" s="5">
        <v>8.0</v>
      </c>
      <c r="N618" s="5">
        <v>24.0</v>
      </c>
      <c r="O618" s="5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ht="15.75" customHeight="1">
      <c r="A619" s="3" t="s">
        <v>460</v>
      </c>
      <c r="B619" s="3" t="s">
        <v>461</v>
      </c>
      <c r="C619" s="3" t="s">
        <v>19</v>
      </c>
      <c r="D619" s="3" t="s">
        <v>462</v>
      </c>
      <c r="E619" s="3" t="s">
        <v>486</v>
      </c>
      <c r="F619" s="3">
        <v>3.0</v>
      </c>
      <c r="G619" s="4">
        <v>-27.53198</v>
      </c>
      <c r="H619" s="4">
        <v>-48.51211</v>
      </c>
      <c r="I619" s="5">
        <v>11.0</v>
      </c>
      <c r="J619" s="5" t="s">
        <v>56</v>
      </c>
      <c r="K619" s="5" t="s">
        <v>56</v>
      </c>
      <c r="L619" s="3"/>
      <c r="M619" s="5">
        <v>8.0</v>
      </c>
      <c r="N619" s="5">
        <v>28.0</v>
      </c>
      <c r="O619" s="5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ht="15.75" customHeight="1">
      <c r="A620" s="3" t="s">
        <v>460</v>
      </c>
      <c r="B620" s="3" t="s">
        <v>461</v>
      </c>
      <c r="C620" s="3" t="s">
        <v>19</v>
      </c>
      <c r="D620" s="3" t="s">
        <v>462</v>
      </c>
      <c r="E620" s="3" t="s">
        <v>486</v>
      </c>
      <c r="F620" s="3">
        <v>3.0</v>
      </c>
      <c r="G620" s="4">
        <v>-27.53198</v>
      </c>
      <c r="H620" s="4">
        <v>-48.51211</v>
      </c>
      <c r="I620" s="5">
        <v>12.0</v>
      </c>
      <c r="J620" s="5" t="s">
        <v>104</v>
      </c>
      <c r="K620" s="5" t="s">
        <v>104</v>
      </c>
      <c r="L620" s="3"/>
      <c r="M620" s="5">
        <v>7.0</v>
      </c>
      <c r="N620" s="5" t="s">
        <v>491</v>
      </c>
      <c r="O620" s="5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ht="15.75" customHeight="1">
      <c r="A621" s="3" t="s">
        <v>460</v>
      </c>
      <c r="B621" s="3" t="s">
        <v>461</v>
      </c>
      <c r="C621" s="3" t="s">
        <v>19</v>
      </c>
      <c r="D621" s="3" t="s">
        <v>462</v>
      </c>
      <c r="E621" s="3" t="s">
        <v>486</v>
      </c>
      <c r="F621" s="3">
        <v>3.0</v>
      </c>
      <c r="G621" s="4">
        <v>-27.53198</v>
      </c>
      <c r="H621" s="4">
        <v>-48.51211</v>
      </c>
      <c r="I621" s="5">
        <v>13.0</v>
      </c>
      <c r="J621" s="5" t="s">
        <v>490</v>
      </c>
      <c r="K621" s="5" t="s">
        <v>105</v>
      </c>
      <c r="L621" s="3"/>
      <c r="M621" s="5">
        <v>5.0</v>
      </c>
      <c r="N621" s="5" t="s">
        <v>492</v>
      </c>
      <c r="O621" s="5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ht="15.75" customHeight="1">
      <c r="A622" s="3" t="s">
        <v>460</v>
      </c>
      <c r="B622" s="3" t="s">
        <v>461</v>
      </c>
      <c r="C622" s="3" t="s">
        <v>19</v>
      </c>
      <c r="D622" s="3" t="s">
        <v>462</v>
      </c>
      <c r="E622" s="3" t="s">
        <v>486</v>
      </c>
      <c r="F622" s="3">
        <v>3.0</v>
      </c>
      <c r="G622" s="4">
        <v>-27.53198</v>
      </c>
      <c r="H622" s="4">
        <v>-48.51211</v>
      </c>
      <c r="I622" s="5">
        <v>14.0</v>
      </c>
      <c r="J622" s="5" t="s">
        <v>493</v>
      </c>
      <c r="K622" s="5" t="s">
        <v>493</v>
      </c>
      <c r="L622" s="3"/>
      <c r="M622" s="5">
        <v>9.0</v>
      </c>
      <c r="N622" s="5">
        <v>28.0</v>
      </c>
      <c r="O622" s="5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ht="15.75" customHeight="1">
      <c r="A623" s="3" t="s">
        <v>460</v>
      </c>
      <c r="B623" s="3" t="s">
        <v>461</v>
      </c>
      <c r="C623" s="3" t="s">
        <v>19</v>
      </c>
      <c r="D623" s="3" t="s">
        <v>462</v>
      </c>
      <c r="E623" s="3" t="s">
        <v>486</v>
      </c>
      <c r="F623" s="3">
        <v>3.0</v>
      </c>
      <c r="G623" s="4">
        <v>-27.53198</v>
      </c>
      <c r="H623" s="4">
        <v>-48.51211</v>
      </c>
      <c r="I623" s="5">
        <v>15.0</v>
      </c>
      <c r="J623" s="5" t="s">
        <v>494</v>
      </c>
      <c r="K623" s="5" t="s">
        <v>494</v>
      </c>
      <c r="L623" s="3"/>
      <c r="M623" s="5">
        <v>9.0</v>
      </c>
      <c r="N623" s="5">
        <v>46.0</v>
      </c>
      <c r="O623" s="5" t="s">
        <v>495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ht="15.75" customHeight="1">
      <c r="A624" s="3" t="s">
        <v>460</v>
      </c>
      <c r="B624" s="3" t="s">
        <v>461</v>
      </c>
      <c r="C624" s="3" t="s">
        <v>19</v>
      </c>
      <c r="D624" s="3" t="s">
        <v>462</v>
      </c>
      <c r="E624" s="3" t="s">
        <v>486</v>
      </c>
      <c r="F624" s="3">
        <v>3.0</v>
      </c>
      <c r="G624" s="4">
        <v>-27.53198</v>
      </c>
      <c r="H624" s="4">
        <v>-48.51211</v>
      </c>
      <c r="I624" s="5">
        <v>16.0</v>
      </c>
      <c r="J624" s="5" t="s">
        <v>323</v>
      </c>
      <c r="K624" s="5" t="s">
        <v>323</v>
      </c>
      <c r="L624" s="3"/>
      <c r="M624" s="5">
        <v>8.0</v>
      </c>
      <c r="N624" s="5">
        <v>24.0</v>
      </c>
      <c r="O624" s="5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ht="15.75" customHeight="1">
      <c r="A625" s="3" t="s">
        <v>460</v>
      </c>
      <c r="B625" s="3" t="s">
        <v>461</v>
      </c>
      <c r="C625" s="3" t="s">
        <v>19</v>
      </c>
      <c r="D625" s="3" t="s">
        <v>462</v>
      </c>
      <c r="E625" s="3" t="s">
        <v>486</v>
      </c>
      <c r="F625" s="3">
        <v>3.0</v>
      </c>
      <c r="G625" s="4">
        <v>-27.53198</v>
      </c>
      <c r="H625" s="4">
        <v>-48.51211</v>
      </c>
      <c r="I625" s="5">
        <v>17.0</v>
      </c>
      <c r="J625" s="5" t="s">
        <v>490</v>
      </c>
      <c r="K625" s="5" t="s">
        <v>105</v>
      </c>
      <c r="L625" s="3"/>
      <c r="M625" s="5">
        <v>4.0</v>
      </c>
      <c r="N625" s="5" t="s">
        <v>496</v>
      </c>
      <c r="O625" s="5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ht="15.75" customHeight="1">
      <c r="A626" s="3" t="s">
        <v>460</v>
      </c>
      <c r="B626" s="3" t="s">
        <v>461</v>
      </c>
      <c r="C626" s="3" t="s">
        <v>19</v>
      </c>
      <c r="D626" s="3" t="s">
        <v>462</v>
      </c>
      <c r="E626" s="3" t="s">
        <v>486</v>
      </c>
      <c r="F626" s="3">
        <v>3.0</v>
      </c>
      <c r="G626" s="4">
        <v>-27.53198</v>
      </c>
      <c r="H626" s="4">
        <v>-48.51211</v>
      </c>
      <c r="I626" s="5">
        <v>18.0</v>
      </c>
      <c r="J626" s="5" t="s">
        <v>490</v>
      </c>
      <c r="K626" s="5" t="s">
        <v>105</v>
      </c>
      <c r="L626" s="3"/>
      <c r="M626" s="5">
        <v>5.0</v>
      </c>
      <c r="N626" s="5">
        <v>20.0</v>
      </c>
      <c r="O626" s="5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ht="15.75" customHeight="1">
      <c r="A627" s="3" t="s">
        <v>460</v>
      </c>
      <c r="B627" s="3" t="s">
        <v>461</v>
      </c>
      <c r="C627" s="3" t="s">
        <v>19</v>
      </c>
      <c r="D627" s="3" t="s">
        <v>462</v>
      </c>
      <c r="E627" s="3" t="s">
        <v>486</v>
      </c>
      <c r="F627" s="3">
        <v>3.0</v>
      </c>
      <c r="G627" s="4">
        <v>-27.53198</v>
      </c>
      <c r="H627" s="4">
        <v>-48.51211</v>
      </c>
      <c r="I627" s="5">
        <v>19.0</v>
      </c>
      <c r="J627" s="5" t="s">
        <v>176</v>
      </c>
      <c r="K627" s="5" t="s">
        <v>176</v>
      </c>
      <c r="L627" s="3"/>
      <c r="M627" s="5">
        <v>7.0</v>
      </c>
      <c r="N627" s="5">
        <v>26.0</v>
      </c>
      <c r="O627" s="5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ht="15.75" customHeight="1">
      <c r="A628" s="3" t="s">
        <v>460</v>
      </c>
      <c r="B628" s="3" t="s">
        <v>461</v>
      </c>
      <c r="C628" s="3" t="s">
        <v>19</v>
      </c>
      <c r="D628" s="3" t="s">
        <v>462</v>
      </c>
      <c r="E628" s="3" t="s">
        <v>486</v>
      </c>
      <c r="F628" s="3">
        <v>3.0</v>
      </c>
      <c r="G628" s="4">
        <v>-27.53198</v>
      </c>
      <c r="H628" s="4">
        <v>-48.51211</v>
      </c>
      <c r="I628" s="5">
        <v>20.0</v>
      </c>
      <c r="J628" s="5" t="s">
        <v>28</v>
      </c>
      <c r="K628" s="5" t="s">
        <v>28</v>
      </c>
      <c r="L628" s="3"/>
      <c r="M628" s="5">
        <v>12.0</v>
      </c>
      <c r="N628" s="5">
        <v>90.0</v>
      </c>
      <c r="O628" s="5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ht="15.75" customHeight="1">
      <c r="A629" s="3" t="s">
        <v>460</v>
      </c>
      <c r="B629" s="3" t="s">
        <v>461</v>
      </c>
      <c r="C629" s="3" t="s">
        <v>19</v>
      </c>
      <c r="D629" s="3" t="s">
        <v>462</v>
      </c>
      <c r="E629" s="3" t="s">
        <v>486</v>
      </c>
      <c r="F629" s="3">
        <v>3.0</v>
      </c>
      <c r="G629" s="4">
        <v>-27.53198</v>
      </c>
      <c r="H629" s="4">
        <v>-48.51211</v>
      </c>
      <c r="I629" s="5">
        <v>21.0</v>
      </c>
      <c r="J629" s="5" t="s">
        <v>104</v>
      </c>
      <c r="K629" s="5" t="s">
        <v>104</v>
      </c>
      <c r="L629" s="3"/>
      <c r="M629" s="5">
        <v>7.0</v>
      </c>
      <c r="N629" s="5" t="s">
        <v>497</v>
      </c>
      <c r="O629" s="5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ht="15.75" customHeight="1">
      <c r="A630" s="3" t="s">
        <v>460</v>
      </c>
      <c r="B630" s="3" t="s">
        <v>461</v>
      </c>
      <c r="C630" s="3" t="s">
        <v>19</v>
      </c>
      <c r="D630" s="3" t="s">
        <v>462</v>
      </c>
      <c r="E630" s="3" t="s">
        <v>498</v>
      </c>
      <c r="F630" s="3">
        <v>4.0</v>
      </c>
      <c r="G630" s="4">
        <v>-27.53157</v>
      </c>
      <c r="H630" s="4">
        <v>-48.51232</v>
      </c>
      <c r="I630" s="5">
        <v>1.0</v>
      </c>
      <c r="J630" s="5" t="s">
        <v>488</v>
      </c>
      <c r="K630" s="5" t="s">
        <v>488</v>
      </c>
      <c r="L630" s="3"/>
      <c r="M630" s="5">
        <v>8.0</v>
      </c>
      <c r="N630" s="5">
        <v>28.0</v>
      </c>
      <c r="O630" s="5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ht="15.75" customHeight="1">
      <c r="A631" s="3" t="s">
        <v>460</v>
      </c>
      <c r="B631" s="3" t="s">
        <v>461</v>
      </c>
      <c r="C631" s="3" t="s">
        <v>19</v>
      </c>
      <c r="D631" s="3" t="s">
        <v>462</v>
      </c>
      <c r="E631" s="3" t="s">
        <v>498</v>
      </c>
      <c r="F631" s="3">
        <v>4.0</v>
      </c>
      <c r="G631" s="4">
        <v>-27.53157</v>
      </c>
      <c r="H631" s="4">
        <v>-48.51232</v>
      </c>
      <c r="I631" s="5">
        <v>2.0</v>
      </c>
      <c r="J631" s="5" t="s">
        <v>499</v>
      </c>
      <c r="K631" s="5" t="s">
        <v>499</v>
      </c>
      <c r="L631" s="3"/>
      <c r="M631" s="5">
        <v>9.0</v>
      </c>
      <c r="N631" s="5">
        <v>41.0</v>
      </c>
      <c r="O631" s="5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ht="15.75" customHeight="1">
      <c r="A632" s="3" t="s">
        <v>460</v>
      </c>
      <c r="B632" s="3" t="s">
        <v>461</v>
      </c>
      <c r="C632" s="3" t="s">
        <v>19</v>
      </c>
      <c r="D632" s="3" t="s">
        <v>462</v>
      </c>
      <c r="E632" s="3" t="s">
        <v>498</v>
      </c>
      <c r="F632" s="3">
        <v>4.0</v>
      </c>
      <c r="G632" s="4">
        <v>-27.53157</v>
      </c>
      <c r="H632" s="4">
        <v>-48.51232</v>
      </c>
      <c r="I632" s="5">
        <v>3.0</v>
      </c>
      <c r="J632" s="5" t="s">
        <v>490</v>
      </c>
      <c r="K632" s="5" t="s">
        <v>105</v>
      </c>
      <c r="L632" s="3"/>
      <c r="M632" s="5">
        <v>5.0</v>
      </c>
      <c r="N632" s="5">
        <v>20.0</v>
      </c>
      <c r="O632" s="5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ht="15.75" customHeight="1">
      <c r="A633" s="3" t="s">
        <v>460</v>
      </c>
      <c r="B633" s="3" t="s">
        <v>461</v>
      </c>
      <c r="C633" s="3" t="s">
        <v>19</v>
      </c>
      <c r="D633" s="3" t="s">
        <v>462</v>
      </c>
      <c r="E633" s="3" t="s">
        <v>498</v>
      </c>
      <c r="F633" s="3">
        <v>4.0</v>
      </c>
      <c r="G633" s="4">
        <v>-27.53157</v>
      </c>
      <c r="H633" s="4">
        <v>-48.51232</v>
      </c>
      <c r="I633" s="5">
        <v>4.0</v>
      </c>
      <c r="J633" s="5" t="s">
        <v>31</v>
      </c>
      <c r="K633" s="5" t="s">
        <v>31</v>
      </c>
      <c r="L633" s="3"/>
      <c r="M633" s="5">
        <v>7.0</v>
      </c>
      <c r="N633" s="5">
        <v>19.0</v>
      </c>
      <c r="O633" s="5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ht="15.75" customHeight="1">
      <c r="A634" s="3" t="s">
        <v>460</v>
      </c>
      <c r="B634" s="3" t="s">
        <v>461</v>
      </c>
      <c r="C634" s="3" t="s">
        <v>19</v>
      </c>
      <c r="D634" s="3" t="s">
        <v>462</v>
      </c>
      <c r="E634" s="3" t="s">
        <v>498</v>
      </c>
      <c r="F634" s="3">
        <v>4.0</v>
      </c>
      <c r="G634" s="4">
        <v>-27.53157</v>
      </c>
      <c r="H634" s="4">
        <v>-48.51232</v>
      </c>
      <c r="I634" s="5">
        <v>5.0</v>
      </c>
      <c r="J634" s="5" t="s">
        <v>108</v>
      </c>
      <c r="K634" s="5" t="s">
        <v>108</v>
      </c>
      <c r="L634" s="3"/>
      <c r="M634" s="5">
        <v>11.0</v>
      </c>
      <c r="N634" s="5">
        <v>68.0</v>
      </c>
      <c r="O634" s="5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ht="15.75" customHeight="1">
      <c r="A635" s="3" t="s">
        <v>460</v>
      </c>
      <c r="B635" s="3" t="s">
        <v>461</v>
      </c>
      <c r="C635" s="3" t="s">
        <v>19</v>
      </c>
      <c r="D635" s="3" t="s">
        <v>462</v>
      </c>
      <c r="E635" s="3" t="s">
        <v>498</v>
      </c>
      <c r="F635" s="3">
        <v>4.0</v>
      </c>
      <c r="G635" s="4">
        <v>-27.53157</v>
      </c>
      <c r="H635" s="4">
        <v>-48.51232</v>
      </c>
      <c r="I635" s="5">
        <v>6.0</v>
      </c>
      <c r="J635" s="5" t="s">
        <v>324</v>
      </c>
      <c r="K635" s="5" t="s">
        <v>324</v>
      </c>
      <c r="L635" s="3"/>
      <c r="M635" s="5">
        <v>8.0</v>
      </c>
      <c r="N635" s="5" t="s">
        <v>500</v>
      </c>
      <c r="O635" s="5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ht="15.75" customHeight="1">
      <c r="A636" s="3" t="s">
        <v>460</v>
      </c>
      <c r="B636" s="3" t="s">
        <v>461</v>
      </c>
      <c r="C636" s="3" t="s">
        <v>19</v>
      </c>
      <c r="D636" s="3" t="s">
        <v>462</v>
      </c>
      <c r="E636" s="3" t="s">
        <v>498</v>
      </c>
      <c r="F636" s="3">
        <v>4.0</v>
      </c>
      <c r="G636" s="4">
        <v>-27.53157</v>
      </c>
      <c r="H636" s="4">
        <v>-48.51232</v>
      </c>
      <c r="I636" s="5">
        <v>7.0</v>
      </c>
      <c r="J636" s="5" t="s">
        <v>30</v>
      </c>
      <c r="K636" s="5" t="s">
        <v>30</v>
      </c>
      <c r="L636" s="3"/>
      <c r="M636" s="5">
        <v>10.0</v>
      </c>
      <c r="N636" s="5">
        <v>65.0</v>
      </c>
      <c r="O636" s="5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ht="15.75" customHeight="1">
      <c r="A637" s="3" t="s">
        <v>460</v>
      </c>
      <c r="B637" s="3" t="s">
        <v>461</v>
      </c>
      <c r="C637" s="3" t="s">
        <v>19</v>
      </c>
      <c r="D637" s="3" t="s">
        <v>462</v>
      </c>
      <c r="E637" s="3" t="s">
        <v>498</v>
      </c>
      <c r="F637" s="3">
        <v>4.0</v>
      </c>
      <c r="G637" s="4">
        <v>-27.53157</v>
      </c>
      <c r="H637" s="4">
        <v>-48.51232</v>
      </c>
      <c r="I637" s="5">
        <v>8.0</v>
      </c>
      <c r="J637" s="5" t="s">
        <v>30</v>
      </c>
      <c r="K637" s="5" t="s">
        <v>30</v>
      </c>
      <c r="L637" s="3"/>
      <c r="M637" s="5">
        <v>6.0</v>
      </c>
      <c r="N637" s="5">
        <v>16.0</v>
      </c>
      <c r="O637" s="5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ht="15.75" customHeight="1">
      <c r="A638" s="3" t="s">
        <v>460</v>
      </c>
      <c r="B638" s="3" t="s">
        <v>461</v>
      </c>
      <c r="C638" s="3" t="s">
        <v>19</v>
      </c>
      <c r="D638" s="3" t="s">
        <v>462</v>
      </c>
      <c r="E638" s="3" t="s">
        <v>498</v>
      </c>
      <c r="F638" s="3">
        <v>4.0</v>
      </c>
      <c r="G638" s="4">
        <v>-27.53157</v>
      </c>
      <c r="H638" s="4">
        <v>-48.51232</v>
      </c>
      <c r="I638" s="5">
        <v>9.0</v>
      </c>
      <c r="J638" s="5" t="s">
        <v>30</v>
      </c>
      <c r="K638" s="5" t="s">
        <v>30</v>
      </c>
      <c r="L638" s="3"/>
      <c r="M638" s="5">
        <v>8.0</v>
      </c>
      <c r="N638" s="5">
        <v>18.0</v>
      </c>
      <c r="O638" s="5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ht="15.75" customHeight="1">
      <c r="A639" s="3" t="s">
        <v>460</v>
      </c>
      <c r="B639" s="3" t="s">
        <v>461</v>
      </c>
      <c r="C639" s="3" t="s">
        <v>19</v>
      </c>
      <c r="D639" s="3" t="s">
        <v>462</v>
      </c>
      <c r="E639" s="3" t="s">
        <v>498</v>
      </c>
      <c r="F639" s="3">
        <v>4.0</v>
      </c>
      <c r="G639" s="4">
        <v>-27.53157</v>
      </c>
      <c r="H639" s="4">
        <v>-48.51232</v>
      </c>
      <c r="I639" s="5">
        <v>10.0</v>
      </c>
      <c r="J639" s="5" t="s">
        <v>421</v>
      </c>
      <c r="K639" s="5" t="s">
        <v>421</v>
      </c>
      <c r="L639" s="3"/>
      <c r="M639" s="5">
        <v>6.0</v>
      </c>
      <c r="N639" s="5">
        <v>20.0</v>
      </c>
      <c r="O639" s="5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ht="15.75" customHeight="1">
      <c r="A640" s="3" t="s">
        <v>460</v>
      </c>
      <c r="B640" s="3" t="s">
        <v>461</v>
      </c>
      <c r="C640" s="3" t="s">
        <v>19</v>
      </c>
      <c r="D640" s="3" t="s">
        <v>462</v>
      </c>
      <c r="E640" s="3" t="s">
        <v>498</v>
      </c>
      <c r="F640" s="3">
        <v>4.0</v>
      </c>
      <c r="G640" s="4">
        <v>-27.53157</v>
      </c>
      <c r="H640" s="4">
        <v>-48.51232</v>
      </c>
      <c r="I640" s="5">
        <v>11.0</v>
      </c>
      <c r="J640" s="5" t="s">
        <v>104</v>
      </c>
      <c r="K640" s="5" t="s">
        <v>104</v>
      </c>
      <c r="L640" s="3"/>
      <c r="M640" s="5">
        <v>8.0</v>
      </c>
      <c r="N640" s="5">
        <v>27.0</v>
      </c>
      <c r="O640" s="5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ht="15.75" customHeight="1">
      <c r="A641" s="3" t="s">
        <v>460</v>
      </c>
      <c r="B641" s="3" t="s">
        <v>461</v>
      </c>
      <c r="C641" s="3" t="s">
        <v>19</v>
      </c>
      <c r="D641" s="3" t="s">
        <v>462</v>
      </c>
      <c r="E641" s="3" t="s">
        <v>498</v>
      </c>
      <c r="F641" s="3">
        <v>4.0</v>
      </c>
      <c r="G641" s="4">
        <v>-27.53157</v>
      </c>
      <c r="H641" s="4">
        <v>-48.51232</v>
      </c>
      <c r="I641" s="5">
        <v>12.0</v>
      </c>
      <c r="J641" s="5" t="s">
        <v>28</v>
      </c>
      <c r="K641" s="5" t="s">
        <v>28</v>
      </c>
      <c r="L641" s="3"/>
      <c r="M641" s="5">
        <v>10.0</v>
      </c>
      <c r="N641" s="5" t="s">
        <v>501</v>
      </c>
      <c r="O641" s="5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ht="15.75" customHeight="1">
      <c r="A642" s="3" t="s">
        <v>460</v>
      </c>
      <c r="B642" s="3" t="s">
        <v>461</v>
      </c>
      <c r="C642" s="3" t="s">
        <v>19</v>
      </c>
      <c r="D642" s="3" t="s">
        <v>462</v>
      </c>
      <c r="E642" s="3" t="s">
        <v>498</v>
      </c>
      <c r="F642" s="3">
        <v>4.0</v>
      </c>
      <c r="G642" s="4">
        <v>-27.53157</v>
      </c>
      <c r="H642" s="4">
        <v>-48.51232</v>
      </c>
      <c r="I642" s="5">
        <v>13.0</v>
      </c>
      <c r="J642" s="5" t="s">
        <v>117</v>
      </c>
      <c r="K642" s="5" t="s">
        <v>117</v>
      </c>
      <c r="L642" s="3"/>
      <c r="M642" s="5">
        <v>8.0</v>
      </c>
      <c r="N642" s="5">
        <v>26.0</v>
      </c>
      <c r="O642" s="5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ht="15.75" customHeight="1">
      <c r="A643" s="3" t="s">
        <v>460</v>
      </c>
      <c r="B643" s="3" t="s">
        <v>461</v>
      </c>
      <c r="C643" s="3" t="s">
        <v>19</v>
      </c>
      <c r="D643" s="3" t="s">
        <v>462</v>
      </c>
      <c r="E643" s="3" t="s">
        <v>498</v>
      </c>
      <c r="F643" s="3">
        <v>4.0</v>
      </c>
      <c r="G643" s="4">
        <v>-27.53157</v>
      </c>
      <c r="H643" s="4">
        <v>-48.51232</v>
      </c>
      <c r="I643" s="5">
        <v>14.0</v>
      </c>
      <c r="J643" s="5" t="s">
        <v>24</v>
      </c>
      <c r="K643" s="5" t="s">
        <v>24</v>
      </c>
      <c r="L643" s="3"/>
      <c r="M643" s="5">
        <v>8.0</v>
      </c>
      <c r="N643" s="5">
        <v>24.0</v>
      </c>
      <c r="O643" s="5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ht="15.75" customHeight="1">
      <c r="A644" s="3" t="s">
        <v>460</v>
      </c>
      <c r="B644" s="3" t="s">
        <v>461</v>
      </c>
      <c r="C644" s="3" t="s">
        <v>19</v>
      </c>
      <c r="D644" s="3" t="s">
        <v>462</v>
      </c>
      <c r="E644" s="3" t="s">
        <v>498</v>
      </c>
      <c r="F644" s="3">
        <v>4.0</v>
      </c>
      <c r="G644" s="4">
        <v>-27.53157</v>
      </c>
      <c r="H644" s="4">
        <v>-48.51232</v>
      </c>
      <c r="I644" s="5">
        <v>15.0</v>
      </c>
      <c r="J644" s="5" t="s">
        <v>27</v>
      </c>
      <c r="K644" s="5" t="s">
        <v>27</v>
      </c>
      <c r="L644" s="3"/>
      <c r="M644" s="5">
        <v>10.0</v>
      </c>
      <c r="N644" s="5">
        <v>32.0</v>
      </c>
      <c r="O644" s="5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ht="15.75" customHeight="1">
      <c r="A645" s="3" t="s">
        <v>460</v>
      </c>
      <c r="B645" s="3" t="s">
        <v>461</v>
      </c>
      <c r="C645" s="3" t="s">
        <v>19</v>
      </c>
      <c r="D645" s="3" t="s">
        <v>462</v>
      </c>
      <c r="E645" s="3" t="s">
        <v>498</v>
      </c>
      <c r="F645" s="3">
        <v>4.0</v>
      </c>
      <c r="G645" s="4">
        <v>-27.53157</v>
      </c>
      <c r="H645" s="4">
        <v>-48.51232</v>
      </c>
      <c r="I645" s="5">
        <v>16.0</v>
      </c>
      <c r="J645" s="5" t="s">
        <v>323</v>
      </c>
      <c r="K645" s="5" t="s">
        <v>323</v>
      </c>
      <c r="L645" s="3"/>
      <c r="M645" s="5">
        <v>8.0</v>
      </c>
      <c r="N645" s="5">
        <v>18.0</v>
      </c>
      <c r="O645" s="5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ht="15.75" customHeight="1">
      <c r="A646" s="3" t="s">
        <v>460</v>
      </c>
      <c r="B646" s="3" t="s">
        <v>461</v>
      </c>
      <c r="C646" s="3" t="s">
        <v>19</v>
      </c>
      <c r="D646" s="3" t="s">
        <v>462</v>
      </c>
      <c r="E646" s="3" t="s">
        <v>498</v>
      </c>
      <c r="F646" s="3">
        <v>4.0</v>
      </c>
      <c r="G646" s="4">
        <v>-27.53157</v>
      </c>
      <c r="H646" s="4">
        <v>-48.51232</v>
      </c>
      <c r="I646" s="5">
        <v>17.0</v>
      </c>
      <c r="J646" s="5" t="s">
        <v>24</v>
      </c>
      <c r="K646" s="5" t="s">
        <v>24</v>
      </c>
      <c r="L646" s="3"/>
      <c r="M646" s="5">
        <v>7.0</v>
      </c>
      <c r="N646" s="5">
        <v>16.0</v>
      </c>
      <c r="O646" s="5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ht="15.75" customHeight="1">
      <c r="A647" s="3" t="s">
        <v>460</v>
      </c>
      <c r="B647" s="3" t="s">
        <v>461</v>
      </c>
      <c r="C647" s="3" t="s">
        <v>19</v>
      </c>
      <c r="D647" s="3" t="s">
        <v>462</v>
      </c>
      <c r="E647" s="3" t="s">
        <v>498</v>
      </c>
      <c r="F647" s="3">
        <v>4.0</v>
      </c>
      <c r="G647" s="4">
        <v>-27.53157</v>
      </c>
      <c r="H647" s="4">
        <v>-48.51232</v>
      </c>
      <c r="I647" s="5">
        <v>18.0</v>
      </c>
      <c r="J647" s="5" t="s">
        <v>117</v>
      </c>
      <c r="K647" s="5" t="s">
        <v>117</v>
      </c>
      <c r="L647" s="3"/>
      <c r="M647" s="5">
        <v>7.0</v>
      </c>
      <c r="N647" s="5">
        <v>18.0</v>
      </c>
      <c r="O647" s="5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ht="15.75" customHeight="1">
      <c r="A648" s="3" t="s">
        <v>460</v>
      </c>
      <c r="B648" s="3" t="s">
        <v>461</v>
      </c>
      <c r="C648" s="3" t="s">
        <v>19</v>
      </c>
      <c r="D648" s="3" t="s">
        <v>462</v>
      </c>
      <c r="E648" s="3" t="s">
        <v>498</v>
      </c>
      <c r="F648" s="3">
        <v>4.0</v>
      </c>
      <c r="G648" s="4">
        <v>-27.53157</v>
      </c>
      <c r="H648" s="4">
        <v>-48.51232</v>
      </c>
      <c r="I648" s="5">
        <v>19.0</v>
      </c>
      <c r="J648" s="5" t="s">
        <v>117</v>
      </c>
      <c r="K648" s="5" t="s">
        <v>117</v>
      </c>
      <c r="L648" s="3"/>
      <c r="M648" s="5">
        <v>5.0</v>
      </c>
      <c r="N648" s="5">
        <v>15.0</v>
      </c>
      <c r="O648" s="5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ht="15.75" customHeight="1">
      <c r="A649" s="3" t="s">
        <v>460</v>
      </c>
      <c r="B649" s="3" t="s">
        <v>461</v>
      </c>
      <c r="C649" s="3" t="s">
        <v>19</v>
      </c>
      <c r="D649" s="3" t="s">
        <v>462</v>
      </c>
      <c r="E649" s="3" t="s">
        <v>498</v>
      </c>
      <c r="F649" s="3">
        <v>4.0</v>
      </c>
      <c r="G649" s="4">
        <v>-27.53157</v>
      </c>
      <c r="H649" s="4">
        <v>-48.51232</v>
      </c>
      <c r="I649" s="5">
        <v>20.0</v>
      </c>
      <c r="J649" s="3" t="s">
        <v>502</v>
      </c>
      <c r="K649" s="3" t="s">
        <v>482</v>
      </c>
      <c r="L649" s="3"/>
      <c r="M649" s="5">
        <v>8.0</v>
      </c>
      <c r="N649" s="5">
        <v>24.0</v>
      </c>
      <c r="O649" s="5" t="s">
        <v>503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ht="15.75" customHeight="1">
      <c r="A650" s="3" t="s">
        <v>460</v>
      </c>
      <c r="B650" s="3" t="s">
        <v>461</v>
      </c>
      <c r="C650" s="3" t="s">
        <v>19</v>
      </c>
      <c r="D650" s="3" t="s">
        <v>462</v>
      </c>
      <c r="E650" s="3" t="s">
        <v>498</v>
      </c>
      <c r="F650" s="3">
        <v>4.0</v>
      </c>
      <c r="G650" s="4">
        <v>-27.53157</v>
      </c>
      <c r="H650" s="4">
        <v>-48.51232</v>
      </c>
      <c r="I650" s="5">
        <v>21.0</v>
      </c>
      <c r="J650" s="5" t="s">
        <v>323</v>
      </c>
      <c r="K650" s="5" t="s">
        <v>323</v>
      </c>
      <c r="L650" s="3"/>
      <c r="M650" s="5">
        <v>6.0</v>
      </c>
      <c r="N650" s="5">
        <v>15.0</v>
      </c>
      <c r="O650" s="5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ht="15.75" customHeight="1">
      <c r="A651" s="3" t="s">
        <v>460</v>
      </c>
      <c r="B651" s="3" t="s">
        <v>461</v>
      </c>
      <c r="C651" s="3" t="s">
        <v>19</v>
      </c>
      <c r="D651" s="3" t="s">
        <v>462</v>
      </c>
      <c r="E651" s="3" t="s">
        <v>498</v>
      </c>
      <c r="F651" s="3">
        <v>4.0</v>
      </c>
      <c r="G651" s="4">
        <v>-27.53157</v>
      </c>
      <c r="H651" s="4">
        <v>-48.51232</v>
      </c>
      <c r="I651" s="5">
        <v>22.0</v>
      </c>
      <c r="J651" s="5" t="s">
        <v>24</v>
      </c>
      <c r="K651" s="5" t="s">
        <v>24</v>
      </c>
      <c r="L651" s="3"/>
      <c r="M651" s="5">
        <v>4.0</v>
      </c>
      <c r="N651" s="5">
        <v>15.0</v>
      </c>
      <c r="O651" s="5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ht="15.75" customHeight="1">
      <c r="A652" s="3" t="s">
        <v>460</v>
      </c>
      <c r="B652" s="3" t="s">
        <v>461</v>
      </c>
      <c r="C652" s="3" t="s">
        <v>19</v>
      </c>
      <c r="D652" s="3" t="s">
        <v>462</v>
      </c>
      <c r="E652" s="3" t="s">
        <v>498</v>
      </c>
      <c r="F652" s="3">
        <v>4.0</v>
      </c>
      <c r="G652" s="4">
        <v>-27.53157</v>
      </c>
      <c r="H652" s="4">
        <v>-48.51232</v>
      </c>
      <c r="I652" s="5">
        <v>23.0</v>
      </c>
      <c r="J652" s="5" t="s">
        <v>175</v>
      </c>
      <c r="K652" s="5" t="s">
        <v>175</v>
      </c>
      <c r="L652" s="3"/>
      <c r="M652" s="5">
        <v>7.0</v>
      </c>
      <c r="N652" s="5">
        <v>15.0</v>
      </c>
      <c r="O652" s="5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ht="15.75" customHeight="1">
      <c r="A653" s="3" t="s">
        <v>460</v>
      </c>
      <c r="B653" s="3" t="s">
        <v>461</v>
      </c>
      <c r="C653" s="3" t="s">
        <v>19</v>
      </c>
      <c r="D653" s="3" t="s">
        <v>462</v>
      </c>
      <c r="E653" s="3" t="s">
        <v>498</v>
      </c>
      <c r="F653" s="3">
        <v>4.0</v>
      </c>
      <c r="G653" s="4">
        <v>-27.53157</v>
      </c>
      <c r="H653" s="4">
        <v>-48.51232</v>
      </c>
      <c r="I653" s="5">
        <v>24.0</v>
      </c>
      <c r="J653" s="5" t="s">
        <v>98</v>
      </c>
      <c r="K653" s="5" t="s">
        <v>98</v>
      </c>
      <c r="L653" s="3"/>
      <c r="M653" s="5">
        <v>8.0</v>
      </c>
      <c r="N653" s="5">
        <v>37.0</v>
      </c>
      <c r="O653" s="5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ht="15.75" customHeight="1">
      <c r="A654" s="3" t="s">
        <v>460</v>
      </c>
      <c r="B654" s="3" t="s">
        <v>461</v>
      </c>
      <c r="C654" s="3" t="s">
        <v>19</v>
      </c>
      <c r="D654" s="3" t="s">
        <v>462</v>
      </c>
      <c r="E654" s="3" t="s">
        <v>498</v>
      </c>
      <c r="F654" s="3">
        <v>4.0</v>
      </c>
      <c r="G654" s="4">
        <v>-27.53157</v>
      </c>
      <c r="H654" s="4">
        <v>-48.51232</v>
      </c>
      <c r="I654" s="5">
        <v>25.0</v>
      </c>
      <c r="J654" s="5" t="s">
        <v>323</v>
      </c>
      <c r="K654" s="5" t="s">
        <v>323</v>
      </c>
      <c r="L654" s="3"/>
      <c r="M654" s="5">
        <v>10.0</v>
      </c>
      <c r="N654" s="5">
        <v>43.0</v>
      </c>
      <c r="O654" s="5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ht="15.75" customHeight="1">
      <c r="A655" s="3" t="s">
        <v>460</v>
      </c>
      <c r="B655" s="3" t="s">
        <v>461</v>
      </c>
      <c r="C655" s="3" t="s">
        <v>19</v>
      </c>
      <c r="D655" s="3" t="s">
        <v>462</v>
      </c>
      <c r="E655" s="3" t="s">
        <v>498</v>
      </c>
      <c r="F655" s="3">
        <v>4.0</v>
      </c>
      <c r="G655" s="4">
        <v>-27.53157</v>
      </c>
      <c r="H655" s="4">
        <v>-48.51232</v>
      </c>
      <c r="I655" s="5">
        <v>26.0</v>
      </c>
      <c r="J655" s="5" t="s">
        <v>105</v>
      </c>
      <c r="K655" s="5" t="s">
        <v>105</v>
      </c>
      <c r="L655" s="3"/>
      <c r="M655" s="5">
        <v>4.0</v>
      </c>
      <c r="N655" s="5">
        <v>15.0</v>
      </c>
      <c r="O655" s="5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ht="15.75" customHeight="1">
      <c r="A656" s="3" t="s">
        <v>460</v>
      </c>
      <c r="B656" s="3" t="s">
        <v>461</v>
      </c>
      <c r="C656" s="3" t="s">
        <v>19</v>
      </c>
      <c r="D656" s="3" t="s">
        <v>462</v>
      </c>
      <c r="E656" s="3" t="s">
        <v>498</v>
      </c>
      <c r="F656" s="3">
        <v>4.0</v>
      </c>
      <c r="G656" s="4">
        <v>-27.53157</v>
      </c>
      <c r="H656" s="4">
        <v>-48.51232</v>
      </c>
      <c r="I656" s="5">
        <v>27.0</v>
      </c>
      <c r="J656" s="5" t="s">
        <v>488</v>
      </c>
      <c r="K656" s="5" t="s">
        <v>488</v>
      </c>
      <c r="L656" s="3"/>
      <c r="M656" s="5">
        <v>19.0</v>
      </c>
      <c r="N656" s="5">
        <v>114.0</v>
      </c>
      <c r="O656" s="5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ht="15.75" customHeight="1">
      <c r="A657" s="3" t="s">
        <v>460</v>
      </c>
      <c r="B657" s="3" t="s">
        <v>461</v>
      </c>
      <c r="C657" s="3" t="s">
        <v>19</v>
      </c>
      <c r="D657" s="3" t="s">
        <v>462</v>
      </c>
      <c r="E657" s="3" t="s">
        <v>498</v>
      </c>
      <c r="F657" s="3">
        <v>4.0</v>
      </c>
      <c r="G657" s="4">
        <v>-27.53157</v>
      </c>
      <c r="H657" s="4">
        <v>-48.51232</v>
      </c>
      <c r="I657" s="5">
        <v>28.0</v>
      </c>
      <c r="J657" s="5" t="s">
        <v>323</v>
      </c>
      <c r="K657" s="5" t="s">
        <v>323</v>
      </c>
      <c r="L657" s="3"/>
      <c r="M657" s="5">
        <v>6.0</v>
      </c>
      <c r="N657" s="5">
        <v>23.0</v>
      </c>
      <c r="O657" s="5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ht="15.75" customHeight="1">
      <c r="A658" s="3" t="s">
        <v>460</v>
      </c>
      <c r="B658" s="3" t="s">
        <v>461</v>
      </c>
      <c r="C658" s="3" t="s">
        <v>19</v>
      </c>
      <c r="D658" s="3" t="s">
        <v>462</v>
      </c>
      <c r="E658" s="3" t="s">
        <v>498</v>
      </c>
      <c r="F658" s="3">
        <v>4.0</v>
      </c>
      <c r="G658" s="4">
        <v>-27.53157</v>
      </c>
      <c r="H658" s="4">
        <v>-48.51232</v>
      </c>
      <c r="I658" s="5">
        <v>29.0</v>
      </c>
      <c r="J658" s="5" t="s">
        <v>108</v>
      </c>
      <c r="K658" s="5" t="s">
        <v>108</v>
      </c>
      <c r="L658" s="3"/>
      <c r="M658" s="5">
        <v>6.5</v>
      </c>
      <c r="N658" s="5">
        <v>37.0</v>
      </c>
      <c r="O658" s="5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ht="15.75" customHeight="1">
      <c r="A659" s="3" t="s">
        <v>460</v>
      </c>
      <c r="B659" s="3" t="s">
        <v>461</v>
      </c>
      <c r="C659" s="3" t="s">
        <v>19</v>
      </c>
      <c r="D659" s="3" t="s">
        <v>462</v>
      </c>
      <c r="E659" s="3" t="s">
        <v>498</v>
      </c>
      <c r="F659" s="3">
        <v>4.0</v>
      </c>
      <c r="G659" s="4">
        <v>-27.53157</v>
      </c>
      <c r="H659" s="4">
        <v>-48.51232</v>
      </c>
      <c r="I659" s="5">
        <v>30.0</v>
      </c>
      <c r="J659" s="5" t="s">
        <v>504</v>
      </c>
      <c r="K659" s="5" t="s">
        <v>504</v>
      </c>
      <c r="L659" s="3"/>
      <c r="M659" s="5">
        <v>8.0</v>
      </c>
      <c r="N659" s="5">
        <v>21.0</v>
      </c>
      <c r="O659" s="5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ht="15.75" customHeight="1">
      <c r="A660" s="3" t="s">
        <v>460</v>
      </c>
      <c r="B660" s="3" t="s">
        <v>461</v>
      </c>
      <c r="C660" s="3" t="s">
        <v>19</v>
      </c>
      <c r="D660" s="3" t="s">
        <v>462</v>
      </c>
      <c r="E660" s="3" t="s">
        <v>498</v>
      </c>
      <c r="F660" s="3">
        <v>4.0</v>
      </c>
      <c r="G660" s="4">
        <v>-27.53157</v>
      </c>
      <c r="H660" s="4">
        <v>-48.51232</v>
      </c>
      <c r="I660" s="5">
        <v>31.0</v>
      </c>
      <c r="J660" s="5" t="s">
        <v>86</v>
      </c>
      <c r="K660" s="5" t="s">
        <v>86</v>
      </c>
      <c r="L660" s="3"/>
      <c r="M660" s="5">
        <v>8.0</v>
      </c>
      <c r="N660" s="5">
        <v>17.0</v>
      </c>
      <c r="O660" s="5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ht="15.75" customHeight="1">
      <c r="A661" s="3" t="s">
        <v>460</v>
      </c>
      <c r="B661" s="3" t="s">
        <v>461</v>
      </c>
      <c r="C661" s="3" t="s">
        <v>80</v>
      </c>
      <c r="D661" s="3" t="s">
        <v>505</v>
      </c>
      <c r="E661" s="3" t="s">
        <v>506</v>
      </c>
      <c r="F661" s="3">
        <v>5.0</v>
      </c>
      <c r="G661" s="4">
        <v>-27.52784</v>
      </c>
      <c r="H661" s="4">
        <v>-48.51132</v>
      </c>
      <c r="I661" s="5">
        <v>1.0</v>
      </c>
      <c r="J661" s="5" t="s">
        <v>104</v>
      </c>
      <c r="K661" s="5" t="s">
        <v>104</v>
      </c>
      <c r="L661" s="3"/>
      <c r="M661" s="5">
        <v>8.0</v>
      </c>
      <c r="N661" s="5">
        <v>18.0</v>
      </c>
      <c r="O661" s="5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ht="15.75" customHeight="1">
      <c r="A662" s="3" t="s">
        <v>460</v>
      </c>
      <c r="B662" s="3" t="s">
        <v>461</v>
      </c>
      <c r="C662" s="3" t="s">
        <v>80</v>
      </c>
      <c r="D662" s="3" t="s">
        <v>505</v>
      </c>
      <c r="E662" s="3" t="s">
        <v>506</v>
      </c>
      <c r="F662" s="3">
        <v>5.0</v>
      </c>
      <c r="G662" s="4">
        <v>-27.52784</v>
      </c>
      <c r="H662" s="4">
        <v>-48.51132</v>
      </c>
      <c r="I662" s="5">
        <v>2.0</v>
      </c>
      <c r="J662" s="5" t="s">
        <v>104</v>
      </c>
      <c r="K662" s="5" t="s">
        <v>104</v>
      </c>
      <c r="L662" s="3"/>
      <c r="M662" s="5">
        <v>7.0</v>
      </c>
      <c r="N662" s="5">
        <v>16.0</v>
      </c>
      <c r="O662" s="5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ht="15.75" customHeight="1">
      <c r="A663" s="3" t="s">
        <v>460</v>
      </c>
      <c r="B663" s="3" t="s">
        <v>461</v>
      </c>
      <c r="C663" s="3" t="s">
        <v>80</v>
      </c>
      <c r="D663" s="3" t="s">
        <v>505</v>
      </c>
      <c r="E663" s="3" t="s">
        <v>506</v>
      </c>
      <c r="F663" s="3">
        <v>5.0</v>
      </c>
      <c r="G663" s="4">
        <v>-27.52784</v>
      </c>
      <c r="H663" s="4">
        <v>-48.51132</v>
      </c>
      <c r="I663" s="5">
        <v>3.0</v>
      </c>
      <c r="J663" s="5" t="s">
        <v>104</v>
      </c>
      <c r="K663" s="5" t="s">
        <v>104</v>
      </c>
      <c r="L663" s="3"/>
      <c r="M663" s="5">
        <v>8.0</v>
      </c>
      <c r="N663" s="5">
        <v>22.0</v>
      </c>
      <c r="O663" s="5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ht="15.75" customHeight="1">
      <c r="A664" s="3" t="s">
        <v>460</v>
      </c>
      <c r="B664" s="3" t="s">
        <v>461</v>
      </c>
      <c r="C664" s="3" t="s">
        <v>80</v>
      </c>
      <c r="D664" s="3" t="s">
        <v>505</v>
      </c>
      <c r="E664" s="3" t="s">
        <v>506</v>
      </c>
      <c r="F664" s="3">
        <v>5.0</v>
      </c>
      <c r="G664" s="4">
        <v>-27.52784</v>
      </c>
      <c r="H664" s="4">
        <v>-48.51132</v>
      </c>
      <c r="I664" s="5">
        <v>4.0</v>
      </c>
      <c r="J664" s="5" t="s">
        <v>104</v>
      </c>
      <c r="K664" s="5" t="s">
        <v>104</v>
      </c>
      <c r="L664" s="3"/>
      <c r="M664" s="5">
        <v>9.0</v>
      </c>
      <c r="N664" s="5">
        <v>24.0</v>
      </c>
      <c r="O664" s="5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ht="15.75" customHeight="1">
      <c r="A665" s="3" t="s">
        <v>460</v>
      </c>
      <c r="B665" s="3" t="s">
        <v>461</v>
      </c>
      <c r="C665" s="3" t="s">
        <v>80</v>
      </c>
      <c r="D665" s="3" t="s">
        <v>505</v>
      </c>
      <c r="E665" s="3" t="s">
        <v>506</v>
      </c>
      <c r="F665" s="3">
        <v>5.0</v>
      </c>
      <c r="G665" s="4">
        <v>-27.52784</v>
      </c>
      <c r="H665" s="4">
        <v>-48.51132</v>
      </c>
      <c r="I665" s="5">
        <v>5.0</v>
      </c>
      <c r="J665" s="5" t="s">
        <v>104</v>
      </c>
      <c r="K665" s="5" t="s">
        <v>104</v>
      </c>
      <c r="L665" s="3"/>
      <c r="M665" s="5">
        <v>6.0</v>
      </c>
      <c r="N665" s="5">
        <v>15.0</v>
      </c>
      <c r="O665" s="5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ht="15.75" customHeight="1">
      <c r="A666" s="3" t="s">
        <v>460</v>
      </c>
      <c r="B666" s="3" t="s">
        <v>461</v>
      </c>
      <c r="C666" s="3" t="s">
        <v>80</v>
      </c>
      <c r="D666" s="3" t="s">
        <v>505</v>
      </c>
      <c r="E666" s="3" t="s">
        <v>506</v>
      </c>
      <c r="F666" s="3">
        <v>5.0</v>
      </c>
      <c r="G666" s="4">
        <v>-27.52784</v>
      </c>
      <c r="H666" s="4">
        <v>-48.51132</v>
      </c>
      <c r="I666" s="5">
        <v>6.0</v>
      </c>
      <c r="J666" s="5" t="s">
        <v>104</v>
      </c>
      <c r="K666" s="5" t="s">
        <v>104</v>
      </c>
      <c r="L666" s="3"/>
      <c r="M666" s="5">
        <v>7.0</v>
      </c>
      <c r="N666" s="5">
        <v>15.0</v>
      </c>
      <c r="O666" s="5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ht="15.75" customHeight="1">
      <c r="A667" s="3" t="s">
        <v>460</v>
      </c>
      <c r="B667" s="3" t="s">
        <v>461</v>
      </c>
      <c r="C667" s="3" t="s">
        <v>80</v>
      </c>
      <c r="D667" s="3" t="s">
        <v>505</v>
      </c>
      <c r="E667" s="3" t="s">
        <v>506</v>
      </c>
      <c r="F667" s="3">
        <v>5.0</v>
      </c>
      <c r="G667" s="4">
        <v>-27.52784</v>
      </c>
      <c r="H667" s="4">
        <v>-48.51132</v>
      </c>
      <c r="I667" s="5">
        <v>7.0</v>
      </c>
      <c r="J667" s="5" t="s">
        <v>104</v>
      </c>
      <c r="K667" s="5" t="s">
        <v>104</v>
      </c>
      <c r="L667" s="3"/>
      <c r="M667" s="5">
        <v>9.0</v>
      </c>
      <c r="N667" s="5">
        <v>31.0</v>
      </c>
      <c r="O667" s="5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ht="15.75" customHeight="1">
      <c r="A668" s="3" t="s">
        <v>460</v>
      </c>
      <c r="B668" s="3" t="s">
        <v>461</v>
      </c>
      <c r="C668" s="3" t="s">
        <v>80</v>
      </c>
      <c r="D668" s="3" t="s">
        <v>505</v>
      </c>
      <c r="E668" s="3" t="s">
        <v>506</v>
      </c>
      <c r="F668" s="3">
        <v>5.0</v>
      </c>
      <c r="G668" s="4">
        <v>-27.52784</v>
      </c>
      <c r="H668" s="4">
        <v>-48.51132</v>
      </c>
      <c r="I668" s="5">
        <v>8.0</v>
      </c>
      <c r="J668" s="5" t="s">
        <v>104</v>
      </c>
      <c r="K668" s="5" t="s">
        <v>104</v>
      </c>
      <c r="L668" s="3"/>
      <c r="M668" s="5">
        <v>6.0</v>
      </c>
      <c r="N668" s="5">
        <v>23.0</v>
      </c>
      <c r="O668" s="5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ht="15.75" customHeight="1">
      <c r="A669" s="3" t="s">
        <v>460</v>
      </c>
      <c r="B669" s="3" t="s">
        <v>461</v>
      </c>
      <c r="C669" s="3" t="s">
        <v>80</v>
      </c>
      <c r="D669" s="3" t="s">
        <v>505</v>
      </c>
      <c r="E669" s="3" t="s">
        <v>506</v>
      </c>
      <c r="F669" s="3">
        <v>5.0</v>
      </c>
      <c r="G669" s="4">
        <v>-27.52784</v>
      </c>
      <c r="H669" s="4">
        <v>-48.51132</v>
      </c>
      <c r="I669" s="5">
        <v>9.0</v>
      </c>
      <c r="J669" s="5" t="s">
        <v>104</v>
      </c>
      <c r="K669" s="5" t="s">
        <v>104</v>
      </c>
      <c r="L669" s="3"/>
      <c r="M669" s="5">
        <v>8.0</v>
      </c>
      <c r="N669" s="5">
        <v>18.0</v>
      </c>
      <c r="O669" s="5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ht="15.75" customHeight="1">
      <c r="A670" s="3" t="s">
        <v>460</v>
      </c>
      <c r="B670" s="3" t="s">
        <v>461</v>
      </c>
      <c r="C670" s="3" t="s">
        <v>80</v>
      </c>
      <c r="D670" s="3" t="s">
        <v>505</v>
      </c>
      <c r="E670" s="3" t="s">
        <v>506</v>
      </c>
      <c r="F670" s="3">
        <v>5.0</v>
      </c>
      <c r="G670" s="4">
        <v>-27.52784</v>
      </c>
      <c r="H670" s="4">
        <v>-48.51132</v>
      </c>
      <c r="I670" s="5">
        <v>10.0</v>
      </c>
      <c r="J670" s="5" t="s">
        <v>104</v>
      </c>
      <c r="K670" s="5" t="s">
        <v>104</v>
      </c>
      <c r="L670" s="3"/>
      <c r="M670" s="5">
        <v>9.0</v>
      </c>
      <c r="N670" s="5">
        <v>28.0</v>
      </c>
      <c r="O670" s="5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ht="15.75" customHeight="1">
      <c r="A671" s="3" t="s">
        <v>460</v>
      </c>
      <c r="B671" s="3" t="s">
        <v>461</v>
      </c>
      <c r="C671" s="3" t="s">
        <v>80</v>
      </c>
      <c r="D671" s="3" t="s">
        <v>505</v>
      </c>
      <c r="E671" s="3" t="s">
        <v>506</v>
      </c>
      <c r="F671" s="3">
        <v>5.0</v>
      </c>
      <c r="G671" s="4">
        <v>-27.52784</v>
      </c>
      <c r="H671" s="4">
        <v>-48.51132</v>
      </c>
      <c r="I671" s="5">
        <v>11.0</v>
      </c>
      <c r="J671" s="5" t="s">
        <v>104</v>
      </c>
      <c r="K671" s="5" t="s">
        <v>104</v>
      </c>
      <c r="L671" s="3"/>
      <c r="M671" s="5">
        <v>8.0</v>
      </c>
      <c r="N671" s="5">
        <v>23.0</v>
      </c>
      <c r="O671" s="5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ht="15.75" customHeight="1">
      <c r="A672" s="3" t="s">
        <v>460</v>
      </c>
      <c r="B672" s="3" t="s">
        <v>461</v>
      </c>
      <c r="C672" s="3" t="s">
        <v>80</v>
      </c>
      <c r="D672" s="3" t="s">
        <v>505</v>
      </c>
      <c r="E672" s="3" t="s">
        <v>506</v>
      </c>
      <c r="F672" s="3">
        <v>5.0</v>
      </c>
      <c r="G672" s="4">
        <v>-27.52784</v>
      </c>
      <c r="H672" s="4">
        <v>-48.51132</v>
      </c>
      <c r="I672" s="5">
        <v>12.0</v>
      </c>
      <c r="J672" s="5" t="s">
        <v>104</v>
      </c>
      <c r="K672" s="5" t="s">
        <v>104</v>
      </c>
      <c r="L672" s="3"/>
      <c r="M672" s="5">
        <v>8.0</v>
      </c>
      <c r="N672" s="5" t="s">
        <v>507</v>
      </c>
      <c r="O672" s="5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ht="15.75" customHeight="1">
      <c r="A673" s="3" t="s">
        <v>460</v>
      </c>
      <c r="B673" s="3" t="s">
        <v>461</v>
      </c>
      <c r="C673" s="3" t="s">
        <v>80</v>
      </c>
      <c r="D673" s="3" t="s">
        <v>505</v>
      </c>
      <c r="E673" s="3" t="s">
        <v>506</v>
      </c>
      <c r="F673" s="3">
        <v>5.0</v>
      </c>
      <c r="G673" s="4">
        <v>-27.52784</v>
      </c>
      <c r="H673" s="4">
        <v>-48.51132</v>
      </c>
      <c r="I673" s="5">
        <v>13.0</v>
      </c>
      <c r="J673" s="5" t="s">
        <v>104</v>
      </c>
      <c r="K673" s="5" t="s">
        <v>104</v>
      </c>
      <c r="L673" s="3"/>
      <c r="M673" s="5">
        <v>7.0</v>
      </c>
      <c r="N673" s="5">
        <v>19.0</v>
      </c>
      <c r="O673" s="5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ht="15.75" customHeight="1">
      <c r="A674" s="3" t="s">
        <v>460</v>
      </c>
      <c r="B674" s="3" t="s">
        <v>461</v>
      </c>
      <c r="C674" s="3" t="s">
        <v>80</v>
      </c>
      <c r="D674" s="3" t="s">
        <v>505</v>
      </c>
      <c r="E674" s="3" t="s">
        <v>506</v>
      </c>
      <c r="F674" s="3">
        <v>5.0</v>
      </c>
      <c r="G674" s="4">
        <v>-27.52784</v>
      </c>
      <c r="H674" s="4">
        <v>-48.51132</v>
      </c>
      <c r="I674" s="5">
        <v>14.0</v>
      </c>
      <c r="J674" s="5" t="s">
        <v>104</v>
      </c>
      <c r="K674" s="5" t="s">
        <v>104</v>
      </c>
      <c r="L674" s="3"/>
      <c r="M674" s="5">
        <v>6.0</v>
      </c>
      <c r="N674" s="5">
        <v>18.0</v>
      </c>
      <c r="O674" s="5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ht="15.75" customHeight="1">
      <c r="A675" s="3" t="s">
        <v>460</v>
      </c>
      <c r="B675" s="3" t="s">
        <v>461</v>
      </c>
      <c r="C675" s="3" t="s">
        <v>80</v>
      </c>
      <c r="D675" s="3" t="s">
        <v>505</v>
      </c>
      <c r="E675" s="3" t="s">
        <v>506</v>
      </c>
      <c r="F675" s="3">
        <v>5.0</v>
      </c>
      <c r="G675" s="4">
        <v>-27.52784</v>
      </c>
      <c r="H675" s="4">
        <v>-48.51132</v>
      </c>
      <c r="I675" s="5">
        <v>15.0</v>
      </c>
      <c r="J675" s="5" t="s">
        <v>104</v>
      </c>
      <c r="K675" s="5" t="s">
        <v>104</v>
      </c>
      <c r="L675" s="3"/>
      <c r="M675" s="5">
        <v>9.0</v>
      </c>
      <c r="N675" s="5">
        <v>24.0</v>
      </c>
      <c r="O675" s="5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ht="15.75" customHeight="1">
      <c r="A676" s="3" t="s">
        <v>460</v>
      </c>
      <c r="B676" s="3" t="s">
        <v>461</v>
      </c>
      <c r="C676" s="3" t="s">
        <v>80</v>
      </c>
      <c r="D676" s="3" t="s">
        <v>505</v>
      </c>
      <c r="E676" s="3" t="s">
        <v>506</v>
      </c>
      <c r="F676" s="3">
        <v>5.0</v>
      </c>
      <c r="G676" s="4">
        <v>-27.52784</v>
      </c>
      <c r="H676" s="4">
        <v>-48.51132</v>
      </c>
      <c r="I676" s="5">
        <v>16.0</v>
      </c>
      <c r="J676" s="5" t="s">
        <v>488</v>
      </c>
      <c r="K676" s="5" t="s">
        <v>488</v>
      </c>
      <c r="L676" s="3"/>
      <c r="M676" s="5">
        <v>11.0</v>
      </c>
      <c r="N676" s="5">
        <v>88.0</v>
      </c>
      <c r="O676" s="5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ht="15.75" customHeight="1">
      <c r="A677" s="3" t="s">
        <v>460</v>
      </c>
      <c r="B677" s="3" t="s">
        <v>461</v>
      </c>
      <c r="C677" s="3" t="s">
        <v>80</v>
      </c>
      <c r="D677" s="3" t="s">
        <v>505</v>
      </c>
      <c r="E677" s="3" t="s">
        <v>506</v>
      </c>
      <c r="F677" s="3">
        <v>5.0</v>
      </c>
      <c r="G677" s="4">
        <v>-27.52784</v>
      </c>
      <c r="H677" s="4">
        <v>-48.51132</v>
      </c>
      <c r="I677" s="5">
        <v>17.0</v>
      </c>
      <c r="J677" s="5" t="s">
        <v>508</v>
      </c>
      <c r="K677" s="5" t="s">
        <v>41</v>
      </c>
      <c r="L677" s="3"/>
      <c r="M677" s="5">
        <v>7.0</v>
      </c>
      <c r="N677" s="5">
        <v>38.0</v>
      </c>
      <c r="O677" s="5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ht="15.75" customHeight="1">
      <c r="A678" s="3" t="s">
        <v>460</v>
      </c>
      <c r="B678" s="3" t="s">
        <v>461</v>
      </c>
      <c r="C678" s="3" t="s">
        <v>80</v>
      </c>
      <c r="D678" s="3" t="s">
        <v>505</v>
      </c>
      <c r="E678" s="3" t="s">
        <v>506</v>
      </c>
      <c r="F678" s="3">
        <v>5.0</v>
      </c>
      <c r="G678" s="4">
        <v>-27.52784</v>
      </c>
      <c r="H678" s="4">
        <v>-48.51132</v>
      </c>
      <c r="I678" s="5">
        <v>18.0</v>
      </c>
      <c r="J678" s="20" t="s">
        <v>395</v>
      </c>
      <c r="K678" s="5" t="s">
        <v>315</v>
      </c>
      <c r="L678" s="3"/>
      <c r="M678" s="5"/>
      <c r="N678" s="5"/>
      <c r="O678" s="5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ht="15.75" customHeight="1">
      <c r="A679" s="3" t="s">
        <v>460</v>
      </c>
      <c r="B679" s="3" t="s">
        <v>461</v>
      </c>
      <c r="C679" s="3" t="s">
        <v>80</v>
      </c>
      <c r="D679" s="3" t="s">
        <v>505</v>
      </c>
      <c r="E679" s="3" t="s">
        <v>506</v>
      </c>
      <c r="F679" s="3">
        <v>5.0</v>
      </c>
      <c r="G679" s="4">
        <v>-27.52784</v>
      </c>
      <c r="H679" s="4">
        <v>-48.51132</v>
      </c>
      <c r="I679" s="5">
        <v>19.0</v>
      </c>
      <c r="J679" s="5" t="s">
        <v>104</v>
      </c>
      <c r="K679" s="5" t="s">
        <v>104</v>
      </c>
      <c r="L679" s="3"/>
      <c r="M679" s="5">
        <v>6.0</v>
      </c>
      <c r="N679" s="5" t="s">
        <v>509</v>
      </c>
      <c r="O679" s="5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ht="15.75" customHeight="1">
      <c r="A680" s="3" t="s">
        <v>460</v>
      </c>
      <c r="B680" s="3" t="s">
        <v>461</v>
      </c>
      <c r="C680" s="3" t="s">
        <v>80</v>
      </c>
      <c r="D680" s="3" t="s">
        <v>505</v>
      </c>
      <c r="E680" s="3" t="s">
        <v>506</v>
      </c>
      <c r="F680" s="3">
        <v>5.0</v>
      </c>
      <c r="G680" s="4">
        <v>-27.52784</v>
      </c>
      <c r="H680" s="4">
        <v>-48.51132</v>
      </c>
      <c r="I680" s="5">
        <v>20.0</v>
      </c>
      <c r="J680" s="5" t="s">
        <v>104</v>
      </c>
      <c r="K680" s="5" t="s">
        <v>104</v>
      </c>
      <c r="L680" s="3"/>
      <c r="M680" s="5">
        <v>9.0</v>
      </c>
      <c r="N680" s="5">
        <v>34.0</v>
      </c>
      <c r="O680" s="5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ht="15.75" customHeight="1">
      <c r="A681" s="3" t="s">
        <v>460</v>
      </c>
      <c r="B681" s="3" t="s">
        <v>461</v>
      </c>
      <c r="C681" s="3" t="s">
        <v>80</v>
      </c>
      <c r="D681" s="3" t="s">
        <v>505</v>
      </c>
      <c r="E681" s="3" t="s">
        <v>506</v>
      </c>
      <c r="F681" s="3">
        <v>5.0</v>
      </c>
      <c r="G681" s="4">
        <v>-27.52784</v>
      </c>
      <c r="H681" s="4">
        <v>-48.51132</v>
      </c>
      <c r="I681" s="5">
        <v>21.0</v>
      </c>
      <c r="J681" s="5" t="s">
        <v>104</v>
      </c>
      <c r="K681" s="5" t="s">
        <v>104</v>
      </c>
      <c r="L681" s="3"/>
      <c r="M681" s="5">
        <v>8.0</v>
      </c>
      <c r="N681" s="5" t="s">
        <v>510</v>
      </c>
      <c r="O681" s="5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ht="15.75" customHeight="1">
      <c r="A682" s="3" t="s">
        <v>460</v>
      </c>
      <c r="B682" s="3" t="s">
        <v>461</v>
      </c>
      <c r="C682" s="3" t="s">
        <v>80</v>
      </c>
      <c r="D682" s="3" t="s">
        <v>505</v>
      </c>
      <c r="E682" s="3" t="s">
        <v>506</v>
      </c>
      <c r="F682" s="3">
        <v>5.0</v>
      </c>
      <c r="G682" s="4">
        <v>-27.52784</v>
      </c>
      <c r="H682" s="4">
        <v>-48.51132</v>
      </c>
      <c r="I682" s="5">
        <v>22.0</v>
      </c>
      <c r="J682" s="5" t="s">
        <v>122</v>
      </c>
      <c r="K682" s="5" t="s">
        <v>122</v>
      </c>
      <c r="L682" s="3"/>
      <c r="M682" s="5">
        <v>8.0</v>
      </c>
      <c r="N682" s="5" t="s">
        <v>511</v>
      </c>
      <c r="O682" s="5" t="s">
        <v>512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ht="15.75" customHeight="1">
      <c r="A683" s="3" t="s">
        <v>460</v>
      </c>
      <c r="B683" s="3" t="s">
        <v>461</v>
      </c>
      <c r="C683" s="3" t="s">
        <v>80</v>
      </c>
      <c r="D683" s="3" t="s">
        <v>505</v>
      </c>
      <c r="E683" s="3" t="s">
        <v>506</v>
      </c>
      <c r="F683" s="3">
        <v>5.0</v>
      </c>
      <c r="G683" s="4">
        <v>-27.52784</v>
      </c>
      <c r="H683" s="4">
        <v>-48.51132</v>
      </c>
      <c r="I683" s="5">
        <v>23.0</v>
      </c>
      <c r="J683" s="5" t="s">
        <v>421</v>
      </c>
      <c r="K683" s="5" t="s">
        <v>421</v>
      </c>
      <c r="L683" s="3"/>
      <c r="M683" s="5">
        <v>7.0</v>
      </c>
      <c r="N683" s="5">
        <v>20.0</v>
      </c>
      <c r="O683" s="5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ht="15.75" customHeight="1">
      <c r="A684" s="3" t="s">
        <v>460</v>
      </c>
      <c r="B684" s="3" t="s">
        <v>461</v>
      </c>
      <c r="C684" s="3" t="s">
        <v>80</v>
      </c>
      <c r="D684" s="3" t="s">
        <v>505</v>
      </c>
      <c r="E684" s="3" t="s">
        <v>506</v>
      </c>
      <c r="F684" s="3">
        <v>5.0</v>
      </c>
      <c r="G684" s="4">
        <v>-27.52784</v>
      </c>
      <c r="H684" s="4">
        <v>-48.51132</v>
      </c>
      <c r="I684" s="5">
        <v>24.0</v>
      </c>
      <c r="J684" s="5" t="s">
        <v>104</v>
      </c>
      <c r="K684" s="5" t="s">
        <v>104</v>
      </c>
      <c r="L684" s="3"/>
      <c r="M684" s="5">
        <v>9.0</v>
      </c>
      <c r="N684" s="5" t="s">
        <v>513</v>
      </c>
      <c r="O684" s="5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ht="15.75" customHeight="1">
      <c r="A685" s="3" t="s">
        <v>460</v>
      </c>
      <c r="B685" s="3" t="s">
        <v>461</v>
      </c>
      <c r="C685" s="3" t="s">
        <v>80</v>
      </c>
      <c r="D685" s="3" t="s">
        <v>505</v>
      </c>
      <c r="E685" s="3" t="s">
        <v>506</v>
      </c>
      <c r="F685" s="3">
        <v>5.0</v>
      </c>
      <c r="G685" s="4">
        <v>-27.52784</v>
      </c>
      <c r="H685" s="4">
        <v>-48.51132</v>
      </c>
      <c r="I685" s="5">
        <v>25.0</v>
      </c>
      <c r="J685" s="5" t="s">
        <v>104</v>
      </c>
      <c r="K685" s="5" t="s">
        <v>104</v>
      </c>
      <c r="L685" s="3"/>
      <c r="M685" s="5">
        <v>7.0</v>
      </c>
      <c r="N685" s="5" t="s">
        <v>451</v>
      </c>
      <c r="O685" s="5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ht="15.75" customHeight="1">
      <c r="A686" s="3" t="s">
        <v>460</v>
      </c>
      <c r="B686" s="3" t="s">
        <v>461</v>
      </c>
      <c r="C686" s="3" t="s">
        <v>80</v>
      </c>
      <c r="D686" s="3" t="s">
        <v>505</v>
      </c>
      <c r="E686" s="3" t="s">
        <v>506</v>
      </c>
      <c r="F686" s="3">
        <v>5.0</v>
      </c>
      <c r="G686" s="4">
        <v>-27.52784</v>
      </c>
      <c r="H686" s="4">
        <v>-48.51132</v>
      </c>
      <c r="I686" s="5">
        <v>26.0</v>
      </c>
      <c r="J686" s="5" t="s">
        <v>104</v>
      </c>
      <c r="K686" s="5" t="s">
        <v>104</v>
      </c>
      <c r="L686" s="3"/>
      <c r="M686" s="5">
        <v>7.0</v>
      </c>
      <c r="N686" s="5">
        <v>20.0</v>
      </c>
      <c r="O686" s="5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ht="15.75" customHeight="1">
      <c r="A687" s="3" t="s">
        <v>460</v>
      </c>
      <c r="B687" s="3" t="s">
        <v>461</v>
      </c>
      <c r="C687" s="3" t="s">
        <v>80</v>
      </c>
      <c r="D687" s="3" t="s">
        <v>505</v>
      </c>
      <c r="E687" s="3" t="s">
        <v>506</v>
      </c>
      <c r="F687" s="3">
        <v>5.0</v>
      </c>
      <c r="G687" s="4">
        <v>-27.52784</v>
      </c>
      <c r="H687" s="4">
        <v>-48.51132</v>
      </c>
      <c r="I687" s="5">
        <v>27.0</v>
      </c>
      <c r="J687" s="5" t="s">
        <v>108</v>
      </c>
      <c r="K687" s="5" t="s">
        <v>108</v>
      </c>
      <c r="L687" s="3"/>
      <c r="M687" s="5">
        <v>12.0</v>
      </c>
      <c r="N687" s="5">
        <v>78.0</v>
      </c>
      <c r="O687" s="5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ht="15.75" customHeight="1">
      <c r="A688" s="3" t="s">
        <v>460</v>
      </c>
      <c r="B688" s="3" t="s">
        <v>461</v>
      </c>
      <c r="C688" s="3" t="s">
        <v>80</v>
      </c>
      <c r="D688" s="3" t="s">
        <v>505</v>
      </c>
      <c r="E688" s="3" t="s">
        <v>506</v>
      </c>
      <c r="F688" s="3">
        <v>5.0</v>
      </c>
      <c r="G688" s="4">
        <v>-27.52784</v>
      </c>
      <c r="H688" s="4">
        <v>-48.51132</v>
      </c>
      <c r="I688" s="5">
        <v>28.0</v>
      </c>
      <c r="J688" s="5" t="s">
        <v>104</v>
      </c>
      <c r="K688" s="5" t="s">
        <v>104</v>
      </c>
      <c r="L688" s="3"/>
      <c r="M688" s="5">
        <v>8.0</v>
      </c>
      <c r="N688" s="5">
        <v>25.0</v>
      </c>
      <c r="O688" s="5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ht="15.75" customHeight="1">
      <c r="A689" s="3" t="s">
        <v>460</v>
      </c>
      <c r="B689" s="3" t="s">
        <v>461</v>
      </c>
      <c r="C689" s="3" t="s">
        <v>80</v>
      </c>
      <c r="D689" s="3" t="s">
        <v>505</v>
      </c>
      <c r="E689" s="3" t="s">
        <v>506</v>
      </c>
      <c r="F689" s="3">
        <v>5.0</v>
      </c>
      <c r="G689" s="4">
        <v>-27.52784</v>
      </c>
      <c r="H689" s="4">
        <v>-48.51132</v>
      </c>
      <c r="I689" s="5">
        <v>29.0</v>
      </c>
      <c r="J689" s="5" t="s">
        <v>104</v>
      </c>
      <c r="K689" s="5" t="s">
        <v>104</v>
      </c>
      <c r="L689" s="3"/>
      <c r="M689" s="5">
        <v>8.0</v>
      </c>
      <c r="N689" s="5" t="s">
        <v>514</v>
      </c>
      <c r="O689" s="5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ht="15.75" customHeight="1">
      <c r="A690" s="3" t="s">
        <v>460</v>
      </c>
      <c r="B690" s="3" t="s">
        <v>461</v>
      </c>
      <c r="C690" s="3" t="s">
        <v>80</v>
      </c>
      <c r="D690" s="3" t="s">
        <v>505</v>
      </c>
      <c r="E690" s="3" t="s">
        <v>506</v>
      </c>
      <c r="F690" s="3">
        <v>5.0</v>
      </c>
      <c r="G690" s="4">
        <v>-27.52784</v>
      </c>
      <c r="H690" s="4">
        <v>-48.51132</v>
      </c>
      <c r="I690" s="5">
        <v>30.0</v>
      </c>
      <c r="J690" s="5" t="s">
        <v>493</v>
      </c>
      <c r="K690" s="5" t="s">
        <v>493</v>
      </c>
      <c r="L690" s="3"/>
      <c r="M690" s="5">
        <v>11.0</v>
      </c>
      <c r="N690" s="5">
        <v>38.0</v>
      </c>
      <c r="O690" s="5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ht="15.75" customHeight="1">
      <c r="A691" s="3" t="s">
        <v>460</v>
      </c>
      <c r="B691" s="3" t="s">
        <v>461</v>
      </c>
      <c r="C691" s="3" t="s">
        <v>80</v>
      </c>
      <c r="D691" s="3" t="s">
        <v>505</v>
      </c>
      <c r="E691" s="3" t="s">
        <v>506</v>
      </c>
      <c r="F691" s="3">
        <v>5.0</v>
      </c>
      <c r="G691" s="4">
        <v>-27.52784</v>
      </c>
      <c r="H691" s="4">
        <v>-48.51132</v>
      </c>
      <c r="I691" s="5">
        <v>31.0</v>
      </c>
      <c r="J691" s="5" t="s">
        <v>104</v>
      </c>
      <c r="K691" s="5" t="s">
        <v>104</v>
      </c>
      <c r="L691" s="3"/>
      <c r="M691" s="5">
        <v>8.0</v>
      </c>
      <c r="N691" s="5" t="s">
        <v>515</v>
      </c>
      <c r="O691" s="5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ht="15.75" customHeight="1">
      <c r="A692" s="3" t="s">
        <v>460</v>
      </c>
      <c r="B692" s="3" t="s">
        <v>461</v>
      </c>
      <c r="C692" s="3" t="s">
        <v>80</v>
      </c>
      <c r="D692" s="3" t="s">
        <v>505</v>
      </c>
      <c r="E692" s="3" t="s">
        <v>506</v>
      </c>
      <c r="F692" s="3">
        <v>5.0</v>
      </c>
      <c r="G692" s="4">
        <v>-27.52784</v>
      </c>
      <c r="H692" s="4">
        <v>-48.51132</v>
      </c>
      <c r="I692" s="5">
        <v>32.0</v>
      </c>
      <c r="J692" s="5" t="s">
        <v>508</v>
      </c>
      <c r="K692" s="5" t="s">
        <v>41</v>
      </c>
      <c r="L692" s="3"/>
      <c r="M692" s="5">
        <v>9.0</v>
      </c>
      <c r="N692" s="5">
        <v>32.0</v>
      </c>
      <c r="O692" s="5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ht="15.75" customHeight="1">
      <c r="A693" s="3" t="s">
        <v>460</v>
      </c>
      <c r="B693" s="3" t="s">
        <v>461</v>
      </c>
      <c r="C693" s="3" t="s">
        <v>80</v>
      </c>
      <c r="D693" s="3" t="s">
        <v>505</v>
      </c>
      <c r="E693" s="3" t="s">
        <v>506</v>
      </c>
      <c r="F693" s="3">
        <v>5.0</v>
      </c>
      <c r="G693" s="4">
        <v>-27.52784</v>
      </c>
      <c r="H693" s="4">
        <v>-48.51132</v>
      </c>
      <c r="I693" s="5">
        <v>33.0</v>
      </c>
      <c r="J693" s="5" t="s">
        <v>153</v>
      </c>
      <c r="K693" s="5" t="s">
        <v>153</v>
      </c>
      <c r="L693" s="3"/>
      <c r="M693" s="5">
        <v>6.0</v>
      </c>
      <c r="N693" s="5" t="s">
        <v>516</v>
      </c>
      <c r="O693" s="5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ht="15.75" customHeight="1">
      <c r="A694" s="3" t="s">
        <v>460</v>
      </c>
      <c r="B694" s="3" t="s">
        <v>461</v>
      </c>
      <c r="C694" s="3" t="s">
        <v>80</v>
      </c>
      <c r="D694" s="3" t="s">
        <v>505</v>
      </c>
      <c r="E694" s="3" t="s">
        <v>506</v>
      </c>
      <c r="F694" s="3">
        <v>5.0</v>
      </c>
      <c r="G694" s="4">
        <v>-27.52784</v>
      </c>
      <c r="H694" s="4">
        <v>-48.51132</v>
      </c>
      <c r="I694" s="5">
        <v>34.0</v>
      </c>
      <c r="J694" s="14" t="s">
        <v>517</v>
      </c>
      <c r="K694" s="14" t="s">
        <v>517</v>
      </c>
      <c r="L694" s="3"/>
      <c r="M694" s="5">
        <v>7.0</v>
      </c>
      <c r="N694" s="5">
        <v>18.0</v>
      </c>
      <c r="O694" s="5" t="s">
        <v>518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ht="15.75" customHeight="1">
      <c r="A695" s="3" t="s">
        <v>460</v>
      </c>
      <c r="B695" s="3" t="s">
        <v>461</v>
      </c>
      <c r="C695" s="3" t="s">
        <v>80</v>
      </c>
      <c r="D695" s="3" t="s">
        <v>505</v>
      </c>
      <c r="E695" s="3" t="s">
        <v>506</v>
      </c>
      <c r="F695" s="3">
        <v>5.0</v>
      </c>
      <c r="G695" s="4">
        <v>-27.52784</v>
      </c>
      <c r="H695" s="4">
        <v>-48.51132</v>
      </c>
      <c r="I695" s="5">
        <v>35.0</v>
      </c>
      <c r="J695" s="5" t="s">
        <v>519</v>
      </c>
      <c r="K695" s="5" t="s">
        <v>519</v>
      </c>
      <c r="L695" s="3"/>
      <c r="M695" s="5">
        <v>22.0</v>
      </c>
      <c r="N695" s="5" t="s">
        <v>520</v>
      </c>
      <c r="O695" s="5" t="s">
        <v>521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ht="15.75" customHeight="1">
      <c r="A696" s="3" t="s">
        <v>460</v>
      </c>
      <c r="B696" s="3" t="s">
        <v>461</v>
      </c>
      <c r="C696" s="3" t="s">
        <v>80</v>
      </c>
      <c r="D696" s="3" t="s">
        <v>505</v>
      </c>
      <c r="E696" s="3" t="s">
        <v>506</v>
      </c>
      <c r="F696" s="3">
        <v>5.0</v>
      </c>
      <c r="G696" s="4">
        <v>-27.52784</v>
      </c>
      <c r="H696" s="4">
        <v>-48.51132</v>
      </c>
      <c r="I696" s="5">
        <v>36.0</v>
      </c>
      <c r="J696" s="5" t="s">
        <v>104</v>
      </c>
      <c r="K696" s="5" t="s">
        <v>104</v>
      </c>
      <c r="L696" s="3"/>
      <c r="M696" s="5">
        <v>7.0</v>
      </c>
      <c r="N696" s="5">
        <v>26.0</v>
      </c>
      <c r="O696" s="5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ht="15.75" customHeight="1">
      <c r="A697" s="3" t="s">
        <v>460</v>
      </c>
      <c r="B697" s="3" t="s">
        <v>461</v>
      </c>
      <c r="C697" s="3" t="s">
        <v>80</v>
      </c>
      <c r="D697" s="3" t="s">
        <v>505</v>
      </c>
      <c r="E697" s="3" t="s">
        <v>506</v>
      </c>
      <c r="F697" s="3">
        <v>5.0</v>
      </c>
      <c r="G697" s="4">
        <v>-27.52784</v>
      </c>
      <c r="H697" s="4">
        <v>-48.51132</v>
      </c>
      <c r="I697" s="5">
        <v>37.0</v>
      </c>
      <c r="J697" s="5" t="s">
        <v>104</v>
      </c>
      <c r="K697" s="5" t="s">
        <v>104</v>
      </c>
      <c r="L697" s="3"/>
      <c r="M697" s="5">
        <v>8.0</v>
      </c>
      <c r="N697" s="5">
        <v>24.0</v>
      </c>
      <c r="O697" s="5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ht="15.75" customHeight="1">
      <c r="A698" s="3" t="s">
        <v>460</v>
      </c>
      <c r="B698" s="3" t="s">
        <v>461</v>
      </c>
      <c r="C698" s="3" t="s">
        <v>80</v>
      </c>
      <c r="D698" s="3" t="s">
        <v>505</v>
      </c>
      <c r="E698" s="3" t="s">
        <v>506</v>
      </c>
      <c r="F698" s="3">
        <v>5.0</v>
      </c>
      <c r="G698" s="4">
        <v>-27.52784</v>
      </c>
      <c r="H698" s="4">
        <v>-48.51132</v>
      </c>
      <c r="I698" s="5">
        <v>38.0</v>
      </c>
      <c r="J698" s="5" t="s">
        <v>104</v>
      </c>
      <c r="K698" s="5" t="s">
        <v>104</v>
      </c>
      <c r="L698" s="3"/>
      <c r="M698" s="5">
        <v>7.0</v>
      </c>
      <c r="N698" s="5">
        <v>17.0</v>
      </c>
      <c r="O698" s="5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ht="15.75" customHeight="1">
      <c r="A699" s="3" t="s">
        <v>460</v>
      </c>
      <c r="B699" s="3" t="s">
        <v>461</v>
      </c>
      <c r="C699" s="3" t="s">
        <v>80</v>
      </c>
      <c r="D699" s="3" t="s">
        <v>505</v>
      </c>
      <c r="E699" s="3" t="s">
        <v>506</v>
      </c>
      <c r="F699" s="3">
        <v>5.0</v>
      </c>
      <c r="G699" s="4">
        <v>-27.52784</v>
      </c>
      <c r="H699" s="4">
        <v>-48.51132</v>
      </c>
      <c r="I699" s="5">
        <v>39.0</v>
      </c>
      <c r="J699" s="5" t="s">
        <v>104</v>
      </c>
      <c r="K699" s="5" t="s">
        <v>104</v>
      </c>
      <c r="L699" s="3"/>
      <c r="M699" s="5">
        <v>9.0</v>
      </c>
      <c r="N699" s="5">
        <v>18.0</v>
      </c>
      <c r="O699" s="5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ht="15.75" customHeight="1">
      <c r="A700" s="3" t="s">
        <v>460</v>
      </c>
      <c r="B700" s="3" t="s">
        <v>461</v>
      </c>
      <c r="C700" s="3" t="s">
        <v>80</v>
      </c>
      <c r="D700" s="3" t="s">
        <v>505</v>
      </c>
      <c r="E700" s="3" t="s">
        <v>506</v>
      </c>
      <c r="F700" s="3">
        <v>5.0</v>
      </c>
      <c r="G700" s="4">
        <v>-27.52784</v>
      </c>
      <c r="H700" s="4">
        <v>-48.51132</v>
      </c>
      <c r="I700" s="5">
        <v>40.0</v>
      </c>
      <c r="J700" s="5" t="s">
        <v>104</v>
      </c>
      <c r="K700" s="5" t="s">
        <v>104</v>
      </c>
      <c r="L700" s="3"/>
      <c r="M700" s="5">
        <v>8.0</v>
      </c>
      <c r="N700" s="5">
        <v>20.0</v>
      </c>
      <c r="O700" s="5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ht="15.75" customHeight="1">
      <c r="A701" s="3" t="s">
        <v>460</v>
      </c>
      <c r="B701" s="3" t="s">
        <v>461</v>
      </c>
      <c r="C701" s="3" t="s">
        <v>80</v>
      </c>
      <c r="D701" s="3" t="s">
        <v>505</v>
      </c>
      <c r="E701" s="3" t="s">
        <v>506</v>
      </c>
      <c r="F701" s="3">
        <v>5.0</v>
      </c>
      <c r="G701" s="4">
        <v>-27.52784</v>
      </c>
      <c r="H701" s="4">
        <v>-48.51132</v>
      </c>
      <c r="I701" s="5">
        <v>41.0</v>
      </c>
      <c r="J701" s="5" t="s">
        <v>104</v>
      </c>
      <c r="K701" s="5" t="s">
        <v>104</v>
      </c>
      <c r="L701" s="3"/>
      <c r="M701" s="5">
        <v>9.0</v>
      </c>
      <c r="N701" s="5">
        <v>29.0</v>
      </c>
      <c r="O701" s="5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ht="15.75" customHeight="1">
      <c r="A702" s="3" t="s">
        <v>460</v>
      </c>
      <c r="B702" s="3" t="s">
        <v>461</v>
      </c>
      <c r="C702" s="3" t="s">
        <v>80</v>
      </c>
      <c r="D702" s="3" t="s">
        <v>505</v>
      </c>
      <c r="E702" s="3" t="s">
        <v>506</v>
      </c>
      <c r="F702" s="3">
        <v>5.0</v>
      </c>
      <c r="G702" s="4">
        <v>-27.52784</v>
      </c>
      <c r="H702" s="4">
        <v>-48.51132</v>
      </c>
      <c r="I702" s="5">
        <v>42.0</v>
      </c>
      <c r="J702" s="5" t="s">
        <v>104</v>
      </c>
      <c r="K702" s="5" t="s">
        <v>104</v>
      </c>
      <c r="L702" s="3"/>
      <c r="M702" s="5">
        <v>7.0</v>
      </c>
      <c r="N702" s="5">
        <v>18.0</v>
      </c>
      <c r="O702" s="5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ht="15.75" customHeight="1">
      <c r="A703" s="3" t="s">
        <v>460</v>
      </c>
      <c r="B703" s="3" t="s">
        <v>461</v>
      </c>
      <c r="C703" s="3" t="s">
        <v>80</v>
      </c>
      <c r="D703" s="3" t="s">
        <v>505</v>
      </c>
      <c r="E703" s="3" t="s">
        <v>506</v>
      </c>
      <c r="F703" s="3">
        <v>5.0</v>
      </c>
      <c r="G703" s="4">
        <v>-27.52784</v>
      </c>
      <c r="H703" s="4">
        <v>-48.51132</v>
      </c>
      <c r="I703" s="5">
        <v>43.0</v>
      </c>
      <c r="J703" s="5" t="s">
        <v>104</v>
      </c>
      <c r="K703" s="5" t="s">
        <v>104</v>
      </c>
      <c r="L703" s="3"/>
      <c r="M703" s="5">
        <v>7.0</v>
      </c>
      <c r="N703" s="5">
        <v>20.0</v>
      </c>
      <c r="O703" s="5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ht="15.75" customHeight="1">
      <c r="A704" s="3" t="s">
        <v>460</v>
      </c>
      <c r="B704" s="3" t="s">
        <v>461</v>
      </c>
      <c r="C704" s="3" t="s">
        <v>80</v>
      </c>
      <c r="D704" s="3" t="s">
        <v>505</v>
      </c>
      <c r="E704" s="3" t="s">
        <v>506</v>
      </c>
      <c r="F704" s="3">
        <v>5.0</v>
      </c>
      <c r="G704" s="4">
        <v>-27.52784</v>
      </c>
      <c r="H704" s="4">
        <v>-48.51132</v>
      </c>
      <c r="I704" s="5">
        <v>44.0</v>
      </c>
      <c r="J704" s="5" t="s">
        <v>104</v>
      </c>
      <c r="K704" s="5" t="s">
        <v>104</v>
      </c>
      <c r="L704" s="3"/>
      <c r="M704" s="5">
        <v>7.0</v>
      </c>
      <c r="N704" s="5">
        <v>16.0</v>
      </c>
      <c r="O704" s="5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ht="15.75" customHeight="1">
      <c r="A705" s="3" t="s">
        <v>460</v>
      </c>
      <c r="B705" s="3" t="s">
        <v>461</v>
      </c>
      <c r="C705" s="3" t="s">
        <v>80</v>
      </c>
      <c r="D705" s="3" t="s">
        <v>505</v>
      </c>
      <c r="E705" s="3" t="s">
        <v>506</v>
      </c>
      <c r="F705" s="3">
        <v>5.0</v>
      </c>
      <c r="G705" s="4">
        <v>-27.52784</v>
      </c>
      <c r="H705" s="4">
        <v>-48.51132</v>
      </c>
      <c r="I705" s="5">
        <v>45.0</v>
      </c>
      <c r="J705" s="5" t="s">
        <v>104</v>
      </c>
      <c r="K705" s="5" t="s">
        <v>104</v>
      </c>
      <c r="L705" s="3"/>
      <c r="M705" s="5">
        <v>7.0</v>
      </c>
      <c r="N705" s="5">
        <v>20.0</v>
      </c>
      <c r="O705" s="5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ht="15.75" customHeight="1">
      <c r="A706" s="3" t="s">
        <v>460</v>
      </c>
      <c r="B706" s="3" t="s">
        <v>461</v>
      </c>
      <c r="C706" s="3" t="s">
        <v>80</v>
      </c>
      <c r="D706" s="3" t="s">
        <v>505</v>
      </c>
      <c r="E706" s="3" t="s">
        <v>522</v>
      </c>
      <c r="F706" s="3">
        <v>6.0</v>
      </c>
      <c r="G706" s="4">
        <v>-27.52767</v>
      </c>
      <c r="H706" s="4">
        <v>-48.51126</v>
      </c>
      <c r="I706" s="5">
        <v>1.0</v>
      </c>
      <c r="J706" s="5" t="s">
        <v>523</v>
      </c>
      <c r="K706" s="5" t="s">
        <v>111</v>
      </c>
      <c r="L706" s="3"/>
      <c r="M706" s="5">
        <v>22.0</v>
      </c>
      <c r="N706" s="5">
        <v>296.0</v>
      </c>
      <c r="O706" s="5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ht="15.75" customHeight="1">
      <c r="A707" s="3" t="s">
        <v>460</v>
      </c>
      <c r="B707" s="3" t="s">
        <v>461</v>
      </c>
      <c r="C707" s="3" t="s">
        <v>80</v>
      </c>
      <c r="D707" s="3" t="s">
        <v>505</v>
      </c>
      <c r="E707" s="3" t="s">
        <v>522</v>
      </c>
      <c r="F707" s="3">
        <v>6.0</v>
      </c>
      <c r="G707" s="4">
        <v>-27.52767</v>
      </c>
      <c r="H707" s="4">
        <v>-48.51126</v>
      </c>
      <c r="I707" s="5">
        <v>2.0</v>
      </c>
      <c r="J707" s="5" t="s">
        <v>523</v>
      </c>
      <c r="K707" s="5" t="s">
        <v>111</v>
      </c>
      <c r="L707" s="3"/>
      <c r="M707" s="5">
        <v>4.0</v>
      </c>
      <c r="N707" s="5">
        <v>15.0</v>
      </c>
      <c r="O707" s="5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ht="15.75" customHeight="1">
      <c r="A708" s="3" t="s">
        <v>460</v>
      </c>
      <c r="B708" s="3" t="s">
        <v>461</v>
      </c>
      <c r="C708" s="3" t="s">
        <v>80</v>
      </c>
      <c r="D708" s="3" t="s">
        <v>505</v>
      </c>
      <c r="E708" s="3" t="s">
        <v>522</v>
      </c>
      <c r="F708" s="3">
        <v>6.0</v>
      </c>
      <c r="G708" s="4">
        <v>-27.52767</v>
      </c>
      <c r="H708" s="4">
        <v>-48.51126</v>
      </c>
      <c r="I708" s="5">
        <v>3.0</v>
      </c>
      <c r="J708" s="5" t="s">
        <v>41</v>
      </c>
      <c r="K708" s="5" t="s">
        <v>41</v>
      </c>
      <c r="L708" s="3"/>
      <c r="M708" s="5">
        <v>5.0</v>
      </c>
      <c r="N708" s="5">
        <v>21.0</v>
      </c>
      <c r="O708" s="5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ht="15.75" customHeight="1">
      <c r="A709" s="3" t="s">
        <v>460</v>
      </c>
      <c r="B709" s="3" t="s">
        <v>461</v>
      </c>
      <c r="C709" s="3" t="s">
        <v>80</v>
      </c>
      <c r="D709" s="3" t="s">
        <v>505</v>
      </c>
      <c r="E709" s="3" t="s">
        <v>522</v>
      </c>
      <c r="F709" s="3">
        <v>6.0</v>
      </c>
      <c r="G709" s="4">
        <v>-27.52767</v>
      </c>
      <c r="H709" s="4">
        <v>-48.51126</v>
      </c>
      <c r="I709" s="5">
        <v>4.0</v>
      </c>
      <c r="J709" s="5" t="s">
        <v>31</v>
      </c>
      <c r="K709" s="5" t="s">
        <v>31</v>
      </c>
      <c r="L709" s="3"/>
      <c r="M709" s="5">
        <v>5.0</v>
      </c>
      <c r="N709" s="5">
        <v>17.0</v>
      </c>
      <c r="O709" s="5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ht="15.75" customHeight="1">
      <c r="A710" s="3" t="s">
        <v>460</v>
      </c>
      <c r="B710" s="3" t="s">
        <v>461</v>
      </c>
      <c r="C710" s="3" t="s">
        <v>80</v>
      </c>
      <c r="D710" s="3" t="s">
        <v>505</v>
      </c>
      <c r="E710" s="3" t="s">
        <v>522</v>
      </c>
      <c r="F710" s="3">
        <v>6.0</v>
      </c>
      <c r="G710" s="4">
        <v>-27.52767</v>
      </c>
      <c r="H710" s="4">
        <v>-48.51126</v>
      </c>
      <c r="I710" s="5">
        <v>5.0</v>
      </c>
      <c r="J710" s="5" t="s">
        <v>31</v>
      </c>
      <c r="K710" s="5" t="s">
        <v>31</v>
      </c>
      <c r="L710" s="3"/>
      <c r="M710" s="5">
        <v>5.0</v>
      </c>
      <c r="N710" s="5">
        <v>16.0</v>
      </c>
      <c r="O710" s="5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ht="15.75" customHeight="1">
      <c r="A711" s="3" t="s">
        <v>460</v>
      </c>
      <c r="B711" s="3" t="s">
        <v>461</v>
      </c>
      <c r="C711" s="3" t="s">
        <v>80</v>
      </c>
      <c r="D711" s="3" t="s">
        <v>505</v>
      </c>
      <c r="E711" s="3" t="s">
        <v>522</v>
      </c>
      <c r="F711" s="3">
        <v>6.0</v>
      </c>
      <c r="G711" s="4">
        <v>-27.52767</v>
      </c>
      <c r="H711" s="4">
        <v>-48.51126</v>
      </c>
      <c r="I711" s="5">
        <v>6.0</v>
      </c>
      <c r="J711" s="5" t="s">
        <v>499</v>
      </c>
      <c r="K711" s="5" t="s">
        <v>499</v>
      </c>
      <c r="L711" s="3"/>
      <c r="M711" s="5">
        <v>12.0</v>
      </c>
      <c r="N711" s="5">
        <v>47.0</v>
      </c>
      <c r="O711" s="5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ht="15.75" customHeight="1">
      <c r="A712" s="3" t="s">
        <v>460</v>
      </c>
      <c r="B712" s="3" t="s">
        <v>461</v>
      </c>
      <c r="C712" s="3" t="s">
        <v>80</v>
      </c>
      <c r="D712" s="3" t="s">
        <v>505</v>
      </c>
      <c r="E712" s="3" t="s">
        <v>522</v>
      </c>
      <c r="F712" s="3">
        <v>6.0</v>
      </c>
      <c r="G712" s="4">
        <v>-27.52767</v>
      </c>
      <c r="H712" s="4">
        <v>-48.51126</v>
      </c>
      <c r="I712" s="5">
        <v>7.0</v>
      </c>
      <c r="J712" s="5" t="s">
        <v>31</v>
      </c>
      <c r="K712" s="5" t="s">
        <v>31</v>
      </c>
      <c r="L712" s="3"/>
      <c r="M712" s="5">
        <v>5.0</v>
      </c>
      <c r="N712" s="5">
        <v>16.0</v>
      </c>
      <c r="O712" s="5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ht="15.75" customHeight="1">
      <c r="A713" s="3" t="s">
        <v>460</v>
      </c>
      <c r="B713" s="3" t="s">
        <v>461</v>
      </c>
      <c r="C713" s="3" t="s">
        <v>80</v>
      </c>
      <c r="D713" s="3" t="s">
        <v>505</v>
      </c>
      <c r="E713" s="3" t="s">
        <v>522</v>
      </c>
      <c r="F713" s="3">
        <v>6.0</v>
      </c>
      <c r="G713" s="4">
        <v>-27.52767</v>
      </c>
      <c r="H713" s="4">
        <v>-48.51126</v>
      </c>
      <c r="I713" s="5">
        <v>8.0</v>
      </c>
      <c r="J713" s="5" t="s">
        <v>104</v>
      </c>
      <c r="K713" s="5" t="s">
        <v>104</v>
      </c>
      <c r="L713" s="3"/>
      <c r="M713" s="5">
        <v>8.0</v>
      </c>
      <c r="N713" s="5">
        <v>26.0</v>
      </c>
      <c r="O713" s="5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ht="15.75" customHeight="1">
      <c r="A714" s="3" t="s">
        <v>460</v>
      </c>
      <c r="B714" s="3" t="s">
        <v>461</v>
      </c>
      <c r="C714" s="3" t="s">
        <v>80</v>
      </c>
      <c r="D714" s="3" t="s">
        <v>505</v>
      </c>
      <c r="E714" s="3" t="s">
        <v>522</v>
      </c>
      <c r="F714" s="3">
        <v>6.0</v>
      </c>
      <c r="G714" s="4">
        <v>-27.52767</v>
      </c>
      <c r="H714" s="4">
        <v>-48.51126</v>
      </c>
      <c r="I714" s="5">
        <v>9.0</v>
      </c>
      <c r="J714" s="5" t="s">
        <v>104</v>
      </c>
      <c r="K714" s="5" t="s">
        <v>104</v>
      </c>
      <c r="L714" s="3"/>
      <c r="M714" s="5">
        <v>9.0</v>
      </c>
      <c r="N714" s="5">
        <v>33.0</v>
      </c>
      <c r="O714" s="5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ht="15.75" customHeight="1">
      <c r="A715" s="3" t="s">
        <v>460</v>
      </c>
      <c r="B715" s="3" t="s">
        <v>461</v>
      </c>
      <c r="C715" s="3" t="s">
        <v>80</v>
      </c>
      <c r="D715" s="3" t="s">
        <v>505</v>
      </c>
      <c r="E715" s="3" t="s">
        <v>522</v>
      </c>
      <c r="F715" s="3">
        <v>6.0</v>
      </c>
      <c r="G715" s="4">
        <v>-27.52767</v>
      </c>
      <c r="H715" s="4">
        <v>-48.51126</v>
      </c>
      <c r="I715" s="5">
        <v>10.0</v>
      </c>
      <c r="J715" s="5" t="s">
        <v>104</v>
      </c>
      <c r="K715" s="5" t="s">
        <v>104</v>
      </c>
      <c r="L715" s="3"/>
      <c r="M715" s="5">
        <v>10.0</v>
      </c>
      <c r="N715" s="5" t="s">
        <v>524</v>
      </c>
      <c r="O715" s="5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ht="15.75" customHeight="1">
      <c r="A716" s="3" t="s">
        <v>460</v>
      </c>
      <c r="B716" s="3" t="s">
        <v>461</v>
      </c>
      <c r="C716" s="3" t="s">
        <v>80</v>
      </c>
      <c r="D716" s="3" t="s">
        <v>505</v>
      </c>
      <c r="E716" s="3" t="s">
        <v>522</v>
      </c>
      <c r="F716" s="3">
        <v>6.0</v>
      </c>
      <c r="G716" s="4">
        <v>-27.52767</v>
      </c>
      <c r="H716" s="4">
        <v>-48.51126</v>
      </c>
      <c r="I716" s="5">
        <v>11.0</v>
      </c>
      <c r="J716" s="5" t="s">
        <v>104</v>
      </c>
      <c r="K716" s="5" t="s">
        <v>104</v>
      </c>
      <c r="L716" s="3"/>
      <c r="M716" s="5">
        <v>10.0</v>
      </c>
      <c r="N716" s="5">
        <v>35.0</v>
      </c>
      <c r="O716" s="5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ht="15.75" customHeight="1">
      <c r="A717" s="3" t="s">
        <v>460</v>
      </c>
      <c r="B717" s="3" t="s">
        <v>461</v>
      </c>
      <c r="C717" s="3" t="s">
        <v>80</v>
      </c>
      <c r="D717" s="3" t="s">
        <v>505</v>
      </c>
      <c r="E717" s="3" t="s">
        <v>522</v>
      </c>
      <c r="F717" s="3">
        <v>6.0</v>
      </c>
      <c r="G717" s="4">
        <v>-27.52767</v>
      </c>
      <c r="H717" s="4">
        <v>-48.51126</v>
      </c>
      <c r="I717" s="5">
        <v>12.0</v>
      </c>
      <c r="J717" s="5" t="s">
        <v>104</v>
      </c>
      <c r="K717" s="5" t="s">
        <v>104</v>
      </c>
      <c r="L717" s="3"/>
      <c r="M717" s="5">
        <v>7.0</v>
      </c>
      <c r="N717" s="5">
        <v>26.0</v>
      </c>
      <c r="O717" s="5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ht="15.75" customHeight="1">
      <c r="A718" s="3" t="s">
        <v>460</v>
      </c>
      <c r="B718" s="3" t="s">
        <v>461</v>
      </c>
      <c r="C718" s="3" t="s">
        <v>80</v>
      </c>
      <c r="D718" s="3" t="s">
        <v>505</v>
      </c>
      <c r="E718" s="3" t="s">
        <v>522</v>
      </c>
      <c r="F718" s="3">
        <v>6.0</v>
      </c>
      <c r="G718" s="4">
        <v>-27.52767</v>
      </c>
      <c r="H718" s="4">
        <v>-48.51126</v>
      </c>
      <c r="I718" s="5">
        <v>13.0</v>
      </c>
      <c r="J718" s="20" t="s">
        <v>395</v>
      </c>
      <c r="K718" s="5" t="s">
        <v>315</v>
      </c>
      <c r="L718" s="3"/>
      <c r="M718" s="5"/>
      <c r="N718" s="5"/>
      <c r="O718" s="5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ht="15.75" customHeight="1">
      <c r="A719" s="3" t="s">
        <v>460</v>
      </c>
      <c r="B719" s="3" t="s">
        <v>461</v>
      </c>
      <c r="C719" s="3" t="s">
        <v>80</v>
      </c>
      <c r="D719" s="3" t="s">
        <v>505</v>
      </c>
      <c r="E719" s="3" t="s">
        <v>522</v>
      </c>
      <c r="F719" s="3">
        <v>6.0</v>
      </c>
      <c r="G719" s="4">
        <v>-27.52767</v>
      </c>
      <c r="H719" s="4">
        <v>-48.51126</v>
      </c>
      <c r="I719" s="5">
        <v>14.0</v>
      </c>
      <c r="J719" s="5" t="s">
        <v>525</v>
      </c>
      <c r="K719" s="5" t="s">
        <v>525</v>
      </c>
      <c r="L719" s="3" t="s">
        <v>64</v>
      </c>
      <c r="M719" s="5">
        <v>10.0</v>
      </c>
      <c r="N719" s="5" t="s">
        <v>526</v>
      </c>
      <c r="O719" s="5" t="s">
        <v>527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ht="15.75" customHeight="1">
      <c r="A720" s="3" t="s">
        <v>460</v>
      </c>
      <c r="B720" s="3" t="s">
        <v>461</v>
      </c>
      <c r="C720" s="3" t="s">
        <v>80</v>
      </c>
      <c r="D720" s="3" t="s">
        <v>505</v>
      </c>
      <c r="E720" s="3" t="s">
        <v>522</v>
      </c>
      <c r="F720" s="3">
        <v>6.0</v>
      </c>
      <c r="G720" s="4">
        <v>-27.52767</v>
      </c>
      <c r="H720" s="4">
        <v>-48.51126</v>
      </c>
      <c r="I720" s="5">
        <v>15.0</v>
      </c>
      <c r="J720" s="5" t="s">
        <v>28</v>
      </c>
      <c r="K720" s="5" t="s">
        <v>28</v>
      </c>
      <c r="L720" s="3"/>
      <c r="M720" s="5">
        <v>7.0</v>
      </c>
      <c r="N720" s="5">
        <v>30.0</v>
      </c>
      <c r="O720" s="5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ht="15.75" customHeight="1">
      <c r="A721" s="3" t="s">
        <v>460</v>
      </c>
      <c r="B721" s="3" t="s">
        <v>461</v>
      </c>
      <c r="C721" s="3" t="s">
        <v>80</v>
      </c>
      <c r="D721" s="3" t="s">
        <v>505</v>
      </c>
      <c r="E721" s="3" t="s">
        <v>522</v>
      </c>
      <c r="F721" s="3">
        <v>6.0</v>
      </c>
      <c r="G721" s="4">
        <v>-27.52767</v>
      </c>
      <c r="H721" s="4">
        <v>-48.51126</v>
      </c>
      <c r="I721" s="5">
        <v>16.0</v>
      </c>
      <c r="J721" s="5" t="s">
        <v>30</v>
      </c>
      <c r="K721" s="5" t="s">
        <v>30</v>
      </c>
      <c r="L721" s="3"/>
      <c r="M721" s="5">
        <v>9.0</v>
      </c>
      <c r="N721" s="5">
        <v>37.0</v>
      </c>
      <c r="O721" s="5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ht="15.75" customHeight="1">
      <c r="A722" s="3" t="s">
        <v>460</v>
      </c>
      <c r="B722" s="3" t="s">
        <v>461</v>
      </c>
      <c r="C722" s="3" t="s">
        <v>80</v>
      </c>
      <c r="D722" s="3" t="s">
        <v>505</v>
      </c>
      <c r="E722" s="3" t="s">
        <v>522</v>
      </c>
      <c r="F722" s="3">
        <v>6.0</v>
      </c>
      <c r="G722" s="4">
        <v>-27.52767</v>
      </c>
      <c r="H722" s="4">
        <v>-48.51126</v>
      </c>
      <c r="I722" s="5">
        <v>17.0</v>
      </c>
      <c r="J722" s="5" t="s">
        <v>24</v>
      </c>
      <c r="K722" s="5" t="s">
        <v>24</v>
      </c>
      <c r="L722" s="3"/>
      <c r="M722" s="5">
        <v>5.0</v>
      </c>
      <c r="N722" s="5">
        <v>15.0</v>
      </c>
      <c r="O722" s="5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ht="15.75" customHeight="1">
      <c r="A723" s="3" t="s">
        <v>460</v>
      </c>
      <c r="B723" s="3" t="s">
        <v>461</v>
      </c>
      <c r="C723" s="3" t="s">
        <v>80</v>
      </c>
      <c r="D723" s="3" t="s">
        <v>505</v>
      </c>
      <c r="E723" s="3" t="s">
        <v>522</v>
      </c>
      <c r="F723" s="3">
        <v>6.0</v>
      </c>
      <c r="G723" s="4">
        <v>-27.52767</v>
      </c>
      <c r="H723" s="4">
        <v>-48.51126</v>
      </c>
      <c r="I723" s="5">
        <v>18.0</v>
      </c>
      <c r="J723" s="5" t="s">
        <v>63</v>
      </c>
      <c r="K723" s="5" t="s">
        <v>63</v>
      </c>
      <c r="L723" s="3"/>
      <c r="M723" s="5">
        <v>5.0</v>
      </c>
      <c r="N723" s="5">
        <v>15.0</v>
      </c>
      <c r="O723" s="5" t="s">
        <v>528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ht="15.75" customHeight="1">
      <c r="A724" s="3" t="s">
        <v>460</v>
      </c>
      <c r="B724" s="3" t="s">
        <v>461</v>
      </c>
      <c r="C724" s="3" t="s">
        <v>80</v>
      </c>
      <c r="D724" s="3" t="s">
        <v>505</v>
      </c>
      <c r="E724" s="3" t="s">
        <v>522</v>
      </c>
      <c r="F724" s="3">
        <v>6.0</v>
      </c>
      <c r="G724" s="4">
        <v>-27.52767</v>
      </c>
      <c r="H724" s="4">
        <v>-48.51126</v>
      </c>
      <c r="I724" s="5">
        <v>19.0</v>
      </c>
      <c r="J724" s="5" t="s">
        <v>104</v>
      </c>
      <c r="K724" s="5" t="s">
        <v>104</v>
      </c>
      <c r="L724" s="3"/>
      <c r="M724" s="5">
        <v>8.0</v>
      </c>
      <c r="N724" s="5">
        <v>25.0</v>
      </c>
      <c r="O724" s="5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ht="15.75" customHeight="1">
      <c r="A725" s="3" t="s">
        <v>460</v>
      </c>
      <c r="B725" s="3" t="s">
        <v>461</v>
      </c>
      <c r="C725" s="3" t="s">
        <v>80</v>
      </c>
      <c r="D725" s="3" t="s">
        <v>505</v>
      </c>
      <c r="E725" s="3" t="s">
        <v>522</v>
      </c>
      <c r="F725" s="3">
        <v>6.0</v>
      </c>
      <c r="G725" s="4">
        <v>-27.52767</v>
      </c>
      <c r="H725" s="4">
        <v>-48.51126</v>
      </c>
      <c r="I725" s="5">
        <v>20.0</v>
      </c>
      <c r="J725" s="5" t="s">
        <v>104</v>
      </c>
      <c r="K725" s="5" t="s">
        <v>104</v>
      </c>
      <c r="L725" s="3"/>
      <c r="M725" s="5">
        <v>8.0</v>
      </c>
      <c r="N725" s="5">
        <v>28.0</v>
      </c>
      <c r="O725" s="5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ht="15.75" customHeight="1">
      <c r="A726" s="3" t="s">
        <v>460</v>
      </c>
      <c r="B726" s="3" t="s">
        <v>461</v>
      </c>
      <c r="C726" s="3" t="s">
        <v>80</v>
      </c>
      <c r="D726" s="3" t="s">
        <v>505</v>
      </c>
      <c r="E726" s="3" t="s">
        <v>529</v>
      </c>
      <c r="F726" s="3">
        <v>7.0</v>
      </c>
      <c r="G726" s="4">
        <v>-27.52734</v>
      </c>
      <c r="H726" s="4">
        <v>-48.51129</v>
      </c>
      <c r="I726" s="5">
        <v>1.0</v>
      </c>
      <c r="J726" s="5" t="s">
        <v>104</v>
      </c>
      <c r="K726" s="5" t="s">
        <v>104</v>
      </c>
      <c r="L726" s="3"/>
      <c r="M726" s="5">
        <v>8.0</v>
      </c>
      <c r="N726" s="5" t="s">
        <v>530</v>
      </c>
      <c r="O726" s="5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ht="15.75" customHeight="1">
      <c r="A727" s="3" t="s">
        <v>460</v>
      </c>
      <c r="B727" s="3" t="s">
        <v>461</v>
      </c>
      <c r="C727" s="3" t="s">
        <v>80</v>
      </c>
      <c r="D727" s="3" t="s">
        <v>505</v>
      </c>
      <c r="E727" s="3" t="s">
        <v>529</v>
      </c>
      <c r="F727" s="3">
        <v>7.0</v>
      </c>
      <c r="G727" s="4">
        <v>-27.52734</v>
      </c>
      <c r="H727" s="4">
        <v>-48.51129</v>
      </c>
      <c r="I727" s="5">
        <v>2.0</v>
      </c>
      <c r="J727" s="5" t="s">
        <v>206</v>
      </c>
      <c r="K727" s="5" t="s">
        <v>206</v>
      </c>
      <c r="L727" s="3"/>
      <c r="M727" s="5">
        <v>4.0</v>
      </c>
      <c r="N727" s="5" t="s">
        <v>531</v>
      </c>
      <c r="O727" s="5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ht="15.75" customHeight="1">
      <c r="A728" s="3" t="s">
        <v>460</v>
      </c>
      <c r="B728" s="3" t="s">
        <v>461</v>
      </c>
      <c r="C728" s="3" t="s">
        <v>80</v>
      </c>
      <c r="D728" s="3" t="s">
        <v>505</v>
      </c>
      <c r="E728" s="3" t="s">
        <v>529</v>
      </c>
      <c r="F728" s="3">
        <v>7.0</v>
      </c>
      <c r="G728" s="4">
        <v>-27.52734</v>
      </c>
      <c r="H728" s="4">
        <v>-48.51129</v>
      </c>
      <c r="I728" s="5">
        <v>3.0</v>
      </c>
      <c r="J728" s="5" t="s">
        <v>31</v>
      </c>
      <c r="K728" s="5" t="s">
        <v>31</v>
      </c>
      <c r="L728" s="3"/>
      <c r="M728" s="5">
        <v>5.0</v>
      </c>
      <c r="N728" s="5">
        <v>15.0</v>
      </c>
      <c r="O728" s="5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ht="15.75" customHeight="1">
      <c r="A729" s="3" t="s">
        <v>460</v>
      </c>
      <c r="B729" s="3" t="s">
        <v>461</v>
      </c>
      <c r="C729" s="3" t="s">
        <v>80</v>
      </c>
      <c r="D729" s="3" t="s">
        <v>505</v>
      </c>
      <c r="E729" s="3" t="s">
        <v>529</v>
      </c>
      <c r="F729" s="3">
        <v>7.0</v>
      </c>
      <c r="G729" s="4">
        <v>-27.52734</v>
      </c>
      <c r="H729" s="4">
        <v>-48.51129</v>
      </c>
      <c r="I729" s="5">
        <v>4.0</v>
      </c>
      <c r="J729" s="5" t="s">
        <v>153</v>
      </c>
      <c r="K729" s="5" t="s">
        <v>153</v>
      </c>
      <c r="L729" s="3"/>
      <c r="M729" s="5">
        <v>5.0</v>
      </c>
      <c r="N729" s="5">
        <v>18.0</v>
      </c>
      <c r="O729" s="5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ht="15.75" customHeight="1">
      <c r="A730" s="3" t="s">
        <v>460</v>
      </c>
      <c r="B730" s="3" t="s">
        <v>461</v>
      </c>
      <c r="C730" s="3" t="s">
        <v>80</v>
      </c>
      <c r="D730" s="3" t="s">
        <v>505</v>
      </c>
      <c r="E730" s="3" t="s">
        <v>529</v>
      </c>
      <c r="F730" s="3">
        <v>7.0</v>
      </c>
      <c r="G730" s="4">
        <v>-27.52734</v>
      </c>
      <c r="H730" s="4">
        <v>-48.51129</v>
      </c>
      <c r="I730" s="5">
        <v>5.0</v>
      </c>
      <c r="J730" s="5" t="s">
        <v>206</v>
      </c>
      <c r="K730" s="5" t="s">
        <v>206</v>
      </c>
      <c r="L730" s="3"/>
      <c r="M730" s="5">
        <v>6.0</v>
      </c>
      <c r="N730" s="5">
        <v>16.0</v>
      </c>
      <c r="O730" s="5"/>
      <c r="P730" s="1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ht="15.75" customHeight="1">
      <c r="A731" s="3" t="s">
        <v>460</v>
      </c>
      <c r="B731" s="3" t="s">
        <v>461</v>
      </c>
      <c r="C731" s="3" t="s">
        <v>80</v>
      </c>
      <c r="D731" s="3" t="s">
        <v>505</v>
      </c>
      <c r="E731" s="3" t="s">
        <v>529</v>
      </c>
      <c r="F731" s="3">
        <v>7.0</v>
      </c>
      <c r="G731" s="4">
        <v>-27.52734</v>
      </c>
      <c r="H731" s="4">
        <v>-48.51129</v>
      </c>
      <c r="I731" s="5">
        <v>6.0</v>
      </c>
      <c r="J731" s="5" t="s">
        <v>28</v>
      </c>
      <c r="K731" s="5" t="s">
        <v>28</v>
      </c>
      <c r="L731" s="3"/>
      <c r="M731" s="5">
        <v>10.0</v>
      </c>
      <c r="N731" s="5" t="s">
        <v>532</v>
      </c>
      <c r="O731" s="5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ht="15.75" customHeight="1">
      <c r="A732" s="3" t="s">
        <v>460</v>
      </c>
      <c r="B732" s="3" t="s">
        <v>461</v>
      </c>
      <c r="C732" s="3" t="s">
        <v>80</v>
      </c>
      <c r="D732" s="3" t="s">
        <v>505</v>
      </c>
      <c r="E732" s="3" t="s">
        <v>529</v>
      </c>
      <c r="F732" s="3">
        <v>7.0</v>
      </c>
      <c r="G732" s="4">
        <v>-27.52734</v>
      </c>
      <c r="H732" s="4">
        <v>-48.51129</v>
      </c>
      <c r="I732" s="5">
        <v>7.0</v>
      </c>
      <c r="J732" s="3" t="s">
        <v>153</v>
      </c>
      <c r="K732" s="3" t="s">
        <v>153</v>
      </c>
      <c r="L732" s="3"/>
      <c r="M732" s="5">
        <v>6.0</v>
      </c>
      <c r="N732" s="5" t="s">
        <v>533</v>
      </c>
      <c r="O732" s="11" t="s">
        <v>534</v>
      </c>
      <c r="P732" s="1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ht="15.75" customHeight="1">
      <c r="A733" s="3" t="s">
        <v>460</v>
      </c>
      <c r="B733" s="3" t="s">
        <v>461</v>
      </c>
      <c r="C733" s="3" t="s">
        <v>80</v>
      </c>
      <c r="D733" s="3" t="s">
        <v>505</v>
      </c>
      <c r="E733" s="3" t="s">
        <v>529</v>
      </c>
      <c r="F733" s="3">
        <v>7.0</v>
      </c>
      <c r="G733" s="4">
        <v>-27.52734</v>
      </c>
      <c r="H733" s="4">
        <v>-48.51129</v>
      </c>
      <c r="I733" s="5">
        <v>8.0</v>
      </c>
      <c r="J733" s="5" t="s">
        <v>104</v>
      </c>
      <c r="K733" s="5" t="s">
        <v>104</v>
      </c>
      <c r="L733" s="3"/>
      <c r="M733" s="5">
        <v>8.0</v>
      </c>
      <c r="N733" s="5">
        <v>17.0</v>
      </c>
      <c r="O733" s="5"/>
      <c r="P733" s="5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ht="15.75" customHeight="1">
      <c r="A734" s="3" t="s">
        <v>460</v>
      </c>
      <c r="B734" s="3" t="s">
        <v>461</v>
      </c>
      <c r="C734" s="3" t="s">
        <v>80</v>
      </c>
      <c r="D734" s="3" t="s">
        <v>505</v>
      </c>
      <c r="E734" s="3" t="s">
        <v>529</v>
      </c>
      <c r="F734" s="3">
        <v>7.0</v>
      </c>
      <c r="G734" s="4">
        <v>-27.52734</v>
      </c>
      <c r="H734" s="4">
        <v>-48.51129</v>
      </c>
      <c r="I734" s="5">
        <v>9.0</v>
      </c>
      <c r="J734" s="5" t="s">
        <v>104</v>
      </c>
      <c r="K734" s="5" t="s">
        <v>104</v>
      </c>
      <c r="L734" s="3"/>
      <c r="M734" s="5">
        <v>6.0</v>
      </c>
      <c r="N734" s="5">
        <v>20.0</v>
      </c>
      <c r="O734" s="5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ht="15.75" customHeight="1">
      <c r="A735" s="3" t="s">
        <v>460</v>
      </c>
      <c r="B735" s="3" t="s">
        <v>461</v>
      </c>
      <c r="C735" s="3" t="s">
        <v>80</v>
      </c>
      <c r="D735" s="3" t="s">
        <v>505</v>
      </c>
      <c r="E735" s="3" t="s">
        <v>529</v>
      </c>
      <c r="F735" s="3">
        <v>7.0</v>
      </c>
      <c r="G735" s="4">
        <v>-27.52734</v>
      </c>
      <c r="H735" s="4">
        <v>-48.51129</v>
      </c>
      <c r="I735" s="5">
        <v>10.0</v>
      </c>
      <c r="J735" s="5" t="s">
        <v>104</v>
      </c>
      <c r="K735" s="5" t="s">
        <v>104</v>
      </c>
      <c r="L735" s="3"/>
      <c r="M735" s="5">
        <v>12.0</v>
      </c>
      <c r="N735" s="5">
        <v>65.0</v>
      </c>
      <c r="O735" s="5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ht="15.75" customHeight="1">
      <c r="A736" s="3" t="s">
        <v>460</v>
      </c>
      <c r="B736" s="3" t="s">
        <v>461</v>
      </c>
      <c r="C736" s="3" t="s">
        <v>80</v>
      </c>
      <c r="D736" s="3" t="s">
        <v>505</v>
      </c>
      <c r="E736" s="3" t="s">
        <v>529</v>
      </c>
      <c r="F736" s="3">
        <v>7.0</v>
      </c>
      <c r="G736" s="4">
        <v>-27.52734</v>
      </c>
      <c r="H736" s="4">
        <v>-48.51129</v>
      </c>
      <c r="I736" s="5">
        <v>11.0</v>
      </c>
      <c r="J736" s="5" t="s">
        <v>104</v>
      </c>
      <c r="K736" s="5" t="s">
        <v>104</v>
      </c>
      <c r="L736" s="3"/>
      <c r="M736" s="5">
        <v>9.0</v>
      </c>
      <c r="N736" s="5">
        <v>43.0</v>
      </c>
      <c r="O736" s="5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ht="15.75" customHeight="1">
      <c r="A737" s="3" t="s">
        <v>460</v>
      </c>
      <c r="B737" s="3" t="s">
        <v>461</v>
      </c>
      <c r="C737" s="3" t="s">
        <v>80</v>
      </c>
      <c r="D737" s="3" t="s">
        <v>505</v>
      </c>
      <c r="E737" s="3" t="s">
        <v>529</v>
      </c>
      <c r="F737" s="3">
        <v>7.0</v>
      </c>
      <c r="G737" s="4">
        <v>-27.52734</v>
      </c>
      <c r="H737" s="4">
        <v>-48.51129</v>
      </c>
      <c r="I737" s="5">
        <v>12.0</v>
      </c>
      <c r="J737" s="5" t="s">
        <v>519</v>
      </c>
      <c r="K737" s="5" t="s">
        <v>519</v>
      </c>
      <c r="L737" s="3"/>
      <c r="M737" s="5">
        <v>12.0</v>
      </c>
      <c r="N737" s="5">
        <v>84.0</v>
      </c>
      <c r="O737" s="5" t="s">
        <v>535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ht="15.75" customHeight="1">
      <c r="A738" s="3" t="s">
        <v>460</v>
      </c>
      <c r="B738" s="3" t="s">
        <v>461</v>
      </c>
      <c r="C738" s="3" t="s">
        <v>80</v>
      </c>
      <c r="D738" s="3" t="s">
        <v>505</v>
      </c>
      <c r="E738" s="3" t="s">
        <v>529</v>
      </c>
      <c r="F738" s="3">
        <v>7.0</v>
      </c>
      <c r="G738" s="4">
        <v>-27.52734</v>
      </c>
      <c r="H738" s="4">
        <v>-48.51129</v>
      </c>
      <c r="I738" s="5">
        <v>13.0</v>
      </c>
      <c r="J738" s="5" t="s">
        <v>104</v>
      </c>
      <c r="K738" s="5" t="s">
        <v>104</v>
      </c>
      <c r="L738" s="3"/>
      <c r="M738" s="5">
        <v>7.0</v>
      </c>
      <c r="N738" s="5">
        <v>30.0</v>
      </c>
      <c r="O738" s="5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ht="15.75" customHeight="1">
      <c r="A739" s="3" t="s">
        <v>460</v>
      </c>
      <c r="B739" s="3" t="s">
        <v>461</v>
      </c>
      <c r="C739" s="3" t="s">
        <v>80</v>
      </c>
      <c r="D739" s="3" t="s">
        <v>505</v>
      </c>
      <c r="E739" s="3" t="s">
        <v>529</v>
      </c>
      <c r="F739" s="3">
        <v>7.0</v>
      </c>
      <c r="G739" s="4">
        <v>-27.52734</v>
      </c>
      <c r="H739" s="4">
        <v>-48.51129</v>
      </c>
      <c r="I739" s="5">
        <v>14.0</v>
      </c>
      <c r="J739" s="5" t="s">
        <v>153</v>
      </c>
      <c r="K739" s="5" t="s">
        <v>153</v>
      </c>
      <c r="L739" s="3"/>
      <c r="M739" s="5">
        <v>5.0</v>
      </c>
      <c r="N739" s="5">
        <v>17.0</v>
      </c>
      <c r="O739" s="5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ht="15.75" customHeight="1">
      <c r="A740" s="3" t="s">
        <v>460</v>
      </c>
      <c r="B740" s="3" t="s">
        <v>461</v>
      </c>
      <c r="C740" s="3" t="s">
        <v>80</v>
      </c>
      <c r="D740" s="3" t="s">
        <v>505</v>
      </c>
      <c r="E740" s="3" t="s">
        <v>529</v>
      </c>
      <c r="F740" s="3">
        <v>7.0</v>
      </c>
      <c r="G740" s="4">
        <v>-27.52734</v>
      </c>
      <c r="H740" s="4">
        <v>-48.51129</v>
      </c>
      <c r="I740" s="5">
        <v>15.0</v>
      </c>
      <c r="J740" s="20" t="s">
        <v>536</v>
      </c>
      <c r="K740" s="5" t="s">
        <v>315</v>
      </c>
      <c r="L740" s="3"/>
      <c r="M740" s="5"/>
      <c r="N740" s="5"/>
      <c r="O740" s="5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ht="15.75" customHeight="1">
      <c r="A741" s="3" t="s">
        <v>460</v>
      </c>
      <c r="B741" s="3" t="s">
        <v>461</v>
      </c>
      <c r="C741" s="3" t="s">
        <v>80</v>
      </c>
      <c r="D741" s="3" t="s">
        <v>505</v>
      </c>
      <c r="E741" s="3" t="s">
        <v>529</v>
      </c>
      <c r="F741" s="3">
        <v>7.0</v>
      </c>
      <c r="G741" s="4">
        <v>-27.52734</v>
      </c>
      <c r="H741" s="4">
        <v>-48.51129</v>
      </c>
      <c r="I741" s="5">
        <v>16.0</v>
      </c>
      <c r="J741" s="5" t="s">
        <v>104</v>
      </c>
      <c r="K741" s="5" t="s">
        <v>104</v>
      </c>
      <c r="L741" s="3"/>
      <c r="M741" s="5">
        <v>9.0</v>
      </c>
      <c r="N741" s="5" t="s">
        <v>537</v>
      </c>
      <c r="O741" s="5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ht="15.75" customHeight="1">
      <c r="A742" s="3" t="s">
        <v>460</v>
      </c>
      <c r="B742" s="3" t="s">
        <v>461</v>
      </c>
      <c r="C742" s="3" t="s">
        <v>80</v>
      </c>
      <c r="D742" s="3" t="s">
        <v>505</v>
      </c>
      <c r="E742" s="3" t="s">
        <v>529</v>
      </c>
      <c r="F742" s="3">
        <v>7.0</v>
      </c>
      <c r="G742" s="4">
        <v>-27.52734</v>
      </c>
      <c r="H742" s="4">
        <v>-48.51129</v>
      </c>
      <c r="I742" s="5">
        <v>17.0</v>
      </c>
      <c r="J742" s="5" t="s">
        <v>31</v>
      </c>
      <c r="K742" s="5" t="s">
        <v>31</v>
      </c>
      <c r="L742" s="3"/>
      <c r="M742" s="5">
        <v>8.0</v>
      </c>
      <c r="N742" s="5" t="s">
        <v>538</v>
      </c>
      <c r="O742" s="5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ht="15.75" customHeight="1">
      <c r="A743" s="3" t="s">
        <v>460</v>
      </c>
      <c r="B743" s="3" t="s">
        <v>461</v>
      </c>
      <c r="C743" s="3" t="s">
        <v>80</v>
      </c>
      <c r="D743" s="3" t="s">
        <v>505</v>
      </c>
      <c r="E743" s="3" t="s">
        <v>529</v>
      </c>
      <c r="F743" s="3">
        <v>7.0</v>
      </c>
      <c r="G743" s="4">
        <v>-27.52734</v>
      </c>
      <c r="H743" s="4">
        <v>-48.51129</v>
      </c>
      <c r="I743" s="5">
        <v>18.0</v>
      </c>
      <c r="J743" s="5" t="s">
        <v>153</v>
      </c>
      <c r="K743" s="5" t="s">
        <v>153</v>
      </c>
      <c r="L743" s="3"/>
      <c r="M743" s="5">
        <v>6.0</v>
      </c>
      <c r="N743" s="5">
        <v>17.0</v>
      </c>
      <c r="O743" s="5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ht="15.75" customHeight="1">
      <c r="A744" s="3" t="s">
        <v>460</v>
      </c>
      <c r="B744" s="3" t="s">
        <v>461</v>
      </c>
      <c r="C744" s="3" t="s">
        <v>80</v>
      </c>
      <c r="D744" s="3" t="s">
        <v>505</v>
      </c>
      <c r="E744" s="3" t="s">
        <v>529</v>
      </c>
      <c r="F744" s="3">
        <v>7.0</v>
      </c>
      <c r="G744" s="4">
        <v>-27.52734</v>
      </c>
      <c r="H744" s="4">
        <v>-48.51129</v>
      </c>
      <c r="I744" s="5">
        <v>19.0</v>
      </c>
      <c r="J744" s="5" t="s">
        <v>104</v>
      </c>
      <c r="K744" s="5" t="s">
        <v>104</v>
      </c>
      <c r="L744" s="3"/>
      <c r="M744" s="5">
        <v>10.0</v>
      </c>
      <c r="N744" s="5" t="s">
        <v>539</v>
      </c>
      <c r="O744" s="5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ht="15.75" customHeight="1">
      <c r="A745" s="3" t="s">
        <v>460</v>
      </c>
      <c r="B745" s="3" t="s">
        <v>461</v>
      </c>
      <c r="C745" s="3" t="s">
        <v>80</v>
      </c>
      <c r="D745" s="3" t="s">
        <v>505</v>
      </c>
      <c r="E745" s="3" t="s">
        <v>540</v>
      </c>
      <c r="F745" s="3">
        <v>8.0</v>
      </c>
      <c r="G745" s="4">
        <v>-27.52725</v>
      </c>
      <c r="H745" s="4">
        <v>-48.51099</v>
      </c>
      <c r="I745" s="5">
        <v>1.0</v>
      </c>
      <c r="J745" s="5" t="s">
        <v>421</v>
      </c>
      <c r="K745" s="5" t="s">
        <v>421</v>
      </c>
      <c r="L745" s="3"/>
      <c r="M745" s="5">
        <v>4.0</v>
      </c>
      <c r="N745" s="5">
        <v>17.0</v>
      </c>
      <c r="O745" s="5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ht="15.75" customHeight="1">
      <c r="A746" s="3" t="s">
        <v>460</v>
      </c>
      <c r="B746" s="3" t="s">
        <v>461</v>
      </c>
      <c r="C746" s="3" t="s">
        <v>80</v>
      </c>
      <c r="D746" s="3" t="s">
        <v>505</v>
      </c>
      <c r="E746" s="3" t="s">
        <v>540</v>
      </c>
      <c r="F746" s="3">
        <v>8.0</v>
      </c>
      <c r="G746" s="4">
        <v>-27.52725</v>
      </c>
      <c r="H746" s="4">
        <v>-48.51099</v>
      </c>
      <c r="I746" s="5">
        <v>2.0</v>
      </c>
      <c r="J746" s="5" t="s">
        <v>104</v>
      </c>
      <c r="K746" s="5" t="s">
        <v>104</v>
      </c>
      <c r="L746" s="3"/>
      <c r="M746" s="5">
        <v>7.0</v>
      </c>
      <c r="N746" s="5" t="s">
        <v>541</v>
      </c>
      <c r="O746" s="5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ht="15.75" customHeight="1">
      <c r="A747" s="3" t="s">
        <v>460</v>
      </c>
      <c r="B747" s="3" t="s">
        <v>461</v>
      </c>
      <c r="C747" s="3" t="s">
        <v>80</v>
      </c>
      <c r="D747" s="3" t="s">
        <v>505</v>
      </c>
      <c r="E747" s="3" t="s">
        <v>540</v>
      </c>
      <c r="F747" s="3">
        <v>8.0</v>
      </c>
      <c r="G747" s="4">
        <v>-27.52725</v>
      </c>
      <c r="H747" s="4">
        <v>-48.51099</v>
      </c>
      <c r="I747" s="5">
        <v>3.0</v>
      </c>
      <c r="J747" s="5" t="s">
        <v>519</v>
      </c>
      <c r="K747" s="5" t="s">
        <v>519</v>
      </c>
      <c r="L747" s="3"/>
      <c r="M747" s="5">
        <v>8.0</v>
      </c>
      <c r="N747" s="5" t="s">
        <v>542</v>
      </c>
      <c r="O747" s="5" t="s">
        <v>543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ht="15.75" customHeight="1">
      <c r="A748" s="3" t="s">
        <v>460</v>
      </c>
      <c r="B748" s="3" t="s">
        <v>461</v>
      </c>
      <c r="C748" s="3" t="s">
        <v>80</v>
      </c>
      <c r="D748" s="3" t="s">
        <v>505</v>
      </c>
      <c r="E748" s="3" t="s">
        <v>540</v>
      </c>
      <c r="F748" s="3">
        <v>8.0</v>
      </c>
      <c r="G748" s="4">
        <v>-27.52725</v>
      </c>
      <c r="H748" s="4">
        <v>-48.51099</v>
      </c>
      <c r="I748" s="5">
        <v>4.0</v>
      </c>
      <c r="J748" s="5" t="s">
        <v>104</v>
      </c>
      <c r="K748" s="5" t="s">
        <v>104</v>
      </c>
      <c r="L748" s="3"/>
      <c r="M748" s="5">
        <v>7.0</v>
      </c>
      <c r="N748" s="5">
        <v>29.0</v>
      </c>
      <c r="O748" s="5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ht="15.75" customHeight="1">
      <c r="A749" s="3" t="s">
        <v>460</v>
      </c>
      <c r="B749" s="3" t="s">
        <v>461</v>
      </c>
      <c r="C749" s="3" t="s">
        <v>80</v>
      </c>
      <c r="D749" s="3" t="s">
        <v>505</v>
      </c>
      <c r="E749" s="3" t="s">
        <v>540</v>
      </c>
      <c r="F749" s="3">
        <v>8.0</v>
      </c>
      <c r="G749" s="4">
        <v>-27.52725</v>
      </c>
      <c r="H749" s="4">
        <v>-48.51099</v>
      </c>
      <c r="I749" s="5">
        <v>5.0</v>
      </c>
      <c r="J749" s="5" t="s">
        <v>104</v>
      </c>
      <c r="K749" s="5" t="s">
        <v>104</v>
      </c>
      <c r="L749" s="3"/>
      <c r="M749" s="5">
        <v>7.0</v>
      </c>
      <c r="N749" s="5" t="s">
        <v>544</v>
      </c>
      <c r="O749" s="5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ht="15.75" customHeight="1">
      <c r="A750" s="3" t="s">
        <v>460</v>
      </c>
      <c r="B750" s="3" t="s">
        <v>461</v>
      </c>
      <c r="C750" s="3" t="s">
        <v>80</v>
      </c>
      <c r="D750" s="3" t="s">
        <v>505</v>
      </c>
      <c r="E750" s="3" t="s">
        <v>540</v>
      </c>
      <c r="F750" s="3">
        <v>8.0</v>
      </c>
      <c r="G750" s="4">
        <v>-27.52725</v>
      </c>
      <c r="H750" s="4">
        <v>-48.51099</v>
      </c>
      <c r="I750" s="5">
        <v>6.0</v>
      </c>
      <c r="J750" s="5" t="s">
        <v>24</v>
      </c>
      <c r="K750" s="5" t="s">
        <v>24</v>
      </c>
      <c r="L750" s="3"/>
      <c r="M750" s="5">
        <v>5.0</v>
      </c>
      <c r="N750" s="5">
        <v>17.0</v>
      </c>
      <c r="O750" s="5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ht="15.75" customHeight="1">
      <c r="A751" s="3" t="s">
        <v>460</v>
      </c>
      <c r="B751" s="3" t="s">
        <v>461</v>
      </c>
      <c r="C751" s="3" t="s">
        <v>80</v>
      </c>
      <c r="D751" s="3" t="s">
        <v>505</v>
      </c>
      <c r="E751" s="3" t="s">
        <v>540</v>
      </c>
      <c r="F751" s="3">
        <v>8.0</v>
      </c>
      <c r="G751" s="4">
        <v>-27.52725</v>
      </c>
      <c r="H751" s="4">
        <v>-48.51099</v>
      </c>
      <c r="I751" s="5">
        <v>7.0</v>
      </c>
      <c r="J751" s="5" t="s">
        <v>24</v>
      </c>
      <c r="K751" s="5" t="s">
        <v>24</v>
      </c>
      <c r="L751" s="3"/>
      <c r="M751" s="5">
        <v>8.0</v>
      </c>
      <c r="N751" s="5">
        <v>27.0</v>
      </c>
      <c r="O751" s="5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ht="15.75" customHeight="1">
      <c r="A752" s="3" t="s">
        <v>460</v>
      </c>
      <c r="B752" s="3" t="s">
        <v>461</v>
      </c>
      <c r="C752" s="3" t="s">
        <v>80</v>
      </c>
      <c r="D752" s="3" t="s">
        <v>505</v>
      </c>
      <c r="E752" s="3" t="s">
        <v>540</v>
      </c>
      <c r="F752" s="3">
        <v>8.0</v>
      </c>
      <c r="G752" s="4">
        <v>-27.52725</v>
      </c>
      <c r="H752" s="4">
        <v>-48.51099</v>
      </c>
      <c r="I752" s="5">
        <v>8.0</v>
      </c>
      <c r="J752" s="5" t="s">
        <v>104</v>
      </c>
      <c r="K752" s="5" t="s">
        <v>104</v>
      </c>
      <c r="L752" s="3"/>
      <c r="M752" s="5">
        <v>7.0</v>
      </c>
      <c r="N752" s="5">
        <v>19.0</v>
      </c>
      <c r="O752" s="5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ht="15.75" customHeight="1">
      <c r="A753" s="3" t="s">
        <v>460</v>
      </c>
      <c r="B753" s="3" t="s">
        <v>461</v>
      </c>
      <c r="C753" s="3" t="s">
        <v>80</v>
      </c>
      <c r="D753" s="3" t="s">
        <v>505</v>
      </c>
      <c r="E753" s="3" t="s">
        <v>540</v>
      </c>
      <c r="F753" s="3">
        <v>8.0</v>
      </c>
      <c r="G753" s="4">
        <v>-27.52725</v>
      </c>
      <c r="H753" s="4">
        <v>-48.51099</v>
      </c>
      <c r="I753" s="5">
        <v>9.0</v>
      </c>
      <c r="J753" s="5" t="s">
        <v>24</v>
      </c>
      <c r="K753" s="5" t="s">
        <v>24</v>
      </c>
      <c r="L753" s="3"/>
      <c r="M753" s="5">
        <v>10.0</v>
      </c>
      <c r="N753" s="5">
        <v>59.0</v>
      </c>
      <c r="O753" s="5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ht="15.75" customHeight="1">
      <c r="A754" s="3" t="s">
        <v>460</v>
      </c>
      <c r="B754" s="3" t="s">
        <v>461</v>
      </c>
      <c r="C754" s="3" t="s">
        <v>80</v>
      </c>
      <c r="D754" s="3" t="s">
        <v>505</v>
      </c>
      <c r="E754" s="3" t="s">
        <v>540</v>
      </c>
      <c r="F754" s="3">
        <v>8.0</v>
      </c>
      <c r="G754" s="4">
        <v>-27.52725</v>
      </c>
      <c r="H754" s="4">
        <v>-48.51099</v>
      </c>
      <c r="I754" s="5">
        <v>10.0</v>
      </c>
      <c r="J754" s="5" t="s">
        <v>37</v>
      </c>
      <c r="K754" s="5" t="s">
        <v>37</v>
      </c>
      <c r="L754" s="3"/>
      <c r="M754" s="5">
        <v>11.0</v>
      </c>
      <c r="N754" s="5">
        <v>69.0</v>
      </c>
      <c r="O754" s="5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ht="15.75" customHeight="1">
      <c r="A755" s="3" t="s">
        <v>460</v>
      </c>
      <c r="B755" s="3" t="s">
        <v>461</v>
      </c>
      <c r="C755" s="3" t="s">
        <v>80</v>
      </c>
      <c r="D755" s="3" t="s">
        <v>505</v>
      </c>
      <c r="E755" s="3" t="s">
        <v>540</v>
      </c>
      <c r="F755" s="3">
        <v>8.0</v>
      </c>
      <c r="G755" s="4">
        <v>-27.52725</v>
      </c>
      <c r="H755" s="4">
        <v>-48.51099</v>
      </c>
      <c r="I755" s="5">
        <v>11.0</v>
      </c>
      <c r="J755" s="5" t="s">
        <v>104</v>
      </c>
      <c r="K755" s="5" t="s">
        <v>104</v>
      </c>
      <c r="L755" s="3"/>
      <c r="M755" s="5">
        <v>8.0</v>
      </c>
      <c r="N755" s="5" t="s">
        <v>545</v>
      </c>
      <c r="O755" s="5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ht="15.75" customHeight="1">
      <c r="A756" s="3" t="s">
        <v>460</v>
      </c>
      <c r="B756" s="3" t="s">
        <v>461</v>
      </c>
      <c r="C756" s="3" t="s">
        <v>80</v>
      </c>
      <c r="D756" s="3" t="s">
        <v>505</v>
      </c>
      <c r="E756" s="3" t="s">
        <v>540</v>
      </c>
      <c r="F756" s="3">
        <v>8.0</v>
      </c>
      <c r="G756" s="4">
        <v>-27.52725</v>
      </c>
      <c r="H756" s="4">
        <v>-48.51099</v>
      </c>
      <c r="I756" s="5">
        <v>12.0</v>
      </c>
      <c r="J756" s="5" t="s">
        <v>104</v>
      </c>
      <c r="K756" s="5" t="s">
        <v>104</v>
      </c>
      <c r="L756" s="3"/>
      <c r="M756" s="5">
        <v>8.0</v>
      </c>
      <c r="N756" s="5">
        <v>20.0</v>
      </c>
      <c r="O756" s="5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ht="15.75" customHeight="1">
      <c r="A757" s="3" t="s">
        <v>460</v>
      </c>
      <c r="B757" s="3" t="s">
        <v>461</v>
      </c>
      <c r="C757" s="3" t="s">
        <v>80</v>
      </c>
      <c r="D757" s="3" t="s">
        <v>505</v>
      </c>
      <c r="E757" s="3" t="s">
        <v>540</v>
      </c>
      <c r="F757" s="3">
        <v>8.0</v>
      </c>
      <c r="G757" s="4">
        <v>-27.52725</v>
      </c>
      <c r="H757" s="4">
        <v>-48.51099</v>
      </c>
      <c r="I757" s="5">
        <v>13.0</v>
      </c>
      <c r="J757" s="5" t="s">
        <v>104</v>
      </c>
      <c r="K757" s="5" t="s">
        <v>104</v>
      </c>
      <c r="L757" s="3"/>
      <c r="M757" s="5">
        <v>8.0</v>
      </c>
      <c r="N757" s="5" t="s">
        <v>546</v>
      </c>
      <c r="O757" s="5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ht="15.75" customHeight="1">
      <c r="A758" s="3" t="s">
        <v>460</v>
      </c>
      <c r="B758" s="3" t="s">
        <v>461</v>
      </c>
      <c r="C758" s="3" t="s">
        <v>80</v>
      </c>
      <c r="D758" s="3" t="s">
        <v>505</v>
      </c>
      <c r="E758" s="3" t="s">
        <v>540</v>
      </c>
      <c r="F758" s="3">
        <v>8.0</v>
      </c>
      <c r="G758" s="4">
        <v>-27.52725</v>
      </c>
      <c r="H758" s="4">
        <v>-48.51099</v>
      </c>
      <c r="I758" s="5">
        <v>14.0</v>
      </c>
      <c r="J758" s="5" t="s">
        <v>192</v>
      </c>
      <c r="K758" s="5" t="s">
        <v>192</v>
      </c>
      <c r="L758" s="3"/>
      <c r="M758" s="5">
        <v>7.0</v>
      </c>
      <c r="N758" s="5" t="s">
        <v>547</v>
      </c>
      <c r="O758" s="5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ht="15.75" customHeight="1">
      <c r="A759" s="3" t="s">
        <v>460</v>
      </c>
      <c r="B759" s="3" t="s">
        <v>461</v>
      </c>
      <c r="C759" s="3" t="s">
        <v>80</v>
      </c>
      <c r="D759" s="3" t="s">
        <v>505</v>
      </c>
      <c r="E759" s="3" t="s">
        <v>540</v>
      </c>
      <c r="F759" s="3">
        <v>8.0</v>
      </c>
      <c r="G759" s="4">
        <v>-27.52725</v>
      </c>
      <c r="H759" s="4">
        <v>-48.51099</v>
      </c>
      <c r="I759" s="5">
        <v>15.0</v>
      </c>
      <c r="J759" s="5" t="s">
        <v>104</v>
      </c>
      <c r="K759" s="5" t="s">
        <v>104</v>
      </c>
      <c r="L759" s="3"/>
      <c r="M759" s="5">
        <v>7.0</v>
      </c>
      <c r="N759" s="5" t="s">
        <v>548</v>
      </c>
      <c r="O759" s="5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ht="15.75" customHeight="1">
      <c r="A760" s="3" t="s">
        <v>460</v>
      </c>
      <c r="B760" s="3" t="s">
        <v>461</v>
      </c>
      <c r="C760" s="3" t="s">
        <v>80</v>
      </c>
      <c r="D760" s="3" t="s">
        <v>505</v>
      </c>
      <c r="E760" s="3" t="s">
        <v>540</v>
      </c>
      <c r="F760" s="3">
        <v>8.0</v>
      </c>
      <c r="G760" s="4">
        <v>-27.52725</v>
      </c>
      <c r="H760" s="4">
        <v>-48.51099</v>
      </c>
      <c r="I760" s="5">
        <v>16.0</v>
      </c>
      <c r="J760" s="5" t="s">
        <v>104</v>
      </c>
      <c r="K760" s="5" t="s">
        <v>104</v>
      </c>
      <c r="L760" s="3"/>
      <c r="M760" s="5">
        <v>8.5</v>
      </c>
      <c r="N760" s="5">
        <v>28.0</v>
      </c>
      <c r="O760" s="5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ht="15.75" customHeight="1">
      <c r="A761" s="3" t="s">
        <v>460</v>
      </c>
      <c r="B761" s="3" t="s">
        <v>461</v>
      </c>
      <c r="C761" s="3" t="s">
        <v>80</v>
      </c>
      <c r="D761" s="3" t="s">
        <v>505</v>
      </c>
      <c r="E761" s="3" t="s">
        <v>540</v>
      </c>
      <c r="F761" s="3">
        <v>8.0</v>
      </c>
      <c r="G761" s="4">
        <v>-27.52725</v>
      </c>
      <c r="H761" s="4">
        <v>-48.51099</v>
      </c>
      <c r="I761" s="5">
        <v>17.0</v>
      </c>
      <c r="J761" s="5" t="s">
        <v>104</v>
      </c>
      <c r="K761" s="5" t="s">
        <v>104</v>
      </c>
      <c r="L761" s="3"/>
      <c r="M761" s="5">
        <v>8.0</v>
      </c>
      <c r="N761" s="5" t="s">
        <v>549</v>
      </c>
      <c r="O761" s="5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ht="15.75" customHeight="1">
      <c r="A762" s="3" t="s">
        <v>460</v>
      </c>
      <c r="B762" s="3" t="s">
        <v>461</v>
      </c>
      <c r="C762" s="3" t="s">
        <v>80</v>
      </c>
      <c r="D762" s="3" t="s">
        <v>505</v>
      </c>
      <c r="E762" s="3" t="s">
        <v>540</v>
      </c>
      <c r="F762" s="3">
        <v>8.0</v>
      </c>
      <c r="G762" s="4">
        <v>-27.52725</v>
      </c>
      <c r="H762" s="4">
        <v>-48.51099</v>
      </c>
      <c r="I762" s="5">
        <v>18.0</v>
      </c>
      <c r="J762" s="5" t="s">
        <v>111</v>
      </c>
      <c r="K762" s="5" t="s">
        <v>111</v>
      </c>
      <c r="L762" s="3"/>
      <c r="M762" s="5">
        <v>20.0</v>
      </c>
      <c r="N762" s="5">
        <v>218.0</v>
      </c>
      <c r="O762" s="5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ht="15.75" customHeight="1">
      <c r="A763" s="3" t="s">
        <v>460</v>
      </c>
      <c r="B763" s="3" t="s">
        <v>461</v>
      </c>
      <c r="C763" s="3" t="s">
        <v>80</v>
      </c>
      <c r="D763" s="3" t="s">
        <v>505</v>
      </c>
      <c r="E763" s="3" t="s">
        <v>540</v>
      </c>
      <c r="F763" s="3">
        <v>8.0</v>
      </c>
      <c r="G763" s="4">
        <v>-27.52725</v>
      </c>
      <c r="H763" s="4">
        <v>-48.51099</v>
      </c>
      <c r="I763" s="5">
        <v>19.0</v>
      </c>
      <c r="J763" s="5" t="s">
        <v>24</v>
      </c>
      <c r="K763" s="5" t="s">
        <v>24</v>
      </c>
      <c r="L763" s="3"/>
      <c r="M763" s="5">
        <v>9.0</v>
      </c>
      <c r="N763" s="5" t="s">
        <v>550</v>
      </c>
      <c r="O763" s="5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ht="15.75" customHeight="1">
      <c r="A764" s="3" t="s">
        <v>460</v>
      </c>
      <c r="B764" s="3" t="s">
        <v>461</v>
      </c>
      <c r="C764" s="3" t="s">
        <v>80</v>
      </c>
      <c r="D764" s="3" t="s">
        <v>505</v>
      </c>
      <c r="E764" s="3" t="s">
        <v>540</v>
      </c>
      <c r="F764" s="3">
        <v>8.0</v>
      </c>
      <c r="G764" s="4">
        <v>-27.52725</v>
      </c>
      <c r="H764" s="4">
        <v>-48.51099</v>
      </c>
      <c r="I764" s="5">
        <v>20.0</v>
      </c>
      <c r="J764" s="5" t="s">
        <v>104</v>
      </c>
      <c r="K764" s="5" t="s">
        <v>104</v>
      </c>
      <c r="L764" s="3"/>
      <c r="M764" s="5">
        <v>6.0</v>
      </c>
      <c r="N764" s="5">
        <v>20.0</v>
      </c>
      <c r="O764" s="5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ht="15.75" customHeight="1">
      <c r="A765" s="3" t="s">
        <v>460</v>
      </c>
      <c r="B765" s="3" t="s">
        <v>461</v>
      </c>
      <c r="C765" s="3" t="s">
        <v>80</v>
      </c>
      <c r="D765" s="3" t="s">
        <v>505</v>
      </c>
      <c r="E765" s="3" t="s">
        <v>540</v>
      </c>
      <c r="F765" s="3">
        <v>8.0</v>
      </c>
      <c r="G765" s="4">
        <v>-27.52725</v>
      </c>
      <c r="H765" s="4">
        <v>-48.51099</v>
      </c>
      <c r="I765" s="5">
        <v>21.0</v>
      </c>
      <c r="J765" s="5" t="s">
        <v>499</v>
      </c>
      <c r="K765" s="5" t="s">
        <v>499</v>
      </c>
      <c r="L765" s="3"/>
      <c r="M765" s="5">
        <v>15.0</v>
      </c>
      <c r="N765" s="5">
        <v>78.0</v>
      </c>
      <c r="O765" s="5" t="s">
        <v>551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ht="15.75" customHeight="1">
      <c r="A766" s="3" t="s">
        <v>460</v>
      </c>
      <c r="B766" s="3" t="s">
        <v>461</v>
      </c>
      <c r="C766" s="3" t="s">
        <v>80</v>
      </c>
      <c r="D766" s="3" t="s">
        <v>505</v>
      </c>
      <c r="E766" s="3" t="s">
        <v>540</v>
      </c>
      <c r="F766" s="3">
        <v>8.0</v>
      </c>
      <c r="G766" s="4">
        <v>-27.52725</v>
      </c>
      <c r="H766" s="4">
        <v>-48.51099</v>
      </c>
      <c r="I766" s="5">
        <v>22.0</v>
      </c>
      <c r="J766" s="5" t="s">
        <v>104</v>
      </c>
      <c r="K766" s="5" t="s">
        <v>104</v>
      </c>
      <c r="L766" s="3"/>
      <c r="M766" s="5">
        <v>10.0</v>
      </c>
      <c r="N766" s="5">
        <v>18.0</v>
      </c>
      <c r="O766" s="5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ht="15.75" customHeight="1">
      <c r="A767" s="3" t="s">
        <v>460</v>
      </c>
      <c r="B767" s="3" t="s">
        <v>461</v>
      </c>
      <c r="C767" s="3" t="s">
        <v>80</v>
      </c>
      <c r="D767" s="3" t="s">
        <v>505</v>
      </c>
      <c r="E767" s="3" t="s">
        <v>540</v>
      </c>
      <c r="F767" s="3">
        <v>8.0</v>
      </c>
      <c r="G767" s="4">
        <v>-27.52725</v>
      </c>
      <c r="H767" s="4">
        <v>-48.51099</v>
      </c>
      <c r="I767" s="5">
        <v>23.0</v>
      </c>
      <c r="J767" s="5" t="s">
        <v>525</v>
      </c>
      <c r="K767" s="5" t="s">
        <v>525</v>
      </c>
      <c r="L767" s="3" t="s">
        <v>64</v>
      </c>
      <c r="M767" s="5">
        <v>9.0</v>
      </c>
      <c r="N767" s="5">
        <v>46.0</v>
      </c>
      <c r="O767" s="5" t="s">
        <v>552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ht="15.75" customHeight="1">
      <c r="A768" s="3" t="s">
        <v>460</v>
      </c>
      <c r="B768" s="3" t="s">
        <v>461</v>
      </c>
      <c r="C768" s="3" t="s">
        <v>80</v>
      </c>
      <c r="D768" s="3" t="s">
        <v>505</v>
      </c>
      <c r="E768" s="3" t="s">
        <v>540</v>
      </c>
      <c r="F768" s="3">
        <v>8.0</v>
      </c>
      <c r="G768" s="4">
        <v>-27.52725</v>
      </c>
      <c r="H768" s="4">
        <v>-48.51099</v>
      </c>
      <c r="I768" s="5">
        <v>24.0</v>
      </c>
      <c r="J768" s="5" t="s">
        <v>329</v>
      </c>
      <c r="K768" s="5" t="s">
        <v>329</v>
      </c>
      <c r="L768" s="3"/>
      <c r="M768" s="5">
        <v>8.0</v>
      </c>
      <c r="N768" s="5" t="s">
        <v>553</v>
      </c>
      <c r="O768" s="5" t="s">
        <v>554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ht="15.75" customHeight="1">
      <c r="A769" s="3" t="s">
        <v>460</v>
      </c>
      <c r="B769" s="3" t="s">
        <v>461</v>
      </c>
      <c r="C769" s="3" t="s">
        <v>80</v>
      </c>
      <c r="D769" s="3" t="s">
        <v>505</v>
      </c>
      <c r="E769" s="3" t="s">
        <v>540</v>
      </c>
      <c r="F769" s="3">
        <v>8.0</v>
      </c>
      <c r="G769" s="4">
        <v>-27.52725</v>
      </c>
      <c r="H769" s="4">
        <v>-48.51099</v>
      </c>
      <c r="I769" s="5">
        <v>25.0</v>
      </c>
      <c r="J769" s="5" t="s">
        <v>104</v>
      </c>
      <c r="K769" s="5" t="s">
        <v>104</v>
      </c>
      <c r="L769" s="3"/>
      <c r="M769" s="5">
        <v>7.0</v>
      </c>
      <c r="N769" s="5">
        <v>23.0</v>
      </c>
      <c r="O769" s="5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ht="15.75" customHeight="1">
      <c r="A770" s="3" t="s">
        <v>460</v>
      </c>
      <c r="B770" s="3" t="s">
        <v>461</v>
      </c>
      <c r="C770" s="3" t="s">
        <v>80</v>
      </c>
      <c r="D770" s="3" t="s">
        <v>505</v>
      </c>
      <c r="E770" s="3" t="s">
        <v>540</v>
      </c>
      <c r="F770" s="3">
        <v>8.0</v>
      </c>
      <c r="G770" s="4">
        <v>-27.52725</v>
      </c>
      <c r="H770" s="4">
        <v>-48.51099</v>
      </c>
      <c r="I770" s="5">
        <v>26.0</v>
      </c>
      <c r="J770" s="5" t="s">
        <v>499</v>
      </c>
      <c r="K770" s="5" t="s">
        <v>499</v>
      </c>
      <c r="L770" s="3"/>
      <c r="M770" s="5">
        <v>8.0</v>
      </c>
      <c r="N770" s="5">
        <v>115.0</v>
      </c>
      <c r="O770" s="5" t="s">
        <v>555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ht="15.75" customHeight="1">
      <c r="A771" s="3" t="s">
        <v>460</v>
      </c>
      <c r="B771" s="3" t="s">
        <v>461</v>
      </c>
      <c r="C771" s="3" t="s">
        <v>80</v>
      </c>
      <c r="D771" s="3" t="s">
        <v>505</v>
      </c>
      <c r="E771" s="3" t="s">
        <v>540</v>
      </c>
      <c r="F771" s="3">
        <v>8.0</v>
      </c>
      <c r="G771" s="4">
        <v>-27.52725</v>
      </c>
      <c r="H771" s="4">
        <v>-48.51099</v>
      </c>
      <c r="I771" s="5">
        <v>27.0</v>
      </c>
      <c r="J771" s="5" t="s">
        <v>104</v>
      </c>
      <c r="K771" s="5" t="s">
        <v>104</v>
      </c>
      <c r="L771" s="3"/>
      <c r="M771" s="5">
        <v>6.0</v>
      </c>
      <c r="N771" s="5">
        <v>15.0</v>
      </c>
      <c r="O771" s="5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ht="15.75" customHeight="1">
      <c r="A772" s="3" t="s">
        <v>460</v>
      </c>
      <c r="B772" s="3" t="s">
        <v>461</v>
      </c>
      <c r="C772" s="3" t="s">
        <v>80</v>
      </c>
      <c r="D772" s="3" t="s">
        <v>505</v>
      </c>
      <c r="E772" s="3" t="s">
        <v>540</v>
      </c>
      <c r="F772" s="3">
        <v>8.0</v>
      </c>
      <c r="G772" s="4">
        <v>-27.52725</v>
      </c>
      <c r="H772" s="4">
        <v>-48.51099</v>
      </c>
      <c r="I772" s="5">
        <v>28.0</v>
      </c>
      <c r="J772" s="5" t="s">
        <v>104</v>
      </c>
      <c r="K772" s="5" t="s">
        <v>104</v>
      </c>
      <c r="L772" s="3"/>
      <c r="M772" s="5">
        <v>8.0</v>
      </c>
      <c r="N772" s="5">
        <v>20.0</v>
      </c>
      <c r="O772" s="5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ht="15.75" customHeight="1">
      <c r="A773" s="3" t="s">
        <v>460</v>
      </c>
      <c r="B773" s="3" t="s">
        <v>461</v>
      </c>
      <c r="C773" s="3" t="s">
        <v>80</v>
      </c>
      <c r="D773" s="3" t="s">
        <v>505</v>
      </c>
      <c r="E773" s="3" t="s">
        <v>540</v>
      </c>
      <c r="F773" s="3">
        <v>8.0</v>
      </c>
      <c r="G773" s="4">
        <v>-27.52725</v>
      </c>
      <c r="H773" s="4">
        <v>-48.51099</v>
      </c>
      <c r="I773" s="5">
        <v>29.0</v>
      </c>
      <c r="J773" s="5" t="s">
        <v>104</v>
      </c>
      <c r="K773" s="5" t="s">
        <v>104</v>
      </c>
      <c r="L773" s="3"/>
      <c r="M773" s="5">
        <v>6.0</v>
      </c>
      <c r="N773" s="5" t="s">
        <v>556</v>
      </c>
      <c r="O773" s="5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ht="15.75" customHeight="1">
      <c r="A774" s="3" t="s">
        <v>460</v>
      </c>
      <c r="B774" s="3" t="s">
        <v>461</v>
      </c>
      <c r="C774" s="3" t="s">
        <v>80</v>
      </c>
      <c r="D774" s="3" t="s">
        <v>505</v>
      </c>
      <c r="E774" s="3" t="s">
        <v>540</v>
      </c>
      <c r="F774" s="3">
        <v>8.0</v>
      </c>
      <c r="G774" s="4">
        <v>-27.52725</v>
      </c>
      <c r="H774" s="4">
        <v>-48.51099</v>
      </c>
      <c r="I774" s="5">
        <v>30.0</v>
      </c>
      <c r="J774" s="5" t="s">
        <v>104</v>
      </c>
      <c r="K774" s="5" t="s">
        <v>104</v>
      </c>
      <c r="L774" s="3"/>
      <c r="M774" s="5">
        <v>6.5</v>
      </c>
      <c r="N774" s="5">
        <v>15.0</v>
      </c>
      <c r="O774" s="5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ht="15.75" customHeight="1">
      <c r="A775" s="3" t="s">
        <v>460</v>
      </c>
      <c r="B775" s="3" t="s">
        <v>461</v>
      </c>
      <c r="C775" s="3" t="s">
        <v>80</v>
      </c>
      <c r="D775" s="3" t="s">
        <v>505</v>
      </c>
      <c r="E775" s="3" t="s">
        <v>540</v>
      </c>
      <c r="F775" s="3">
        <v>8.0</v>
      </c>
      <c r="G775" s="4">
        <v>-27.52725</v>
      </c>
      <c r="H775" s="4">
        <v>-48.51099</v>
      </c>
      <c r="I775" s="5">
        <v>31.0</v>
      </c>
      <c r="J775" s="5" t="s">
        <v>153</v>
      </c>
      <c r="K775" s="5" t="s">
        <v>153</v>
      </c>
      <c r="L775" s="3"/>
      <c r="M775" s="5">
        <v>8.0</v>
      </c>
      <c r="N775" s="5">
        <v>29.0</v>
      </c>
      <c r="O775" s="5" t="s">
        <v>557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ht="15.75" customHeight="1">
      <c r="A776" s="3" t="s">
        <v>558</v>
      </c>
      <c r="B776" s="3" t="s">
        <v>559</v>
      </c>
      <c r="C776" s="3" t="s">
        <v>19</v>
      </c>
      <c r="D776" s="3" t="s">
        <v>560</v>
      </c>
      <c r="E776" s="3" t="s">
        <v>561</v>
      </c>
      <c r="F776" s="3">
        <v>1.0</v>
      </c>
      <c r="G776" s="4">
        <v>-27.65367</v>
      </c>
      <c r="H776" s="4">
        <v>-48.49631</v>
      </c>
      <c r="I776" s="5">
        <v>1.0</v>
      </c>
      <c r="J776" s="5" t="s">
        <v>187</v>
      </c>
      <c r="K776" s="5" t="s">
        <v>187</v>
      </c>
      <c r="L776" s="3"/>
      <c r="M776" s="5">
        <v>6.0</v>
      </c>
      <c r="N776" s="5" t="s">
        <v>562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ht="15.75" customHeight="1">
      <c r="A777" s="3" t="s">
        <v>558</v>
      </c>
      <c r="B777" s="3" t="s">
        <v>559</v>
      </c>
      <c r="C777" s="3" t="s">
        <v>19</v>
      </c>
      <c r="D777" s="3" t="s">
        <v>560</v>
      </c>
      <c r="E777" s="3" t="s">
        <v>561</v>
      </c>
      <c r="F777" s="3">
        <v>1.0</v>
      </c>
      <c r="G777" s="4">
        <v>-27.65367</v>
      </c>
      <c r="H777" s="4">
        <v>-48.49631</v>
      </c>
      <c r="I777" s="5">
        <v>2.0</v>
      </c>
      <c r="J777" s="5" t="s">
        <v>104</v>
      </c>
      <c r="K777" s="5" t="s">
        <v>104</v>
      </c>
      <c r="L777" s="3"/>
      <c r="M777" s="5">
        <v>14.0</v>
      </c>
      <c r="N777" s="5" t="s">
        <v>563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ht="15.75" customHeight="1">
      <c r="A778" s="3" t="s">
        <v>558</v>
      </c>
      <c r="B778" s="3" t="s">
        <v>559</v>
      </c>
      <c r="C778" s="3" t="s">
        <v>19</v>
      </c>
      <c r="D778" s="3" t="s">
        <v>560</v>
      </c>
      <c r="E778" s="3" t="s">
        <v>561</v>
      </c>
      <c r="F778" s="3">
        <v>1.0</v>
      </c>
      <c r="G778" s="4">
        <v>-27.65367</v>
      </c>
      <c r="H778" s="4">
        <v>-48.49631</v>
      </c>
      <c r="I778" s="5">
        <v>3.0</v>
      </c>
      <c r="J778" s="5" t="s">
        <v>154</v>
      </c>
      <c r="K778" s="5" t="s">
        <v>154</v>
      </c>
      <c r="L778" s="3"/>
      <c r="M778" s="5">
        <v>8.0</v>
      </c>
      <c r="N778" s="5">
        <v>29.0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ht="15.75" customHeight="1">
      <c r="A779" s="3" t="s">
        <v>558</v>
      </c>
      <c r="B779" s="3" t="s">
        <v>559</v>
      </c>
      <c r="C779" s="3" t="s">
        <v>19</v>
      </c>
      <c r="D779" s="3" t="s">
        <v>560</v>
      </c>
      <c r="E779" s="3" t="s">
        <v>561</v>
      </c>
      <c r="F779" s="3">
        <v>1.0</v>
      </c>
      <c r="G779" s="4">
        <v>-27.65367</v>
      </c>
      <c r="H779" s="4">
        <v>-48.49631</v>
      </c>
      <c r="I779" s="5">
        <v>4.0</v>
      </c>
      <c r="J779" s="5" t="s">
        <v>104</v>
      </c>
      <c r="K779" s="5" t="s">
        <v>104</v>
      </c>
      <c r="L779" s="3"/>
      <c r="M779" s="5">
        <v>12.0</v>
      </c>
      <c r="N779" s="5">
        <v>41.0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ht="15.75" customHeight="1">
      <c r="A780" s="3" t="s">
        <v>558</v>
      </c>
      <c r="B780" s="3" t="s">
        <v>559</v>
      </c>
      <c r="C780" s="3" t="s">
        <v>19</v>
      </c>
      <c r="D780" s="3" t="s">
        <v>560</v>
      </c>
      <c r="E780" s="3" t="s">
        <v>561</v>
      </c>
      <c r="F780" s="3">
        <v>1.0</v>
      </c>
      <c r="G780" s="4">
        <v>-27.65367</v>
      </c>
      <c r="H780" s="4">
        <v>-48.49631</v>
      </c>
      <c r="I780" s="5">
        <v>5.0</v>
      </c>
      <c r="J780" s="5" t="s">
        <v>104</v>
      </c>
      <c r="K780" s="5" t="s">
        <v>104</v>
      </c>
      <c r="L780" s="3"/>
      <c r="M780" s="5">
        <v>12.0</v>
      </c>
      <c r="N780" s="5">
        <v>73.0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ht="15.75" customHeight="1">
      <c r="A781" s="3" t="s">
        <v>558</v>
      </c>
      <c r="B781" s="3" t="s">
        <v>559</v>
      </c>
      <c r="C781" s="3" t="s">
        <v>19</v>
      </c>
      <c r="D781" s="3" t="s">
        <v>560</v>
      </c>
      <c r="E781" s="3" t="s">
        <v>561</v>
      </c>
      <c r="F781" s="3">
        <v>1.0</v>
      </c>
      <c r="G781" s="4">
        <v>-27.65367</v>
      </c>
      <c r="H781" s="4">
        <v>-48.49631</v>
      </c>
      <c r="I781" s="5">
        <v>6.0</v>
      </c>
      <c r="J781" s="5" t="s">
        <v>187</v>
      </c>
      <c r="K781" s="5" t="s">
        <v>187</v>
      </c>
      <c r="L781" s="3"/>
      <c r="M781" s="5">
        <v>6.0</v>
      </c>
      <c r="N781" s="5">
        <v>29.0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ht="15.75" customHeight="1">
      <c r="A782" s="3" t="s">
        <v>558</v>
      </c>
      <c r="B782" s="3" t="s">
        <v>559</v>
      </c>
      <c r="C782" s="3" t="s">
        <v>19</v>
      </c>
      <c r="D782" s="3" t="s">
        <v>560</v>
      </c>
      <c r="E782" s="3" t="s">
        <v>561</v>
      </c>
      <c r="F782" s="3">
        <v>1.0</v>
      </c>
      <c r="G782" s="4">
        <v>-27.65367</v>
      </c>
      <c r="H782" s="4">
        <v>-48.49631</v>
      </c>
      <c r="I782" s="5">
        <v>7.0</v>
      </c>
      <c r="J782" s="5" t="s">
        <v>187</v>
      </c>
      <c r="K782" s="5" t="s">
        <v>187</v>
      </c>
      <c r="L782" s="3"/>
      <c r="M782" s="5">
        <v>6.0</v>
      </c>
      <c r="N782" s="5" t="s">
        <v>564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ht="15.75" customHeight="1">
      <c r="A783" s="3" t="s">
        <v>558</v>
      </c>
      <c r="B783" s="3" t="s">
        <v>559</v>
      </c>
      <c r="C783" s="3" t="s">
        <v>19</v>
      </c>
      <c r="D783" s="3" t="s">
        <v>560</v>
      </c>
      <c r="E783" s="3" t="s">
        <v>561</v>
      </c>
      <c r="F783" s="3">
        <v>1.0</v>
      </c>
      <c r="G783" s="4">
        <v>-27.65367</v>
      </c>
      <c r="H783" s="4">
        <v>-48.49631</v>
      </c>
      <c r="I783" s="5">
        <v>8.0</v>
      </c>
      <c r="J783" s="5" t="s">
        <v>104</v>
      </c>
      <c r="K783" s="5" t="s">
        <v>104</v>
      </c>
      <c r="L783" s="3"/>
      <c r="M783" s="5">
        <v>10.0</v>
      </c>
      <c r="N783" s="5">
        <v>43.0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ht="15.75" customHeight="1">
      <c r="A784" s="3" t="s">
        <v>558</v>
      </c>
      <c r="B784" s="3" t="s">
        <v>559</v>
      </c>
      <c r="C784" s="3" t="s">
        <v>19</v>
      </c>
      <c r="D784" s="3" t="s">
        <v>560</v>
      </c>
      <c r="E784" s="3" t="s">
        <v>561</v>
      </c>
      <c r="F784" s="3">
        <v>1.0</v>
      </c>
      <c r="G784" s="4">
        <v>-27.65367</v>
      </c>
      <c r="H784" s="4">
        <v>-48.49631</v>
      </c>
      <c r="I784" s="5">
        <v>9.0</v>
      </c>
      <c r="J784" s="5" t="s">
        <v>104</v>
      </c>
      <c r="K784" s="5" t="s">
        <v>104</v>
      </c>
      <c r="L784" s="3"/>
      <c r="M784" s="5">
        <v>11.0</v>
      </c>
      <c r="N784" s="5">
        <v>38.0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ht="15.75" customHeight="1">
      <c r="A785" s="3" t="s">
        <v>558</v>
      </c>
      <c r="B785" s="3" t="s">
        <v>559</v>
      </c>
      <c r="C785" s="3" t="s">
        <v>19</v>
      </c>
      <c r="D785" s="3" t="s">
        <v>560</v>
      </c>
      <c r="E785" s="3" t="s">
        <v>561</v>
      </c>
      <c r="F785" s="3">
        <v>1.0</v>
      </c>
      <c r="G785" s="4">
        <v>-27.65367</v>
      </c>
      <c r="H785" s="4">
        <v>-48.49631</v>
      </c>
      <c r="I785" s="5">
        <v>10.0</v>
      </c>
      <c r="J785" s="5" t="s">
        <v>24</v>
      </c>
      <c r="K785" s="5" t="s">
        <v>24</v>
      </c>
      <c r="L785" s="3"/>
      <c r="M785" s="5">
        <v>7.0</v>
      </c>
      <c r="N785" s="5">
        <v>20.0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ht="15.75" customHeight="1">
      <c r="A786" s="3" t="s">
        <v>558</v>
      </c>
      <c r="B786" s="3" t="s">
        <v>559</v>
      </c>
      <c r="C786" s="3" t="s">
        <v>19</v>
      </c>
      <c r="D786" s="3" t="s">
        <v>560</v>
      </c>
      <c r="E786" s="3" t="s">
        <v>561</v>
      </c>
      <c r="F786" s="3">
        <v>1.0</v>
      </c>
      <c r="G786" s="4">
        <v>-27.65367</v>
      </c>
      <c r="H786" s="4">
        <v>-48.49631</v>
      </c>
      <c r="I786" s="5">
        <v>11.0</v>
      </c>
      <c r="J786" s="5" t="s">
        <v>565</v>
      </c>
      <c r="K786" s="5" t="s">
        <v>565</v>
      </c>
      <c r="L786" s="3"/>
      <c r="M786" s="5">
        <v>9.0</v>
      </c>
      <c r="N786" s="5">
        <v>26.0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ht="15.75" customHeight="1">
      <c r="A787" s="3" t="s">
        <v>558</v>
      </c>
      <c r="B787" s="3" t="s">
        <v>559</v>
      </c>
      <c r="C787" s="3" t="s">
        <v>19</v>
      </c>
      <c r="D787" s="3" t="s">
        <v>560</v>
      </c>
      <c r="E787" s="3" t="s">
        <v>561</v>
      </c>
      <c r="F787" s="3">
        <v>1.0</v>
      </c>
      <c r="G787" s="4">
        <v>-27.65367</v>
      </c>
      <c r="H787" s="4">
        <v>-48.49631</v>
      </c>
      <c r="I787" s="5">
        <v>12.0</v>
      </c>
      <c r="J787" s="5" t="s">
        <v>104</v>
      </c>
      <c r="K787" s="5" t="s">
        <v>104</v>
      </c>
      <c r="L787" s="3"/>
      <c r="M787" s="5">
        <v>7.0</v>
      </c>
      <c r="N787" s="5">
        <v>20.0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ht="15.75" customHeight="1">
      <c r="A788" s="3" t="s">
        <v>558</v>
      </c>
      <c r="B788" s="3" t="s">
        <v>559</v>
      </c>
      <c r="C788" s="3" t="s">
        <v>19</v>
      </c>
      <c r="D788" s="3" t="s">
        <v>560</v>
      </c>
      <c r="E788" s="3" t="s">
        <v>561</v>
      </c>
      <c r="F788" s="3">
        <v>1.0</v>
      </c>
      <c r="G788" s="4">
        <v>-27.65367</v>
      </c>
      <c r="H788" s="4">
        <v>-48.49631</v>
      </c>
      <c r="I788" s="5">
        <v>13.0</v>
      </c>
      <c r="J788" s="5" t="s">
        <v>104</v>
      </c>
      <c r="K788" s="5" t="s">
        <v>104</v>
      </c>
      <c r="L788" s="3"/>
      <c r="M788" s="5">
        <v>8.0</v>
      </c>
      <c r="N788" s="5">
        <v>43.0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ht="15.75" customHeight="1">
      <c r="A789" s="3" t="s">
        <v>558</v>
      </c>
      <c r="B789" s="3" t="s">
        <v>559</v>
      </c>
      <c r="C789" s="3" t="s">
        <v>19</v>
      </c>
      <c r="D789" s="3" t="s">
        <v>560</v>
      </c>
      <c r="E789" s="3" t="s">
        <v>561</v>
      </c>
      <c r="F789" s="3">
        <v>1.0</v>
      </c>
      <c r="G789" s="4">
        <v>-27.65367</v>
      </c>
      <c r="H789" s="4">
        <v>-48.49631</v>
      </c>
      <c r="I789" s="5">
        <v>14.0</v>
      </c>
      <c r="J789" s="5" t="s">
        <v>565</v>
      </c>
      <c r="K789" s="5" t="s">
        <v>565</v>
      </c>
      <c r="L789" s="3"/>
      <c r="M789" s="5">
        <v>8.0</v>
      </c>
      <c r="N789" s="5">
        <v>23.5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ht="15.75" customHeight="1">
      <c r="A790" s="3" t="s">
        <v>558</v>
      </c>
      <c r="B790" s="3" t="s">
        <v>559</v>
      </c>
      <c r="C790" s="3" t="s">
        <v>19</v>
      </c>
      <c r="D790" s="3" t="s">
        <v>560</v>
      </c>
      <c r="E790" s="3" t="s">
        <v>566</v>
      </c>
      <c r="F790" s="3">
        <v>2.0</v>
      </c>
      <c r="G790" s="4">
        <v>-27.65325</v>
      </c>
      <c r="H790" s="4">
        <v>-48.49624</v>
      </c>
      <c r="I790" s="5">
        <v>1.0</v>
      </c>
      <c r="J790" s="5" t="s">
        <v>104</v>
      </c>
      <c r="K790" s="5" t="s">
        <v>104</v>
      </c>
      <c r="L790" s="3"/>
      <c r="M790" s="5">
        <v>9.0</v>
      </c>
      <c r="N790" s="5" t="s">
        <v>567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ht="15.75" customHeight="1">
      <c r="A791" s="3" t="s">
        <v>558</v>
      </c>
      <c r="B791" s="3" t="s">
        <v>559</v>
      </c>
      <c r="C791" s="3" t="s">
        <v>19</v>
      </c>
      <c r="D791" s="3" t="s">
        <v>560</v>
      </c>
      <c r="E791" s="3" t="s">
        <v>566</v>
      </c>
      <c r="F791" s="3">
        <v>2.0</v>
      </c>
      <c r="G791" s="4">
        <v>-27.65325</v>
      </c>
      <c r="H791" s="4">
        <v>-48.49624</v>
      </c>
      <c r="I791" s="5">
        <v>2.0</v>
      </c>
      <c r="J791" s="5" t="s">
        <v>104</v>
      </c>
      <c r="K791" s="5" t="s">
        <v>104</v>
      </c>
      <c r="L791" s="3"/>
      <c r="M791" s="5">
        <v>9.0</v>
      </c>
      <c r="N791" s="5" t="s">
        <v>568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ht="15.75" customHeight="1">
      <c r="A792" s="3" t="s">
        <v>558</v>
      </c>
      <c r="B792" s="3" t="s">
        <v>559</v>
      </c>
      <c r="C792" s="3" t="s">
        <v>19</v>
      </c>
      <c r="D792" s="3" t="s">
        <v>560</v>
      </c>
      <c r="E792" s="3" t="s">
        <v>566</v>
      </c>
      <c r="F792" s="3">
        <v>2.0</v>
      </c>
      <c r="G792" s="4">
        <v>-27.65325</v>
      </c>
      <c r="H792" s="4">
        <v>-48.49624</v>
      </c>
      <c r="I792" s="5">
        <v>3.0</v>
      </c>
      <c r="J792" s="5" t="s">
        <v>104</v>
      </c>
      <c r="K792" s="5" t="s">
        <v>104</v>
      </c>
      <c r="L792" s="3"/>
      <c r="M792" s="5">
        <v>7.0</v>
      </c>
      <c r="N792" s="5">
        <v>34.0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ht="15.75" customHeight="1">
      <c r="A793" s="3" t="s">
        <v>558</v>
      </c>
      <c r="B793" s="3" t="s">
        <v>559</v>
      </c>
      <c r="C793" s="3" t="s">
        <v>19</v>
      </c>
      <c r="D793" s="3" t="s">
        <v>560</v>
      </c>
      <c r="E793" s="3" t="s">
        <v>566</v>
      </c>
      <c r="F793" s="3">
        <v>2.0</v>
      </c>
      <c r="G793" s="4">
        <v>-27.65325</v>
      </c>
      <c r="H793" s="4">
        <v>-48.49624</v>
      </c>
      <c r="I793" s="5">
        <v>4.0</v>
      </c>
      <c r="J793" s="5" t="s">
        <v>37</v>
      </c>
      <c r="K793" s="5" t="s">
        <v>37</v>
      </c>
      <c r="L793" s="3"/>
      <c r="M793" s="5">
        <v>7.0</v>
      </c>
      <c r="N793" s="5" t="s">
        <v>569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ht="15.75" customHeight="1">
      <c r="A794" s="3" t="s">
        <v>558</v>
      </c>
      <c r="B794" s="3" t="s">
        <v>559</v>
      </c>
      <c r="C794" s="3" t="s">
        <v>19</v>
      </c>
      <c r="D794" s="3" t="s">
        <v>560</v>
      </c>
      <c r="E794" s="3" t="s">
        <v>566</v>
      </c>
      <c r="F794" s="3">
        <v>2.0</v>
      </c>
      <c r="G794" s="4">
        <v>-27.65325</v>
      </c>
      <c r="H794" s="4">
        <v>-48.49624</v>
      </c>
      <c r="I794" s="5">
        <v>5.0</v>
      </c>
      <c r="J794" s="5" t="s">
        <v>104</v>
      </c>
      <c r="K794" s="5" t="s">
        <v>104</v>
      </c>
      <c r="L794" s="3"/>
      <c r="M794" s="5">
        <v>8.0</v>
      </c>
      <c r="N794" s="5" t="s">
        <v>570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ht="15.75" customHeight="1">
      <c r="A795" s="3" t="s">
        <v>558</v>
      </c>
      <c r="B795" s="3" t="s">
        <v>559</v>
      </c>
      <c r="C795" s="3" t="s">
        <v>19</v>
      </c>
      <c r="D795" s="3" t="s">
        <v>560</v>
      </c>
      <c r="E795" s="3" t="s">
        <v>566</v>
      </c>
      <c r="F795" s="3">
        <v>2.0</v>
      </c>
      <c r="G795" s="4">
        <v>-27.65325</v>
      </c>
      <c r="H795" s="4">
        <v>-48.49624</v>
      </c>
      <c r="I795" s="5">
        <v>6.0</v>
      </c>
      <c r="J795" s="5" t="s">
        <v>104</v>
      </c>
      <c r="K795" s="5" t="s">
        <v>104</v>
      </c>
      <c r="L795" s="3"/>
      <c r="M795" s="5">
        <v>8.0</v>
      </c>
      <c r="N795" s="5">
        <v>22.0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ht="15.75" customHeight="1">
      <c r="A796" s="3" t="s">
        <v>558</v>
      </c>
      <c r="B796" s="3" t="s">
        <v>559</v>
      </c>
      <c r="C796" s="3" t="s">
        <v>19</v>
      </c>
      <c r="D796" s="3" t="s">
        <v>560</v>
      </c>
      <c r="E796" s="3" t="s">
        <v>566</v>
      </c>
      <c r="F796" s="3">
        <v>2.0</v>
      </c>
      <c r="G796" s="4">
        <v>-27.65325</v>
      </c>
      <c r="H796" s="4">
        <v>-48.49624</v>
      </c>
      <c r="I796" s="5">
        <v>7.0</v>
      </c>
      <c r="J796" s="5" t="s">
        <v>104</v>
      </c>
      <c r="K796" s="5" t="s">
        <v>104</v>
      </c>
      <c r="L796" s="3"/>
      <c r="M796" s="5">
        <v>10.0</v>
      </c>
      <c r="N796" s="5">
        <v>44.0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ht="15.75" customHeight="1">
      <c r="A797" s="3" t="s">
        <v>558</v>
      </c>
      <c r="B797" s="3" t="s">
        <v>559</v>
      </c>
      <c r="C797" s="3" t="s">
        <v>19</v>
      </c>
      <c r="D797" s="3" t="s">
        <v>560</v>
      </c>
      <c r="E797" s="3" t="s">
        <v>566</v>
      </c>
      <c r="F797" s="3">
        <v>2.0</v>
      </c>
      <c r="G797" s="4">
        <v>-27.65325</v>
      </c>
      <c r="H797" s="4">
        <v>-48.49624</v>
      </c>
      <c r="I797" s="5">
        <v>8.0</v>
      </c>
      <c r="J797" s="5" t="s">
        <v>154</v>
      </c>
      <c r="K797" s="5" t="s">
        <v>154</v>
      </c>
      <c r="L797" s="3"/>
      <c r="M797" s="5">
        <v>10.0</v>
      </c>
      <c r="N797" s="5" t="s">
        <v>571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ht="15.75" customHeight="1">
      <c r="A798" s="3" t="s">
        <v>558</v>
      </c>
      <c r="B798" s="3" t="s">
        <v>559</v>
      </c>
      <c r="C798" s="3" t="s">
        <v>19</v>
      </c>
      <c r="D798" s="3" t="s">
        <v>560</v>
      </c>
      <c r="E798" s="3" t="s">
        <v>566</v>
      </c>
      <c r="F798" s="3">
        <v>2.0</v>
      </c>
      <c r="G798" s="4">
        <v>-27.65325</v>
      </c>
      <c r="H798" s="4">
        <v>-48.49624</v>
      </c>
      <c r="I798" s="5">
        <v>9.0</v>
      </c>
      <c r="J798" s="5" t="s">
        <v>104</v>
      </c>
      <c r="K798" s="5" t="s">
        <v>104</v>
      </c>
      <c r="L798" s="3"/>
      <c r="M798" s="5">
        <v>9.0</v>
      </c>
      <c r="N798" s="5">
        <v>35.0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ht="15.75" customHeight="1">
      <c r="A799" s="3" t="s">
        <v>558</v>
      </c>
      <c r="B799" s="3" t="s">
        <v>559</v>
      </c>
      <c r="C799" s="3" t="s">
        <v>19</v>
      </c>
      <c r="D799" s="3" t="s">
        <v>560</v>
      </c>
      <c r="E799" s="3" t="s">
        <v>566</v>
      </c>
      <c r="F799" s="3">
        <v>2.0</v>
      </c>
      <c r="G799" s="4">
        <v>-27.65325</v>
      </c>
      <c r="H799" s="4">
        <v>-48.49624</v>
      </c>
      <c r="I799" s="5">
        <v>10.0</v>
      </c>
      <c r="J799" s="5" t="s">
        <v>104</v>
      </c>
      <c r="K799" s="5" t="s">
        <v>104</v>
      </c>
      <c r="L799" s="3"/>
      <c r="M799" s="5">
        <v>9.0</v>
      </c>
      <c r="N799" s="5">
        <v>35.0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ht="15.75" customHeight="1">
      <c r="A800" s="3" t="s">
        <v>558</v>
      </c>
      <c r="B800" s="3" t="s">
        <v>559</v>
      </c>
      <c r="C800" s="3" t="s">
        <v>19</v>
      </c>
      <c r="D800" s="3" t="s">
        <v>560</v>
      </c>
      <c r="E800" s="3" t="s">
        <v>566</v>
      </c>
      <c r="F800" s="3">
        <v>2.0</v>
      </c>
      <c r="G800" s="4">
        <v>-27.65325</v>
      </c>
      <c r="H800" s="4">
        <v>-48.49624</v>
      </c>
      <c r="I800" s="5">
        <v>11.0</v>
      </c>
      <c r="J800" s="5" t="s">
        <v>104</v>
      </c>
      <c r="K800" s="5" t="s">
        <v>104</v>
      </c>
      <c r="L800" s="3"/>
      <c r="M800" s="5">
        <v>8.0</v>
      </c>
      <c r="N800" s="5">
        <v>36.0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ht="15.75" customHeight="1">
      <c r="A801" s="3" t="s">
        <v>558</v>
      </c>
      <c r="B801" s="3" t="s">
        <v>559</v>
      </c>
      <c r="C801" s="3" t="s">
        <v>19</v>
      </c>
      <c r="D801" s="3" t="s">
        <v>560</v>
      </c>
      <c r="E801" s="3" t="s">
        <v>566</v>
      </c>
      <c r="F801" s="3">
        <v>2.0</v>
      </c>
      <c r="G801" s="4">
        <v>-27.65325</v>
      </c>
      <c r="H801" s="4">
        <v>-48.49624</v>
      </c>
      <c r="I801" s="5">
        <v>12.0</v>
      </c>
      <c r="J801" s="5" t="s">
        <v>335</v>
      </c>
      <c r="K801" s="5" t="s">
        <v>335</v>
      </c>
      <c r="L801" s="3"/>
      <c r="M801" s="5">
        <v>8.0</v>
      </c>
      <c r="N801" s="5">
        <v>20.0</v>
      </c>
      <c r="O801" s="3" t="s">
        <v>572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ht="15.75" customHeight="1">
      <c r="A802" s="3" t="s">
        <v>558</v>
      </c>
      <c r="B802" s="3" t="s">
        <v>559</v>
      </c>
      <c r="C802" s="3" t="s">
        <v>19</v>
      </c>
      <c r="D802" s="3" t="s">
        <v>560</v>
      </c>
      <c r="E802" s="3" t="s">
        <v>573</v>
      </c>
      <c r="F802" s="3">
        <v>3.0</v>
      </c>
      <c r="G802" s="4">
        <v>-27.65305</v>
      </c>
      <c r="H802" s="4">
        <v>-48.49614</v>
      </c>
      <c r="I802" s="5">
        <v>1.0</v>
      </c>
      <c r="J802" s="5" t="s">
        <v>98</v>
      </c>
      <c r="K802" s="5" t="s">
        <v>98</v>
      </c>
      <c r="L802" s="3"/>
      <c r="M802" s="5">
        <v>10.0</v>
      </c>
      <c r="N802" s="5">
        <v>53.0</v>
      </c>
      <c r="O802" s="5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ht="15.75" customHeight="1">
      <c r="A803" s="3" t="s">
        <v>558</v>
      </c>
      <c r="B803" s="3" t="s">
        <v>559</v>
      </c>
      <c r="C803" s="3" t="s">
        <v>19</v>
      </c>
      <c r="D803" s="3" t="s">
        <v>560</v>
      </c>
      <c r="E803" s="3" t="s">
        <v>573</v>
      </c>
      <c r="F803" s="3">
        <v>3.0</v>
      </c>
      <c r="G803" s="4">
        <v>-27.65305</v>
      </c>
      <c r="H803" s="4">
        <v>-48.49614</v>
      </c>
      <c r="I803" s="5">
        <v>2.0</v>
      </c>
      <c r="J803" s="5" t="s">
        <v>98</v>
      </c>
      <c r="K803" s="5" t="s">
        <v>98</v>
      </c>
      <c r="L803" s="3"/>
      <c r="M803" s="5">
        <v>8.0</v>
      </c>
      <c r="N803" s="5">
        <v>20.0</v>
      </c>
      <c r="O803" s="5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ht="15.75" customHeight="1">
      <c r="A804" s="3" t="s">
        <v>558</v>
      </c>
      <c r="B804" s="3" t="s">
        <v>559</v>
      </c>
      <c r="C804" s="3" t="s">
        <v>19</v>
      </c>
      <c r="D804" s="3" t="s">
        <v>560</v>
      </c>
      <c r="E804" s="3" t="s">
        <v>573</v>
      </c>
      <c r="F804" s="3">
        <v>3.0</v>
      </c>
      <c r="G804" s="4">
        <v>-27.65305</v>
      </c>
      <c r="H804" s="4">
        <v>-48.49614</v>
      </c>
      <c r="I804" s="5">
        <v>3.0</v>
      </c>
      <c r="J804" s="5" t="s">
        <v>574</v>
      </c>
      <c r="K804" s="5" t="s">
        <v>105</v>
      </c>
      <c r="L804" s="3"/>
      <c r="M804" s="5">
        <v>8.0</v>
      </c>
      <c r="N804" s="5">
        <v>26.0</v>
      </c>
      <c r="O804" s="5" t="s">
        <v>575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ht="15.75" customHeight="1">
      <c r="A805" s="3" t="s">
        <v>558</v>
      </c>
      <c r="B805" s="3" t="s">
        <v>559</v>
      </c>
      <c r="C805" s="3" t="s">
        <v>19</v>
      </c>
      <c r="D805" s="3" t="s">
        <v>560</v>
      </c>
      <c r="E805" s="3" t="s">
        <v>573</v>
      </c>
      <c r="F805" s="3">
        <v>3.0</v>
      </c>
      <c r="G805" s="4">
        <v>-27.65305</v>
      </c>
      <c r="H805" s="4">
        <v>-48.49614</v>
      </c>
      <c r="I805" s="5">
        <v>4.0</v>
      </c>
      <c r="J805" s="5" t="s">
        <v>98</v>
      </c>
      <c r="K805" s="5" t="s">
        <v>98</v>
      </c>
      <c r="L805" s="3"/>
      <c r="M805" s="5">
        <v>8.0</v>
      </c>
      <c r="N805" s="5">
        <v>18.5</v>
      </c>
      <c r="O805" s="5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ht="15.75" customHeight="1">
      <c r="A806" s="3" t="s">
        <v>558</v>
      </c>
      <c r="B806" s="3" t="s">
        <v>559</v>
      </c>
      <c r="C806" s="3" t="s">
        <v>19</v>
      </c>
      <c r="D806" s="3" t="s">
        <v>560</v>
      </c>
      <c r="E806" s="3" t="s">
        <v>573</v>
      </c>
      <c r="F806" s="3">
        <v>3.0</v>
      </c>
      <c r="G806" s="4">
        <v>-27.65305</v>
      </c>
      <c r="H806" s="4">
        <v>-48.49614</v>
      </c>
      <c r="I806" s="5">
        <v>5.0</v>
      </c>
      <c r="J806" s="5" t="s">
        <v>574</v>
      </c>
      <c r="K806" s="5" t="s">
        <v>105</v>
      </c>
      <c r="L806" s="3"/>
      <c r="M806" s="5">
        <v>8.0</v>
      </c>
      <c r="N806" s="5">
        <v>24.0</v>
      </c>
      <c r="O806" s="5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ht="15.75" customHeight="1">
      <c r="A807" s="3" t="s">
        <v>558</v>
      </c>
      <c r="B807" s="3" t="s">
        <v>559</v>
      </c>
      <c r="C807" s="3" t="s">
        <v>19</v>
      </c>
      <c r="D807" s="3" t="s">
        <v>560</v>
      </c>
      <c r="E807" s="3" t="s">
        <v>573</v>
      </c>
      <c r="F807" s="3">
        <v>3.0</v>
      </c>
      <c r="G807" s="4">
        <v>-27.65305</v>
      </c>
      <c r="H807" s="4">
        <v>-48.49614</v>
      </c>
      <c r="I807" s="5">
        <v>6.0</v>
      </c>
      <c r="J807" s="5" t="s">
        <v>98</v>
      </c>
      <c r="K807" s="5" t="s">
        <v>98</v>
      </c>
      <c r="L807" s="3"/>
      <c r="M807" s="5">
        <v>12.0</v>
      </c>
      <c r="N807" s="5">
        <v>67.0</v>
      </c>
      <c r="O807" s="5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ht="15.75" customHeight="1">
      <c r="A808" s="3" t="s">
        <v>558</v>
      </c>
      <c r="B808" s="3" t="s">
        <v>559</v>
      </c>
      <c r="C808" s="3" t="s">
        <v>19</v>
      </c>
      <c r="D808" s="3" t="s">
        <v>560</v>
      </c>
      <c r="E808" s="3" t="s">
        <v>573</v>
      </c>
      <c r="F808" s="3">
        <v>3.0</v>
      </c>
      <c r="G808" s="4">
        <v>-27.65305</v>
      </c>
      <c r="H808" s="4">
        <v>-48.49614</v>
      </c>
      <c r="I808" s="5">
        <v>7.0</v>
      </c>
      <c r="J808" s="5" t="s">
        <v>576</v>
      </c>
      <c r="K808" s="5" t="s">
        <v>102</v>
      </c>
      <c r="L808" s="3"/>
      <c r="M808" s="5">
        <v>12.0</v>
      </c>
      <c r="N808" s="5">
        <v>21.0</v>
      </c>
      <c r="O808" s="5" t="s">
        <v>577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ht="15.75" customHeight="1">
      <c r="A809" s="3" t="s">
        <v>558</v>
      </c>
      <c r="B809" s="3" t="s">
        <v>559</v>
      </c>
      <c r="C809" s="3" t="s">
        <v>19</v>
      </c>
      <c r="D809" s="3" t="s">
        <v>560</v>
      </c>
      <c r="E809" s="3" t="s">
        <v>573</v>
      </c>
      <c r="F809" s="3">
        <v>3.0</v>
      </c>
      <c r="G809" s="4">
        <v>-27.65305</v>
      </c>
      <c r="H809" s="4">
        <v>-48.49614</v>
      </c>
      <c r="I809" s="5">
        <v>8.0</v>
      </c>
      <c r="J809" s="5" t="s">
        <v>574</v>
      </c>
      <c r="K809" s="5" t="s">
        <v>105</v>
      </c>
      <c r="L809" s="3"/>
      <c r="M809" s="5">
        <v>6.0</v>
      </c>
      <c r="N809" s="5">
        <v>24.5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ht="15.75" customHeight="1">
      <c r="A810" s="3" t="s">
        <v>558</v>
      </c>
      <c r="B810" s="3" t="s">
        <v>559</v>
      </c>
      <c r="C810" s="3" t="s">
        <v>19</v>
      </c>
      <c r="D810" s="3" t="s">
        <v>560</v>
      </c>
      <c r="E810" s="3" t="s">
        <v>573</v>
      </c>
      <c r="F810" s="3">
        <v>3.0</v>
      </c>
      <c r="G810" s="4">
        <v>-27.65305</v>
      </c>
      <c r="H810" s="4">
        <v>-48.49614</v>
      </c>
      <c r="I810" s="5">
        <v>9.0</v>
      </c>
      <c r="J810" s="5" t="s">
        <v>98</v>
      </c>
      <c r="K810" s="5" t="s">
        <v>98</v>
      </c>
      <c r="L810" s="3"/>
      <c r="M810" s="5">
        <v>9.0</v>
      </c>
      <c r="N810" s="5">
        <v>30.5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ht="15.75" customHeight="1">
      <c r="A811" s="3" t="s">
        <v>558</v>
      </c>
      <c r="B811" s="3" t="s">
        <v>559</v>
      </c>
      <c r="C811" s="3" t="s">
        <v>19</v>
      </c>
      <c r="D811" s="3" t="s">
        <v>560</v>
      </c>
      <c r="E811" s="3" t="s">
        <v>573</v>
      </c>
      <c r="F811" s="3">
        <v>3.0</v>
      </c>
      <c r="G811" s="4">
        <v>-27.65305</v>
      </c>
      <c r="H811" s="4">
        <v>-48.49614</v>
      </c>
      <c r="I811" s="5">
        <v>10.0</v>
      </c>
      <c r="J811" s="5" t="s">
        <v>574</v>
      </c>
      <c r="K811" s="5" t="s">
        <v>105</v>
      </c>
      <c r="L811" s="3"/>
      <c r="M811" s="5">
        <v>8.0</v>
      </c>
      <c r="N811" s="5">
        <v>29.0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ht="15.75" customHeight="1">
      <c r="A812" s="3" t="s">
        <v>558</v>
      </c>
      <c r="B812" s="3" t="s">
        <v>559</v>
      </c>
      <c r="C812" s="3" t="s">
        <v>19</v>
      </c>
      <c r="D812" s="3" t="s">
        <v>560</v>
      </c>
      <c r="E812" s="3" t="s">
        <v>573</v>
      </c>
      <c r="F812" s="3">
        <v>3.0</v>
      </c>
      <c r="G812" s="4">
        <v>-27.65305</v>
      </c>
      <c r="H812" s="4">
        <v>-48.49614</v>
      </c>
      <c r="I812" s="5">
        <v>11.0</v>
      </c>
      <c r="J812" s="5" t="s">
        <v>574</v>
      </c>
      <c r="K812" s="5" t="s">
        <v>105</v>
      </c>
      <c r="L812" s="3"/>
      <c r="M812" s="5">
        <v>4.0</v>
      </c>
      <c r="N812" s="5">
        <v>24.0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ht="15.75" customHeight="1">
      <c r="A813" s="3" t="s">
        <v>558</v>
      </c>
      <c r="B813" s="3" t="s">
        <v>559</v>
      </c>
      <c r="C813" s="3" t="s">
        <v>19</v>
      </c>
      <c r="D813" s="3" t="s">
        <v>560</v>
      </c>
      <c r="E813" s="3" t="s">
        <v>573</v>
      </c>
      <c r="F813" s="3">
        <v>3.0</v>
      </c>
      <c r="G813" s="4">
        <v>-27.65305</v>
      </c>
      <c r="H813" s="4">
        <v>-48.49614</v>
      </c>
      <c r="I813" s="5">
        <v>12.0</v>
      </c>
      <c r="J813" s="5" t="s">
        <v>98</v>
      </c>
      <c r="K813" s="5" t="s">
        <v>98</v>
      </c>
      <c r="L813" s="3"/>
      <c r="M813" s="5">
        <v>8.0</v>
      </c>
      <c r="N813" s="5">
        <v>16.0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ht="15.75" customHeight="1">
      <c r="A814" s="3" t="s">
        <v>558</v>
      </c>
      <c r="B814" s="3" t="s">
        <v>559</v>
      </c>
      <c r="C814" s="3" t="s">
        <v>19</v>
      </c>
      <c r="D814" s="3" t="s">
        <v>560</v>
      </c>
      <c r="E814" s="3" t="s">
        <v>573</v>
      </c>
      <c r="F814" s="3">
        <v>3.0</v>
      </c>
      <c r="G814" s="4">
        <v>-27.65305</v>
      </c>
      <c r="H814" s="4">
        <v>-48.49614</v>
      </c>
      <c r="I814" s="5">
        <v>13.0</v>
      </c>
      <c r="J814" s="5" t="s">
        <v>574</v>
      </c>
      <c r="K814" s="5" t="s">
        <v>105</v>
      </c>
      <c r="L814" s="3"/>
      <c r="M814" s="5">
        <v>4.0</v>
      </c>
      <c r="N814" s="5">
        <v>29.0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ht="15.75" customHeight="1">
      <c r="A815" s="3" t="s">
        <v>558</v>
      </c>
      <c r="B815" s="3" t="s">
        <v>559</v>
      </c>
      <c r="C815" s="3" t="s">
        <v>19</v>
      </c>
      <c r="D815" s="3" t="s">
        <v>560</v>
      </c>
      <c r="E815" s="3" t="s">
        <v>573</v>
      </c>
      <c r="F815" s="3">
        <v>3.0</v>
      </c>
      <c r="G815" s="4">
        <v>-27.65305</v>
      </c>
      <c r="H815" s="4">
        <v>-48.49614</v>
      </c>
      <c r="I815" s="5">
        <v>14.0</v>
      </c>
      <c r="J815" s="5" t="s">
        <v>98</v>
      </c>
      <c r="K815" s="5" t="s">
        <v>98</v>
      </c>
      <c r="L815" s="3"/>
      <c r="M815" s="5">
        <v>8.0</v>
      </c>
      <c r="N815" s="5">
        <v>27.0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ht="15.75" customHeight="1">
      <c r="A816" s="3" t="s">
        <v>558</v>
      </c>
      <c r="B816" s="3" t="s">
        <v>559</v>
      </c>
      <c r="C816" s="3" t="s">
        <v>19</v>
      </c>
      <c r="D816" s="3" t="s">
        <v>560</v>
      </c>
      <c r="E816" s="3" t="s">
        <v>573</v>
      </c>
      <c r="F816" s="3">
        <v>3.0</v>
      </c>
      <c r="G816" s="4">
        <v>-27.65305</v>
      </c>
      <c r="H816" s="4">
        <v>-48.49614</v>
      </c>
      <c r="I816" s="5">
        <v>15.0</v>
      </c>
      <c r="J816" s="5" t="s">
        <v>574</v>
      </c>
      <c r="K816" s="5" t="s">
        <v>105</v>
      </c>
      <c r="L816" s="3"/>
      <c r="M816" s="5">
        <v>5.0</v>
      </c>
      <c r="N816" s="5">
        <v>20.0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ht="15.75" customHeight="1">
      <c r="A817" s="3" t="s">
        <v>558</v>
      </c>
      <c r="B817" s="3" t="s">
        <v>559</v>
      </c>
      <c r="C817" s="3" t="s">
        <v>19</v>
      </c>
      <c r="D817" s="3" t="s">
        <v>560</v>
      </c>
      <c r="E817" s="3" t="s">
        <v>573</v>
      </c>
      <c r="F817" s="3">
        <v>3.0</v>
      </c>
      <c r="G817" s="4">
        <v>-27.65305</v>
      </c>
      <c r="H817" s="4">
        <v>-48.49614</v>
      </c>
      <c r="I817" s="5">
        <v>16.0</v>
      </c>
      <c r="J817" s="5" t="s">
        <v>98</v>
      </c>
      <c r="K817" s="5" t="s">
        <v>98</v>
      </c>
      <c r="L817" s="3"/>
      <c r="M817" s="5">
        <v>10.0</v>
      </c>
      <c r="N817" s="5">
        <v>53.0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ht="15.75" customHeight="1">
      <c r="A818" s="3" t="s">
        <v>558</v>
      </c>
      <c r="B818" s="3" t="s">
        <v>559</v>
      </c>
      <c r="C818" s="3" t="s">
        <v>19</v>
      </c>
      <c r="D818" s="3" t="s">
        <v>560</v>
      </c>
      <c r="E818" s="3" t="s">
        <v>573</v>
      </c>
      <c r="F818" s="3">
        <v>3.0</v>
      </c>
      <c r="G818" s="4">
        <v>-27.65305</v>
      </c>
      <c r="H818" s="4">
        <v>-48.49614</v>
      </c>
      <c r="I818" s="5">
        <v>17.0</v>
      </c>
      <c r="J818" s="5" t="s">
        <v>98</v>
      </c>
      <c r="K818" s="5" t="s">
        <v>98</v>
      </c>
      <c r="L818" s="3"/>
      <c r="M818" s="5">
        <v>8.0</v>
      </c>
      <c r="N818" s="5">
        <v>27.0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ht="15.75" customHeight="1">
      <c r="A819" s="3" t="s">
        <v>558</v>
      </c>
      <c r="B819" s="3" t="s">
        <v>559</v>
      </c>
      <c r="C819" s="3" t="s">
        <v>19</v>
      </c>
      <c r="D819" s="3" t="s">
        <v>560</v>
      </c>
      <c r="E819" s="3" t="s">
        <v>573</v>
      </c>
      <c r="F819" s="3">
        <v>3.0</v>
      </c>
      <c r="G819" s="4">
        <v>-27.65305</v>
      </c>
      <c r="H819" s="4">
        <v>-48.49614</v>
      </c>
      <c r="I819" s="5">
        <v>18.0</v>
      </c>
      <c r="J819" s="5" t="s">
        <v>98</v>
      </c>
      <c r="K819" s="5" t="s">
        <v>98</v>
      </c>
      <c r="L819" s="3"/>
      <c r="M819" s="5">
        <v>9.0</v>
      </c>
      <c r="N819" s="5">
        <v>25.0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ht="15.75" customHeight="1">
      <c r="A820" s="3" t="s">
        <v>558</v>
      </c>
      <c r="B820" s="3" t="s">
        <v>559</v>
      </c>
      <c r="C820" s="3" t="s">
        <v>19</v>
      </c>
      <c r="D820" s="3" t="s">
        <v>560</v>
      </c>
      <c r="E820" s="3" t="s">
        <v>573</v>
      </c>
      <c r="F820" s="3">
        <v>3.0</v>
      </c>
      <c r="G820" s="4">
        <v>-27.65305</v>
      </c>
      <c r="H820" s="4">
        <v>-48.49614</v>
      </c>
      <c r="I820" s="5">
        <v>19.0</v>
      </c>
      <c r="J820" s="5" t="s">
        <v>98</v>
      </c>
      <c r="K820" s="5" t="s">
        <v>98</v>
      </c>
      <c r="L820" s="3"/>
      <c r="M820" s="5">
        <v>10.0</v>
      </c>
      <c r="N820" s="5">
        <v>48.0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ht="15.75" customHeight="1">
      <c r="A821" s="3" t="s">
        <v>558</v>
      </c>
      <c r="B821" s="3" t="s">
        <v>559</v>
      </c>
      <c r="C821" s="3" t="s">
        <v>19</v>
      </c>
      <c r="D821" s="3" t="s">
        <v>560</v>
      </c>
      <c r="E821" s="3" t="s">
        <v>573</v>
      </c>
      <c r="F821" s="3">
        <v>3.0</v>
      </c>
      <c r="G821" s="4">
        <v>-27.65305</v>
      </c>
      <c r="H821" s="4">
        <v>-48.49614</v>
      </c>
      <c r="I821" s="5">
        <v>20.0</v>
      </c>
      <c r="J821" s="5" t="s">
        <v>574</v>
      </c>
      <c r="K821" s="5" t="s">
        <v>105</v>
      </c>
      <c r="L821" s="3"/>
      <c r="M821" s="5">
        <v>6.0</v>
      </c>
      <c r="N821" s="5">
        <v>28.0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ht="15.75" customHeight="1">
      <c r="A822" s="3" t="s">
        <v>558</v>
      </c>
      <c r="B822" s="3" t="s">
        <v>559</v>
      </c>
      <c r="C822" s="3" t="s">
        <v>19</v>
      </c>
      <c r="D822" s="3" t="s">
        <v>560</v>
      </c>
      <c r="E822" s="3" t="s">
        <v>573</v>
      </c>
      <c r="F822" s="3">
        <v>3.0</v>
      </c>
      <c r="G822" s="4">
        <v>-27.65305</v>
      </c>
      <c r="H822" s="4">
        <v>-48.49614</v>
      </c>
      <c r="I822" s="5">
        <v>21.0</v>
      </c>
      <c r="J822" s="5" t="s">
        <v>98</v>
      </c>
      <c r="K822" s="5" t="s">
        <v>98</v>
      </c>
      <c r="L822" s="3"/>
      <c r="M822" s="5">
        <v>7.5</v>
      </c>
      <c r="N822" s="5">
        <v>16.0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ht="15.75" customHeight="1">
      <c r="A823" s="3" t="s">
        <v>558</v>
      </c>
      <c r="B823" s="3" t="s">
        <v>559</v>
      </c>
      <c r="C823" s="3" t="s">
        <v>19</v>
      </c>
      <c r="D823" s="3" t="s">
        <v>560</v>
      </c>
      <c r="E823" s="3" t="s">
        <v>573</v>
      </c>
      <c r="F823" s="3">
        <v>3.0</v>
      </c>
      <c r="G823" s="4">
        <v>-27.65305</v>
      </c>
      <c r="H823" s="4">
        <v>-48.49614</v>
      </c>
      <c r="I823" s="5">
        <v>22.0</v>
      </c>
      <c r="J823" s="5" t="s">
        <v>105</v>
      </c>
      <c r="K823" s="5" t="s">
        <v>105</v>
      </c>
      <c r="L823" s="3"/>
      <c r="M823" s="5">
        <v>6.0</v>
      </c>
      <c r="N823" s="5">
        <v>30.0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ht="15.75" customHeight="1">
      <c r="A824" s="3" t="s">
        <v>558</v>
      </c>
      <c r="B824" s="3" t="s">
        <v>559</v>
      </c>
      <c r="C824" s="3" t="s">
        <v>19</v>
      </c>
      <c r="D824" s="3" t="s">
        <v>560</v>
      </c>
      <c r="E824" s="3" t="s">
        <v>578</v>
      </c>
      <c r="F824" s="3">
        <v>4.0</v>
      </c>
      <c r="G824" s="4">
        <v>-27.65257</v>
      </c>
      <c r="H824" s="4">
        <v>-48.49598</v>
      </c>
      <c r="I824" s="5">
        <v>1.0</v>
      </c>
      <c r="J824" s="12" t="s">
        <v>579</v>
      </c>
      <c r="K824" s="12" t="s">
        <v>579</v>
      </c>
      <c r="L824" s="3"/>
      <c r="M824" s="5">
        <v>4.0</v>
      </c>
      <c r="N824" s="5">
        <v>21.0</v>
      </c>
      <c r="O824" s="5" t="s">
        <v>580</v>
      </c>
      <c r="P824" s="5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ht="15.75" customHeight="1">
      <c r="A825" s="3" t="s">
        <v>558</v>
      </c>
      <c r="B825" s="3" t="s">
        <v>559</v>
      </c>
      <c r="C825" s="3" t="s">
        <v>19</v>
      </c>
      <c r="D825" s="3" t="s">
        <v>560</v>
      </c>
      <c r="E825" s="3" t="s">
        <v>578</v>
      </c>
      <c r="F825" s="3">
        <v>4.0</v>
      </c>
      <c r="G825" s="4">
        <v>-27.65257</v>
      </c>
      <c r="H825" s="4">
        <v>-48.49598</v>
      </c>
      <c r="I825" s="5">
        <v>2.0</v>
      </c>
      <c r="J825" s="5" t="s">
        <v>235</v>
      </c>
      <c r="K825" s="5" t="s">
        <v>235</v>
      </c>
      <c r="L825" s="3"/>
      <c r="M825" s="5">
        <v>8.0</v>
      </c>
      <c r="N825" s="5">
        <v>57.0</v>
      </c>
      <c r="O825" s="5" t="s">
        <v>581</v>
      </c>
      <c r="P825" s="3" t="s">
        <v>90</v>
      </c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ht="15.75" customHeight="1">
      <c r="A826" s="3" t="s">
        <v>558</v>
      </c>
      <c r="B826" s="3" t="s">
        <v>559</v>
      </c>
      <c r="C826" s="3" t="s">
        <v>19</v>
      </c>
      <c r="D826" s="3" t="s">
        <v>560</v>
      </c>
      <c r="E826" s="3" t="s">
        <v>578</v>
      </c>
      <c r="F826" s="3">
        <v>4.0</v>
      </c>
      <c r="G826" s="4">
        <v>-27.65257</v>
      </c>
      <c r="H826" s="4">
        <v>-48.49598</v>
      </c>
      <c r="I826" s="5">
        <v>3.0</v>
      </c>
      <c r="J826" s="5" t="s">
        <v>582</v>
      </c>
      <c r="K826" s="5" t="s">
        <v>167</v>
      </c>
      <c r="L826" s="3"/>
      <c r="M826" s="5">
        <v>3.0</v>
      </c>
      <c r="N826" s="5">
        <v>23.0</v>
      </c>
      <c r="O826" s="5">
        <v>8315.0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ht="15.75" customHeight="1">
      <c r="A827" s="3" t="s">
        <v>558</v>
      </c>
      <c r="B827" s="3" t="s">
        <v>559</v>
      </c>
      <c r="C827" s="3" t="s">
        <v>19</v>
      </c>
      <c r="D827" s="3" t="s">
        <v>560</v>
      </c>
      <c r="E827" s="3" t="s">
        <v>578</v>
      </c>
      <c r="F827" s="3">
        <v>4.0</v>
      </c>
      <c r="G827" s="4">
        <v>-27.65257</v>
      </c>
      <c r="H827" s="4">
        <v>-48.49598</v>
      </c>
      <c r="I827" s="5">
        <v>4.0</v>
      </c>
      <c r="J827" s="5" t="s">
        <v>153</v>
      </c>
      <c r="K827" s="5" t="s">
        <v>153</v>
      </c>
      <c r="L827" s="3"/>
      <c r="M827" s="5">
        <v>6.0</v>
      </c>
      <c r="N827" s="5">
        <v>33.0</v>
      </c>
      <c r="O827" s="5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ht="15.75" customHeight="1">
      <c r="A828" s="3" t="s">
        <v>558</v>
      </c>
      <c r="B828" s="3" t="s">
        <v>559</v>
      </c>
      <c r="C828" s="3" t="s">
        <v>19</v>
      </c>
      <c r="D828" s="3" t="s">
        <v>560</v>
      </c>
      <c r="E828" s="3" t="s">
        <v>578</v>
      </c>
      <c r="F828" s="3">
        <v>4.0</v>
      </c>
      <c r="G828" s="4">
        <v>-27.65257</v>
      </c>
      <c r="H828" s="4">
        <v>-48.49598</v>
      </c>
      <c r="I828" s="5">
        <v>5.0</v>
      </c>
      <c r="J828" s="5" t="s">
        <v>488</v>
      </c>
      <c r="K828" s="5" t="s">
        <v>488</v>
      </c>
      <c r="L828" s="3"/>
      <c r="M828" s="5">
        <v>12.0</v>
      </c>
      <c r="N828" s="5">
        <v>41.5</v>
      </c>
      <c r="O828" s="5" t="s">
        <v>583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ht="15.75" customHeight="1">
      <c r="A829" s="3" t="s">
        <v>558</v>
      </c>
      <c r="B829" s="3" t="s">
        <v>559</v>
      </c>
      <c r="C829" s="3" t="s">
        <v>19</v>
      </c>
      <c r="D829" s="3" t="s">
        <v>560</v>
      </c>
      <c r="E829" s="3" t="s">
        <v>578</v>
      </c>
      <c r="F829" s="3">
        <v>4.0</v>
      </c>
      <c r="G829" s="4">
        <v>-27.65257</v>
      </c>
      <c r="H829" s="4">
        <v>-48.49598</v>
      </c>
      <c r="I829" s="5">
        <v>6.0</v>
      </c>
      <c r="J829" s="5" t="s">
        <v>79</v>
      </c>
      <c r="K829" s="5" t="s">
        <v>79</v>
      </c>
      <c r="L829" s="3"/>
      <c r="M829" s="5">
        <v>5.5</v>
      </c>
      <c r="N829" s="5">
        <v>23.0</v>
      </c>
      <c r="O829" s="5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ht="15.75" customHeight="1">
      <c r="A830" s="3" t="s">
        <v>558</v>
      </c>
      <c r="B830" s="3" t="s">
        <v>559</v>
      </c>
      <c r="C830" s="3" t="s">
        <v>19</v>
      </c>
      <c r="D830" s="3" t="s">
        <v>560</v>
      </c>
      <c r="E830" s="3" t="s">
        <v>578</v>
      </c>
      <c r="F830" s="3">
        <v>4.0</v>
      </c>
      <c r="G830" s="4">
        <v>-27.65257</v>
      </c>
      <c r="H830" s="4">
        <v>-48.49598</v>
      </c>
      <c r="I830" s="5">
        <v>7.0</v>
      </c>
      <c r="J830" s="5" t="s">
        <v>98</v>
      </c>
      <c r="K830" s="5" t="s">
        <v>98</v>
      </c>
      <c r="L830" s="3"/>
      <c r="M830" s="5">
        <v>7.0</v>
      </c>
      <c r="N830" s="5">
        <v>29.0</v>
      </c>
      <c r="O830" s="5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ht="15.75" customHeight="1">
      <c r="A831" s="3" t="s">
        <v>558</v>
      </c>
      <c r="B831" s="3" t="s">
        <v>559</v>
      </c>
      <c r="C831" s="3" t="s">
        <v>19</v>
      </c>
      <c r="D831" s="3" t="s">
        <v>560</v>
      </c>
      <c r="E831" s="3" t="s">
        <v>578</v>
      </c>
      <c r="F831" s="3">
        <v>4.0</v>
      </c>
      <c r="G831" s="4">
        <v>-27.65257</v>
      </c>
      <c r="H831" s="4">
        <v>-48.49598</v>
      </c>
      <c r="I831" s="5">
        <v>8.0</v>
      </c>
      <c r="J831" s="5" t="s">
        <v>154</v>
      </c>
      <c r="K831" s="5" t="s">
        <v>154</v>
      </c>
      <c r="L831" s="3"/>
      <c r="M831" s="5">
        <v>8.0</v>
      </c>
      <c r="N831" s="5">
        <v>36.5</v>
      </c>
      <c r="O831" s="5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ht="15.75" customHeight="1">
      <c r="A832" s="3" t="s">
        <v>558</v>
      </c>
      <c r="B832" s="3" t="s">
        <v>559</v>
      </c>
      <c r="C832" s="3" t="s">
        <v>19</v>
      </c>
      <c r="D832" s="3" t="s">
        <v>560</v>
      </c>
      <c r="E832" s="3" t="s">
        <v>578</v>
      </c>
      <c r="F832" s="3">
        <v>4.0</v>
      </c>
      <c r="G832" s="4">
        <v>-27.65257</v>
      </c>
      <c r="H832" s="4">
        <v>-48.49598</v>
      </c>
      <c r="I832" s="5">
        <v>9.0</v>
      </c>
      <c r="J832" s="5" t="s">
        <v>154</v>
      </c>
      <c r="K832" s="5" t="s">
        <v>154</v>
      </c>
      <c r="L832" s="3"/>
      <c r="M832" s="5">
        <v>12.0</v>
      </c>
      <c r="N832" s="5">
        <v>76.0</v>
      </c>
      <c r="O832" s="5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ht="15.75" customHeight="1">
      <c r="A833" s="3" t="s">
        <v>558</v>
      </c>
      <c r="B833" s="3" t="s">
        <v>559</v>
      </c>
      <c r="C833" s="3" t="s">
        <v>19</v>
      </c>
      <c r="D833" s="3" t="s">
        <v>560</v>
      </c>
      <c r="E833" s="3" t="s">
        <v>578</v>
      </c>
      <c r="F833" s="3">
        <v>4.0</v>
      </c>
      <c r="G833" s="4">
        <v>-27.65257</v>
      </c>
      <c r="H833" s="4">
        <v>-48.49598</v>
      </c>
      <c r="I833" s="5">
        <v>10.0</v>
      </c>
      <c r="J833" s="5" t="s">
        <v>50</v>
      </c>
      <c r="K833" s="5" t="s">
        <v>50</v>
      </c>
      <c r="L833" s="3"/>
      <c r="M833" s="5">
        <v>12.0</v>
      </c>
      <c r="N833" s="5">
        <v>93.5</v>
      </c>
      <c r="O833" s="5" t="s">
        <v>584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ht="15.75" customHeight="1">
      <c r="A834" s="3" t="s">
        <v>558</v>
      </c>
      <c r="B834" s="3" t="s">
        <v>559</v>
      </c>
      <c r="C834" s="3" t="s">
        <v>19</v>
      </c>
      <c r="D834" s="3" t="s">
        <v>560</v>
      </c>
      <c r="E834" s="3" t="s">
        <v>578</v>
      </c>
      <c r="F834" s="3">
        <v>4.0</v>
      </c>
      <c r="G834" s="4">
        <v>-27.65257</v>
      </c>
      <c r="H834" s="4">
        <v>-48.49598</v>
      </c>
      <c r="I834" s="5">
        <v>11.0</v>
      </c>
      <c r="J834" s="5" t="s">
        <v>235</v>
      </c>
      <c r="K834" s="5" t="s">
        <v>235</v>
      </c>
      <c r="L834" s="3"/>
      <c r="M834" s="5">
        <v>6.0</v>
      </c>
      <c r="N834" s="5">
        <v>19.0</v>
      </c>
      <c r="O834" s="5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ht="15.75" customHeight="1">
      <c r="A835" s="3" t="s">
        <v>558</v>
      </c>
      <c r="B835" s="3" t="s">
        <v>559</v>
      </c>
      <c r="C835" s="3" t="s">
        <v>19</v>
      </c>
      <c r="D835" s="3" t="s">
        <v>560</v>
      </c>
      <c r="E835" s="3" t="s">
        <v>578</v>
      </c>
      <c r="F835" s="3">
        <v>4.0</v>
      </c>
      <c r="G835" s="4">
        <v>-27.65257</v>
      </c>
      <c r="H835" s="4">
        <v>-48.49598</v>
      </c>
      <c r="I835" s="5">
        <v>12.0</v>
      </c>
      <c r="J835" s="5" t="s">
        <v>24</v>
      </c>
      <c r="K835" s="5" t="s">
        <v>24</v>
      </c>
      <c r="L835" s="3"/>
      <c r="M835" s="5">
        <v>8.0</v>
      </c>
      <c r="N835" s="5">
        <v>31.0</v>
      </c>
      <c r="O835" s="5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ht="15.75" customHeight="1">
      <c r="A836" s="3" t="s">
        <v>558</v>
      </c>
      <c r="B836" s="3" t="s">
        <v>559</v>
      </c>
      <c r="C836" s="3" t="s">
        <v>19</v>
      </c>
      <c r="D836" s="3" t="s">
        <v>560</v>
      </c>
      <c r="E836" s="3" t="s">
        <v>578</v>
      </c>
      <c r="F836" s="3">
        <v>4.0</v>
      </c>
      <c r="G836" s="4">
        <v>-27.65257</v>
      </c>
      <c r="H836" s="4">
        <v>-48.49598</v>
      </c>
      <c r="I836" s="5">
        <v>13.0</v>
      </c>
      <c r="J836" s="5" t="s">
        <v>235</v>
      </c>
      <c r="K836" s="5" t="s">
        <v>235</v>
      </c>
      <c r="L836" s="3"/>
      <c r="M836" s="5">
        <v>6.0</v>
      </c>
      <c r="N836" s="5">
        <v>19.0</v>
      </c>
      <c r="O836" s="5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ht="15.75" customHeight="1">
      <c r="A837" s="3" t="s">
        <v>558</v>
      </c>
      <c r="B837" s="3" t="s">
        <v>559</v>
      </c>
      <c r="C837" s="3" t="s">
        <v>19</v>
      </c>
      <c r="D837" s="3" t="s">
        <v>560</v>
      </c>
      <c r="E837" s="3" t="s">
        <v>578</v>
      </c>
      <c r="F837" s="3">
        <v>4.0</v>
      </c>
      <c r="G837" s="4">
        <v>-27.65257</v>
      </c>
      <c r="H837" s="4">
        <v>-48.49598</v>
      </c>
      <c r="I837" s="5">
        <v>14.0</v>
      </c>
      <c r="J837" s="5" t="s">
        <v>154</v>
      </c>
      <c r="K837" s="5" t="s">
        <v>154</v>
      </c>
      <c r="L837" s="3"/>
      <c r="M837" s="5">
        <v>9.0</v>
      </c>
      <c r="N837" s="5">
        <v>27.0</v>
      </c>
      <c r="O837" s="5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ht="15.75" customHeight="1">
      <c r="A838" s="3" t="s">
        <v>558</v>
      </c>
      <c r="B838" s="3" t="s">
        <v>559</v>
      </c>
      <c r="C838" s="3" t="s">
        <v>80</v>
      </c>
      <c r="D838" s="3" t="s">
        <v>585</v>
      </c>
      <c r="E838" s="3" t="s">
        <v>586</v>
      </c>
      <c r="F838" s="3">
        <v>5.0</v>
      </c>
      <c r="G838" s="4">
        <v>-27.65022</v>
      </c>
      <c r="H838" s="4">
        <v>-48.4951</v>
      </c>
      <c r="I838" s="5">
        <v>1.0</v>
      </c>
      <c r="J838" s="5" t="s">
        <v>104</v>
      </c>
      <c r="K838" s="5" t="s">
        <v>104</v>
      </c>
      <c r="L838" s="3"/>
      <c r="M838" s="5">
        <v>8.0</v>
      </c>
      <c r="N838" s="5">
        <v>60.5</v>
      </c>
      <c r="O838" s="5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ht="15.75" customHeight="1">
      <c r="A839" s="3" t="s">
        <v>558</v>
      </c>
      <c r="B839" s="3" t="s">
        <v>559</v>
      </c>
      <c r="C839" s="3" t="s">
        <v>80</v>
      </c>
      <c r="D839" s="3" t="s">
        <v>585</v>
      </c>
      <c r="E839" s="3" t="s">
        <v>586</v>
      </c>
      <c r="F839" s="3">
        <v>5.0</v>
      </c>
      <c r="G839" s="4">
        <v>-27.65022</v>
      </c>
      <c r="H839" s="4">
        <v>-48.4951</v>
      </c>
      <c r="I839" s="5">
        <v>2.0</v>
      </c>
      <c r="J839" s="5" t="s">
        <v>104</v>
      </c>
      <c r="K839" s="5" t="s">
        <v>104</v>
      </c>
      <c r="L839" s="3"/>
      <c r="M839" s="5">
        <v>9.0</v>
      </c>
      <c r="N839" s="5">
        <v>28.5</v>
      </c>
      <c r="O839" s="5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ht="15.75" customHeight="1">
      <c r="A840" s="3" t="s">
        <v>558</v>
      </c>
      <c r="B840" s="3" t="s">
        <v>559</v>
      </c>
      <c r="C840" s="3" t="s">
        <v>80</v>
      </c>
      <c r="D840" s="3" t="s">
        <v>585</v>
      </c>
      <c r="E840" s="3" t="s">
        <v>586</v>
      </c>
      <c r="F840" s="3">
        <v>5.0</v>
      </c>
      <c r="G840" s="4">
        <v>-27.65022</v>
      </c>
      <c r="H840" s="4">
        <v>-48.4951</v>
      </c>
      <c r="I840" s="5">
        <v>3.0</v>
      </c>
      <c r="J840" s="5" t="s">
        <v>235</v>
      </c>
      <c r="K840" s="5" t="s">
        <v>235</v>
      </c>
      <c r="L840" s="3"/>
      <c r="M840" s="5">
        <v>4.0</v>
      </c>
      <c r="N840" s="5">
        <v>15.0</v>
      </c>
      <c r="O840" s="5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ht="15.75" customHeight="1">
      <c r="A841" s="3" t="s">
        <v>558</v>
      </c>
      <c r="B841" s="3" t="s">
        <v>559</v>
      </c>
      <c r="C841" s="3" t="s">
        <v>80</v>
      </c>
      <c r="D841" s="3" t="s">
        <v>585</v>
      </c>
      <c r="E841" s="3" t="s">
        <v>586</v>
      </c>
      <c r="F841" s="3">
        <v>5.0</v>
      </c>
      <c r="G841" s="4">
        <v>-27.65022</v>
      </c>
      <c r="H841" s="4">
        <v>-48.4951</v>
      </c>
      <c r="I841" s="5">
        <v>4.0</v>
      </c>
      <c r="J841" s="14" t="s">
        <v>587</v>
      </c>
      <c r="K841" s="14" t="s">
        <v>159</v>
      </c>
      <c r="L841" s="3"/>
      <c r="M841" s="5">
        <v>12.0</v>
      </c>
      <c r="N841" s="5">
        <v>77.0</v>
      </c>
      <c r="O841" s="5">
        <v>8293.0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ht="15.75" customHeight="1">
      <c r="A842" s="3" t="s">
        <v>558</v>
      </c>
      <c r="B842" s="3" t="s">
        <v>559</v>
      </c>
      <c r="C842" s="3" t="s">
        <v>80</v>
      </c>
      <c r="D842" s="3" t="s">
        <v>585</v>
      </c>
      <c r="E842" s="3" t="s">
        <v>586</v>
      </c>
      <c r="F842" s="3">
        <v>5.0</v>
      </c>
      <c r="G842" s="4">
        <v>-27.65022</v>
      </c>
      <c r="H842" s="4">
        <v>-48.4951</v>
      </c>
      <c r="I842" s="5">
        <v>5.0</v>
      </c>
      <c r="J842" s="14" t="s">
        <v>587</v>
      </c>
      <c r="K842" s="14" t="s">
        <v>159</v>
      </c>
      <c r="L842" s="3"/>
      <c r="M842" s="5">
        <v>7.0</v>
      </c>
      <c r="N842" s="5">
        <v>49.0</v>
      </c>
      <c r="O842" s="5">
        <v>8294.0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ht="15.75" customHeight="1">
      <c r="A843" s="3" t="s">
        <v>558</v>
      </c>
      <c r="B843" s="3" t="s">
        <v>559</v>
      </c>
      <c r="C843" s="3" t="s">
        <v>80</v>
      </c>
      <c r="D843" s="3" t="s">
        <v>585</v>
      </c>
      <c r="E843" s="3" t="s">
        <v>586</v>
      </c>
      <c r="F843" s="3">
        <v>5.0</v>
      </c>
      <c r="G843" s="4">
        <v>-27.65022</v>
      </c>
      <c r="H843" s="4">
        <v>-48.4951</v>
      </c>
      <c r="I843" s="5">
        <v>6.0</v>
      </c>
      <c r="J843" s="5" t="s">
        <v>146</v>
      </c>
      <c r="K843" s="5" t="s">
        <v>146</v>
      </c>
      <c r="L843" s="3"/>
      <c r="M843" s="5">
        <v>7.0</v>
      </c>
      <c r="N843" s="5">
        <v>56.0</v>
      </c>
      <c r="O843" s="5">
        <v>8295.0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ht="15.75" customHeight="1">
      <c r="A844" s="3" t="s">
        <v>558</v>
      </c>
      <c r="B844" s="3" t="s">
        <v>559</v>
      </c>
      <c r="C844" s="3" t="s">
        <v>80</v>
      </c>
      <c r="D844" s="3" t="s">
        <v>585</v>
      </c>
      <c r="E844" s="3" t="s">
        <v>586</v>
      </c>
      <c r="F844" s="3">
        <v>5.0</v>
      </c>
      <c r="G844" s="4">
        <v>-27.65022</v>
      </c>
      <c r="H844" s="4">
        <v>-48.4951</v>
      </c>
      <c r="I844" s="5">
        <v>7.0</v>
      </c>
      <c r="J844" s="5" t="s">
        <v>146</v>
      </c>
      <c r="K844" s="5" t="s">
        <v>146</v>
      </c>
      <c r="L844" s="3"/>
      <c r="M844" s="5">
        <v>8.0</v>
      </c>
      <c r="N844" s="5">
        <v>29.5</v>
      </c>
      <c r="O844" s="5">
        <v>8296.0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ht="15.75" customHeight="1">
      <c r="A845" s="3" t="s">
        <v>558</v>
      </c>
      <c r="B845" s="3" t="s">
        <v>559</v>
      </c>
      <c r="C845" s="3" t="s">
        <v>80</v>
      </c>
      <c r="D845" s="3" t="s">
        <v>585</v>
      </c>
      <c r="E845" s="3" t="s">
        <v>586</v>
      </c>
      <c r="F845" s="3">
        <v>5.0</v>
      </c>
      <c r="G845" s="4">
        <v>-27.65022</v>
      </c>
      <c r="H845" s="4">
        <v>-48.4951</v>
      </c>
      <c r="I845" s="5">
        <v>8.0</v>
      </c>
      <c r="J845" s="5" t="s">
        <v>56</v>
      </c>
      <c r="K845" s="5" t="s">
        <v>56</v>
      </c>
      <c r="L845" s="3"/>
      <c r="M845" s="5">
        <v>7.0</v>
      </c>
      <c r="N845" s="5">
        <v>24.0</v>
      </c>
      <c r="O845" s="5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ht="15.75" customHeight="1">
      <c r="A846" s="3" t="s">
        <v>558</v>
      </c>
      <c r="B846" s="3" t="s">
        <v>559</v>
      </c>
      <c r="C846" s="3" t="s">
        <v>80</v>
      </c>
      <c r="D846" s="3" t="s">
        <v>585</v>
      </c>
      <c r="E846" s="3" t="s">
        <v>586</v>
      </c>
      <c r="F846" s="3">
        <v>5.0</v>
      </c>
      <c r="G846" s="4">
        <v>-27.65022</v>
      </c>
      <c r="H846" s="4">
        <v>-48.4951</v>
      </c>
      <c r="I846" s="5">
        <v>9.0</v>
      </c>
      <c r="J846" s="5" t="s">
        <v>202</v>
      </c>
      <c r="K846" s="5" t="s">
        <v>202</v>
      </c>
      <c r="L846" s="3"/>
      <c r="M846" s="5">
        <v>5.0</v>
      </c>
      <c r="N846" s="5">
        <v>18.0</v>
      </c>
      <c r="O846" s="5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ht="15.75" customHeight="1">
      <c r="A847" s="3" t="s">
        <v>558</v>
      </c>
      <c r="B847" s="3" t="s">
        <v>559</v>
      </c>
      <c r="C847" s="3" t="s">
        <v>80</v>
      </c>
      <c r="D847" s="3" t="s">
        <v>585</v>
      </c>
      <c r="E847" s="3" t="s">
        <v>586</v>
      </c>
      <c r="F847" s="3">
        <v>5.0</v>
      </c>
      <c r="G847" s="4">
        <v>-27.65022</v>
      </c>
      <c r="H847" s="4">
        <v>-48.4951</v>
      </c>
      <c r="I847" s="5">
        <v>10.0</v>
      </c>
      <c r="J847" s="5" t="s">
        <v>97</v>
      </c>
      <c r="K847" s="5" t="s">
        <v>97</v>
      </c>
      <c r="L847" s="3"/>
      <c r="M847" s="5">
        <v>10.0</v>
      </c>
      <c r="N847" s="5">
        <v>71.0</v>
      </c>
      <c r="O847" s="5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ht="15.75" customHeight="1">
      <c r="A848" s="3" t="s">
        <v>558</v>
      </c>
      <c r="B848" s="3" t="s">
        <v>559</v>
      </c>
      <c r="C848" s="3" t="s">
        <v>80</v>
      </c>
      <c r="D848" s="3" t="s">
        <v>585</v>
      </c>
      <c r="E848" s="3" t="s">
        <v>586</v>
      </c>
      <c r="F848" s="3">
        <v>5.0</v>
      </c>
      <c r="G848" s="4">
        <v>-27.65022</v>
      </c>
      <c r="H848" s="4">
        <v>-48.4951</v>
      </c>
      <c r="I848" s="5">
        <v>11.0</v>
      </c>
      <c r="J848" s="5" t="s">
        <v>24</v>
      </c>
      <c r="K848" s="5" t="s">
        <v>24</v>
      </c>
      <c r="L848" s="3"/>
      <c r="M848" s="5">
        <v>9.0</v>
      </c>
      <c r="N848" s="5">
        <v>44.0</v>
      </c>
      <c r="O848" s="5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ht="15.75" customHeight="1">
      <c r="A849" s="3" t="s">
        <v>558</v>
      </c>
      <c r="B849" s="3" t="s">
        <v>559</v>
      </c>
      <c r="C849" s="3" t="s">
        <v>80</v>
      </c>
      <c r="D849" s="3" t="s">
        <v>585</v>
      </c>
      <c r="E849" s="3" t="s">
        <v>586</v>
      </c>
      <c r="F849" s="3">
        <v>5.0</v>
      </c>
      <c r="G849" s="4">
        <v>-27.65022</v>
      </c>
      <c r="H849" s="4">
        <v>-48.4951</v>
      </c>
      <c r="I849" s="5">
        <v>12.0</v>
      </c>
      <c r="J849" s="5" t="s">
        <v>97</v>
      </c>
      <c r="K849" s="5" t="s">
        <v>97</v>
      </c>
      <c r="L849" s="3"/>
      <c r="M849" s="5">
        <v>12.0</v>
      </c>
      <c r="N849" s="5">
        <v>57.0</v>
      </c>
      <c r="O849" s="5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ht="15.75" customHeight="1">
      <c r="A850" s="3" t="s">
        <v>558</v>
      </c>
      <c r="B850" s="3" t="s">
        <v>559</v>
      </c>
      <c r="C850" s="3" t="s">
        <v>80</v>
      </c>
      <c r="D850" s="3" t="s">
        <v>585</v>
      </c>
      <c r="E850" s="3" t="s">
        <v>586</v>
      </c>
      <c r="F850" s="3">
        <v>5.0</v>
      </c>
      <c r="G850" s="4">
        <v>-27.65022</v>
      </c>
      <c r="H850" s="4">
        <v>-48.4951</v>
      </c>
      <c r="I850" s="5">
        <v>13.0</v>
      </c>
      <c r="J850" s="5" t="s">
        <v>565</v>
      </c>
      <c r="K850" s="5" t="s">
        <v>565</v>
      </c>
      <c r="L850" s="3"/>
      <c r="M850" s="5">
        <v>5.0</v>
      </c>
      <c r="N850" s="5">
        <v>21.0</v>
      </c>
      <c r="O850" s="5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ht="15.75" customHeight="1">
      <c r="A851" s="3" t="s">
        <v>558</v>
      </c>
      <c r="B851" s="3" t="s">
        <v>559</v>
      </c>
      <c r="C851" s="3" t="s">
        <v>80</v>
      </c>
      <c r="D851" s="3" t="s">
        <v>585</v>
      </c>
      <c r="E851" s="3" t="s">
        <v>586</v>
      </c>
      <c r="F851" s="3">
        <v>5.0</v>
      </c>
      <c r="G851" s="4">
        <v>-27.65022</v>
      </c>
      <c r="H851" s="4">
        <v>-48.4951</v>
      </c>
      <c r="I851" s="5">
        <v>14.0</v>
      </c>
      <c r="J851" s="5" t="s">
        <v>565</v>
      </c>
      <c r="K851" s="5" t="s">
        <v>565</v>
      </c>
      <c r="L851" s="3"/>
      <c r="M851" s="5">
        <v>12.0</v>
      </c>
      <c r="N851" s="5">
        <v>90.0</v>
      </c>
      <c r="O851" s="5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ht="15.75" customHeight="1">
      <c r="A852" s="3" t="s">
        <v>558</v>
      </c>
      <c r="B852" s="3" t="s">
        <v>559</v>
      </c>
      <c r="C852" s="3" t="s">
        <v>80</v>
      </c>
      <c r="D852" s="3" t="s">
        <v>585</v>
      </c>
      <c r="E852" s="3" t="s">
        <v>588</v>
      </c>
      <c r="F852" s="3">
        <v>6.0</v>
      </c>
      <c r="G852" s="4">
        <v>-27.65056</v>
      </c>
      <c r="H852" s="4">
        <v>-48.49444</v>
      </c>
      <c r="I852" s="5">
        <v>1.0</v>
      </c>
      <c r="J852" s="5" t="s">
        <v>589</v>
      </c>
      <c r="K852" s="5" t="s">
        <v>589</v>
      </c>
      <c r="L852" s="3"/>
      <c r="M852" s="5">
        <v>14.0</v>
      </c>
      <c r="N852" s="5">
        <v>56.0</v>
      </c>
      <c r="O852" s="5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ht="15.75" customHeight="1">
      <c r="A853" s="3" t="s">
        <v>558</v>
      </c>
      <c r="B853" s="3" t="s">
        <v>559</v>
      </c>
      <c r="C853" s="3" t="s">
        <v>80</v>
      </c>
      <c r="D853" s="3" t="s">
        <v>585</v>
      </c>
      <c r="E853" s="3" t="s">
        <v>588</v>
      </c>
      <c r="F853" s="3">
        <v>6.0</v>
      </c>
      <c r="G853" s="4">
        <v>-27.65056</v>
      </c>
      <c r="H853" s="4">
        <v>-48.49444</v>
      </c>
      <c r="I853" s="5">
        <v>2.0</v>
      </c>
      <c r="J853" s="5" t="s">
        <v>98</v>
      </c>
      <c r="K853" s="5" t="s">
        <v>98</v>
      </c>
      <c r="L853" s="3"/>
      <c r="M853" s="5">
        <v>10.0</v>
      </c>
      <c r="N853" s="5">
        <v>51.0</v>
      </c>
      <c r="O853" s="5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ht="15.75" customHeight="1">
      <c r="A854" s="3" t="s">
        <v>558</v>
      </c>
      <c r="B854" s="3" t="s">
        <v>559</v>
      </c>
      <c r="C854" s="3" t="s">
        <v>80</v>
      </c>
      <c r="D854" s="3" t="s">
        <v>585</v>
      </c>
      <c r="E854" s="3" t="s">
        <v>588</v>
      </c>
      <c r="F854" s="3">
        <v>6.0</v>
      </c>
      <c r="G854" s="4">
        <v>-27.65056</v>
      </c>
      <c r="H854" s="4">
        <v>-48.49444</v>
      </c>
      <c r="I854" s="5">
        <v>3.0</v>
      </c>
      <c r="J854" s="5" t="s">
        <v>146</v>
      </c>
      <c r="K854" s="5" t="s">
        <v>146</v>
      </c>
      <c r="L854" s="3"/>
      <c r="M854" s="5">
        <v>8.0</v>
      </c>
      <c r="N854" s="5">
        <v>35.4</v>
      </c>
      <c r="O854" s="5">
        <v>8299.0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ht="15.75" customHeight="1">
      <c r="A855" s="3" t="s">
        <v>558</v>
      </c>
      <c r="B855" s="3" t="s">
        <v>559</v>
      </c>
      <c r="C855" s="3" t="s">
        <v>80</v>
      </c>
      <c r="D855" s="3" t="s">
        <v>585</v>
      </c>
      <c r="E855" s="3" t="s">
        <v>588</v>
      </c>
      <c r="F855" s="3">
        <v>6.0</v>
      </c>
      <c r="G855" s="4">
        <v>-27.65056</v>
      </c>
      <c r="H855" s="4">
        <v>-48.49444</v>
      </c>
      <c r="I855" s="5">
        <v>4.0</v>
      </c>
      <c r="J855" s="5" t="s">
        <v>525</v>
      </c>
      <c r="K855" s="5" t="s">
        <v>525</v>
      </c>
      <c r="L855" s="3"/>
      <c r="M855" s="5">
        <v>12.0</v>
      </c>
      <c r="N855" s="5">
        <v>96.5</v>
      </c>
      <c r="O855" s="5" t="s">
        <v>590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ht="15.75" customHeight="1">
      <c r="A856" s="3" t="s">
        <v>558</v>
      </c>
      <c r="B856" s="3" t="s">
        <v>559</v>
      </c>
      <c r="C856" s="3" t="s">
        <v>80</v>
      </c>
      <c r="D856" s="3" t="s">
        <v>585</v>
      </c>
      <c r="E856" s="3" t="s">
        <v>588</v>
      </c>
      <c r="F856" s="3">
        <v>6.0</v>
      </c>
      <c r="G856" s="4">
        <v>-27.65056</v>
      </c>
      <c r="H856" s="4">
        <v>-48.49444</v>
      </c>
      <c r="I856" s="5">
        <v>5.0</v>
      </c>
      <c r="J856" s="5" t="s">
        <v>104</v>
      </c>
      <c r="K856" s="5" t="s">
        <v>104</v>
      </c>
      <c r="L856" s="3"/>
      <c r="M856" s="5">
        <v>8.0</v>
      </c>
      <c r="N856" s="5">
        <v>25.0</v>
      </c>
      <c r="O856" s="5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ht="15.75" customHeight="1">
      <c r="A857" s="3" t="s">
        <v>558</v>
      </c>
      <c r="B857" s="3" t="s">
        <v>559</v>
      </c>
      <c r="C857" s="3" t="s">
        <v>80</v>
      </c>
      <c r="D857" s="3" t="s">
        <v>585</v>
      </c>
      <c r="E857" s="3" t="s">
        <v>588</v>
      </c>
      <c r="F857" s="3">
        <v>6.0</v>
      </c>
      <c r="G857" s="4">
        <v>-27.65056</v>
      </c>
      <c r="H857" s="4">
        <v>-48.49444</v>
      </c>
      <c r="I857" s="5">
        <v>6.0</v>
      </c>
      <c r="J857" s="5" t="s">
        <v>104</v>
      </c>
      <c r="K857" s="5" t="s">
        <v>104</v>
      </c>
      <c r="L857" s="3"/>
      <c r="M857" s="5">
        <v>10.0</v>
      </c>
      <c r="N857" s="5">
        <v>75.0</v>
      </c>
      <c r="O857" s="5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ht="15.75" customHeight="1">
      <c r="A858" s="3" t="s">
        <v>558</v>
      </c>
      <c r="B858" s="3" t="s">
        <v>559</v>
      </c>
      <c r="C858" s="3" t="s">
        <v>80</v>
      </c>
      <c r="D858" s="3" t="s">
        <v>585</v>
      </c>
      <c r="E858" s="3" t="s">
        <v>588</v>
      </c>
      <c r="F858" s="3">
        <v>6.0</v>
      </c>
      <c r="G858" s="4">
        <v>-27.65056</v>
      </c>
      <c r="H858" s="4">
        <v>-48.49444</v>
      </c>
      <c r="I858" s="5">
        <v>7.0</v>
      </c>
      <c r="J858" s="5" t="s">
        <v>591</v>
      </c>
      <c r="K858" s="5" t="s">
        <v>315</v>
      </c>
      <c r="L858" s="3"/>
      <c r="M858" s="5">
        <v>5.0</v>
      </c>
      <c r="N858" s="5">
        <v>21.0</v>
      </c>
      <c r="O858" s="11"/>
      <c r="P858" s="5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ht="15.75" customHeight="1">
      <c r="A859" s="3" t="s">
        <v>558</v>
      </c>
      <c r="B859" s="3" t="s">
        <v>559</v>
      </c>
      <c r="C859" s="3" t="s">
        <v>80</v>
      </c>
      <c r="D859" s="3" t="s">
        <v>585</v>
      </c>
      <c r="E859" s="3" t="s">
        <v>588</v>
      </c>
      <c r="F859" s="3">
        <v>6.0</v>
      </c>
      <c r="G859" s="4">
        <v>-27.65056</v>
      </c>
      <c r="H859" s="4">
        <v>-48.49444</v>
      </c>
      <c r="I859" s="5">
        <v>8.0</v>
      </c>
      <c r="J859" s="5" t="s">
        <v>191</v>
      </c>
      <c r="K859" s="5" t="s">
        <v>191</v>
      </c>
      <c r="L859" s="3"/>
      <c r="M859" s="5">
        <v>8.0</v>
      </c>
      <c r="N859" s="5">
        <v>39.0</v>
      </c>
      <c r="O859" s="5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ht="15.75" customHeight="1">
      <c r="A860" s="3" t="s">
        <v>558</v>
      </c>
      <c r="B860" s="3" t="s">
        <v>559</v>
      </c>
      <c r="C860" s="3" t="s">
        <v>80</v>
      </c>
      <c r="D860" s="3" t="s">
        <v>585</v>
      </c>
      <c r="E860" s="3" t="s">
        <v>588</v>
      </c>
      <c r="F860" s="3">
        <v>6.0</v>
      </c>
      <c r="G860" s="4">
        <v>-27.65056</v>
      </c>
      <c r="H860" s="4">
        <v>-48.49444</v>
      </c>
      <c r="I860" s="5">
        <v>9.0</v>
      </c>
      <c r="J860" s="5" t="s">
        <v>589</v>
      </c>
      <c r="K860" s="5" t="s">
        <v>589</v>
      </c>
      <c r="L860" s="3"/>
      <c r="M860" s="5">
        <v>8.0</v>
      </c>
      <c r="N860" s="5">
        <v>123.0</v>
      </c>
      <c r="O860" s="5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ht="15.75" customHeight="1">
      <c r="A861" s="3" t="s">
        <v>558</v>
      </c>
      <c r="B861" s="3" t="s">
        <v>559</v>
      </c>
      <c r="C861" s="3" t="s">
        <v>80</v>
      </c>
      <c r="D861" s="3" t="s">
        <v>585</v>
      </c>
      <c r="E861" s="3" t="s">
        <v>588</v>
      </c>
      <c r="F861" s="3">
        <v>6.0</v>
      </c>
      <c r="G861" s="4">
        <v>-27.65056</v>
      </c>
      <c r="H861" s="4">
        <v>-48.49444</v>
      </c>
      <c r="I861" s="5">
        <v>10.0</v>
      </c>
      <c r="J861" s="5" t="s">
        <v>104</v>
      </c>
      <c r="K861" s="5" t="s">
        <v>104</v>
      </c>
      <c r="L861" s="3"/>
      <c r="M861" s="5">
        <v>7.0</v>
      </c>
      <c r="N861" s="5">
        <v>20.0</v>
      </c>
      <c r="O861" s="5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ht="15.75" customHeight="1">
      <c r="A862" s="3" t="s">
        <v>558</v>
      </c>
      <c r="B862" s="3" t="s">
        <v>559</v>
      </c>
      <c r="C862" s="3" t="s">
        <v>80</v>
      </c>
      <c r="D862" s="3" t="s">
        <v>585</v>
      </c>
      <c r="E862" s="3" t="s">
        <v>588</v>
      </c>
      <c r="F862" s="3">
        <v>6.0</v>
      </c>
      <c r="G862" s="4">
        <v>-27.65056</v>
      </c>
      <c r="H862" s="4">
        <v>-48.49444</v>
      </c>
      <c r="I862" s="5">
        <v>11.0</v>
      </c>
      <c r="J862" s="5" t="s">
        <v>154</v>
      </c>
      <c r="K862" s="5" t="s">
        <v>154</v>
      </c>
      <c r="L862" s="3"/>
      <c r="M862" s="5">
        <v>10.0</v>
      </c>
      <c r="N862" s="5">
        <v>38.5</v>
      </c>
      <c r="O862" s="5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ht="15.75" customHeight="1">
      <c r="A863" s="3" t="s">
        <v>558</v>
      </c>
      <c r="B863" s="3" t="s">
        <v>559</v>
      </c>
      <c r="C863" s="3" t="s">
        <v>80</v>
      </c>
      <c r="D863" s="3" t="s">
        <v>585</v>
      </c>
      <c r="E863" s="3" t="s">
        <v>588</v>
      </c>
      <c r="F863" s="3">
        <v>6.0</v>
      </c>
      <c r="G863" s="4">
        <v>-27.65056</v>
      </c>
      <c r="H863" s="4">
        <v>-48.49444</v>
      </c>
      <c r="I863" s="5">
        <v>12.0</v>
      </c>
      <c r="J863" s="5" t="s">
        <v>28</v>
      </c>
      <c r="K863" s="5" t="s">
        <v>28</v>
      </c>
      <c r="L863" s="3"/>
      <c r="M863" s="5">
        <v>12.0</v>
      </c>
      <c r="N863" s="5">
        <v>89.5</v>
      </c>
      <c r="O863" s="5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ht="15.75" customHeight="1">
      <c r="A864" s="3" t="s">
        <v>558</v>
      </c>
      <c r="B864" s="3" t="s">
        <v>559</v>
      </c>
      <c r="C864" s="3" t="s">
        <v>80</v>
      </c>
      <c r="D864" s="3" t="s">
        <v>585</v>
      </c>
      <c r="E864" s="3" t="s">
        <v>588</v>
      </c>
      <c r="F864" s="3">
        <v>6.0</v>
      </c>
      <c r="G864" s="4">
        <v>-27.65056</v>
      </c>
      <c r="H864" s="4">
        <v>-48.49444</v>
      </c>
      <c r="I864" s="5">
        <v>13.0</v>
      </c>
      <c r="J864" s="5" t="s">
        <v>592</v>
      </c>
      <c r="K864" s="5" t="s">
        <v>592</v>
      </c>
      <c r="L864" s="3"/>
      <c r="M864" s="5">
        <v>5.0</v>
      </c>
      <c r="N864" s="5">
        <v>17.0</v>
      </c>
      <c r="O864" s="5" t="s">
        <v>593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ht="15.75" customHeight="1">
      <c r="A865" s="3" t="s">
        <v>558</v>
      </c>
      <c r="B865" s="3" t="s">
        <v>559</v>
      </c>
      <c r="C865" s="3" t="s">
        <v>80</v>
      </c>
      <c r="D865" s="3" t="s">
        <v>585</v>
      </c>
      <c r="E865" s="3" t="s">
        <v>588</v>
      </c>
      <c r="F865" s="3">
        <v>6.0</v>
      </c>
      <c r="G865" s="4">
        <v>-27.65056</v>
      </c>
      <c r="H865" s="4">
        <v>-48.49444</v>
      </c>
      <c r="I865" s="5">
        <v>14.0</v>
      </c>
      <c r="J865" s="5" t="s">
        <v>591</v>
      </c>
      <c r="K865" s="5" t="s">
        <v>315</v>
      </c>
      <c r="L865" s="3"/>
      <c r="M865" s="5">
        <v>5.0</v>
      </c>
      <c r="N865" s="5">
        <v>30.0</v>
      </c>
      <c r="O865" s="5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ht="15.75" customHeight="1">
      <c r="A866" s="3" t="s">
        <v>558</v>
      </c>
      <c r="B866" s="3" t="s">
        <v>559</v>
      </c>
      <c r="C866" s="3" t="s">
        <v>80</v>
      </c>
      <c r="D866" s="3" t="s">
        <v>585</v>
      </c>
      <c r="E866" s="3" t="s">
        <v>588</v>
      </c>
      <c r="F866" s="3">
        <v>6.0</v>
      </c>
      <c r="G866" s="4">
        <v>-27.65056</v>
      </c>
      <c r="H866" s="4">
        <v>-48.49444</v>
      </c>
      <c r="I866" s="5">
        <v>15.0</v>
      </c>
      <c r="J866" s="5" t="s">
        <v>104</v>
      </c>
      <c r="K866" s="5" t="s">
        <v>104</v>
      </c>
      <c r="L866" s="3"/>
      <c r="M866" s="5">
        <v>6.0</v>
      </c>
      <c r="N866" s="5">
        <v>29.5</v>
      </c>
      <c r="O866" s="5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ht="15.75" customHeight="1">
      <c r="A867" s="3" t="s">
        <v>558</v>
      </c>
      <c r="B867" s="3" t="s">
        <v>559</v>
      </c>
      <c r="C867" s="3" t="s">
        <v>80</v>
      </c>
      <c r="D867" s="3" t="s">
        <v>585</v>
      </c>
      <c r="E867" s="3" t="s">
        <v>588</v>
      </c>
      <c r="F867" s="3">
        <v>6.0</v>
      </c>
      <c r="G867" s="4">
        <v>-27.65056</v>
      </c>
      <c r="H867" s="4">
        <v>-48.49444</v>
      </c>
      <c r="I867" s="5">
        <v>16.0</v>
      </c>
      <c r="J867" s="5" t="s">
        <v>98</v>
      </c>
      <c r="K867" s="5" t="s">
        <v>98</v>
      </c>
      <c r="L867" s="3"/>
      <c r="M867" s="5">
        <v>7.0</v>
      </c>
      <c r="N867" s="5">
        <v>21.0</v>
      </c>
      <c r="O867" s="5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ht="15.75" customHeight="1">
      <c r="A868" s="3" t="s">
        <v>558</v>
      </c>
      <c r="B868" s="3" t="s">
        <v>559</v>
      </c>
      <c r="C868" s="3" t="s">
        <v>80</v>
      </c>
      <c r="D868" s="3" t="s">
        <v>585</v>
      </c>
      <c r="E868" s="3" t="s">
        <v>588</v>
      </c>
      <c r="F868" s="3">
        <v>6.0</v>
      </c>
      <c r="G868" s="4">
        <v>-27.65056</v>
      </c>
      <c r="H868" s="4">
        <v>-48.49444</v>
      </c>
      <c r="I868" s="5">
        <v>17.0</v>
      </c>
      <c r="J868" s="5" t="s">
        <v>146</v>
      </c>
      <c r="K868" s="5" t="s">
        <v>146</v>
      </c>
      <c r="L868" s="3"/>
      <c r="M868" s="5">
        <v>10.0</v>
      </c>
      <c r="N868" s="5">
        <v>56.0</v>
      </c>
      <c r="O868" s="5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ht="15.75" customHeight="1">
      <c r="A869" s="3" t="s">
        <v>558</v>
      </c>
      <c r="B869" s="3" t="s">
        <v>559</v>
      </c>
      <c r="C869" s="3" t="s">
        <v>80</v>
      </c>
      <c r="D869" s="3" t="s">
        <v>585</v>
      </c>
      <c r="E869" s="3" t="s">
        <v>588</v>
      </c>
      <c r="F869" s="3">
        <v>6.0</v>
      </c>
      <c r="G869" s="4">
        <v>-27.65056</v>
      </c>
      <c r="H869" s="4">
        <v>-48.49444</v>
      </c>
      <c r="I869" s="5">
        <v>18.0</v>
      </c>
      <c r="J869" s="5" t="s">
        <v>146</v>
      </c>
      <c r="K869" s="5" t="s">
        <v>146</v>
      </c>
      <c r="L869" s="3"/>
      <c r="M869" s="5">
        <v>8.0</v>
      </c>
      <c r="N869" s="5" t="s">
        <v>594</v>
      </c>
      <c r="O869" s="5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ht="15.75" customHeight="1">
      <c r="A870" s="3" t="s">
        <v>558</v>
      </c>
      <c r="B870" s="3" t="s">
        <v>559</v>
      </c>
      <c r="C870" s="3" t="s">
        <v>80</v>
      </c>
      <c r="D870" s="3" t="s">
        <v>585</v>
      </c>
      <c r="E870" s="3" t="s">
        <v>588</v>
      </c>
      <c r="F870" s="3">
        <v>6.0</v>
      </c>
      <c r="G870" s="4">
        <v>-27.65056</v>
      </c>
      <c r="H870" s="4">
        <v>-48.49444</v>
      </c>
      <c r="I870" s="5">
        <v>19.0</v>
      </c>
      <c r="J870" s="21" t="s">
        <v>595</v>
      </c>
      <c r="K870" s="21" t="s">
        <v>596</v>
      </c>
      <c r="L870" s="3"/>
      <c r="M870" s="5">
        <v>5.5</v>
      </c>
      <c r="N870" s="5">
        <v>19.0</v>
      </c>
      <c r="O870" s="5">
        <v>8308.0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ht="15.75" customHeight="1">
      <c r="A871" s="3" t="s">
        <v>558</v>
      </c>
      <c r="B871" s="3" t="s">
        <v>559</v>
      </c>
      <c r="C871" s="3" t="s">
        <v>80</v>
      </c>
      <c r="D871" s="3" t="s">
        <v>585</v>
      </c>
      <c r="E871" s="3" t="s">
        <v>588</v>
      </c>
      <c r="F871" s="3">
        <v>6.0</v>
      </c>
      <c r="G871" s="4">
        <v>-27.65056</v>
      </c>
      <c r="H871" s="4">
        <v>-48.49444</v>
      </c>
      <c r="I871" s="5">
        <v>20.0</v>
      </c>
      <c r="J871" s="5" t="s">
        <v>97</v>
      </c>
      <c r="K871" s="5" t="s">
        <v>97</v>
      </c>
      <c r="L871" s="3"/>
      <c r="M871" s="5">
        <v>12.0</v>
      </c>
      <c r="N871" s="5">
        <v>49.0</v>
      </c>
      <c r="O871" s="5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ht="15.75" customHeight="1">
      <c r="A872" s="3" t="s">
        <v>558</v>
      </c>
      <c r="B872" s="3" t="s">
        <v>559</v>
      </c>
      <c r="C872" s="3" t="s">
        <v>80</v>
      </c>
      <c r="D872" s="3" t="s">
        <v>585</v>
      </c>
      <c r="E872" s="3" t="s">
        <v>588</v>
      </c>
      <c r="F872" s="3">
        <v>6.0</v>
      </c>
      <c r="G872" s="4">
        <v>-27.65056</v>
      </c>
      <c r="H872" s="4">
        <v>-48.49444</v>
      </c>
      <c r="I872" s="5">
        <v>21.0</v>
      </c>
      <c r="J872" s="5" t="s">
        <v>97</v>
      </c>
      <c r="K872" s="5" t="s">
        <v>97</v>
      </c>
      <c r="L872" s="3"/>
      <c r="M872" s="5">
        <v>8.0</v>
      </c>
      <c r="N872" s="5">
        <v>20.0</v>
      </c>
      <c r="O872" s="5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ht="15.75" customHeight="1">
      <c r="A873" s="3" t="s">
        <v>558</v>
      </c>
      <c r="B873" s="3" t="s">
        <v>559</v>
      </c>
      <c r="C873" s="3" t="s">
        <v>80</v>
      </c>
      <c r="D873" s="3" t="s">
        <v>585</v>
      </c>
      <c r="E873" s="3" t="s">
        <v>597</v>
      </c>
      <c r="F873" s="3">
        <v>7.0</v>
      </c>
      <c r="G873" s="4">
        <v>-27.64989</v>
      </c>
      <c r="H873" s="4">
        <v>-48.49526</v>
      </c>
      <c r="I873" s="5">
        <v>1.0</v>
      </c>
      <c r="J873" s="5" t="s">
        <v>202</v>
      </c>
      <c r="K873" s="5" t="s">
        <v>202</v>
      </c>
      <c r="L873" s="3"/>
      <c r="M873" s="5">
        <v>6.0</v>
      </c>
      <c r="N873" s="5">
        <v>21.0</v>
      </c>
      <c r="O873" s="5" t="s">
        <v>598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ht="15.75" customHeight="1">
      <c r="A874" s="3" t="s">
        <v>558</v>
      </c>
      <c r="B874" s="3" t="s">
        <v>559</v>
      </c>
      <c r="C874" s="3" t="s">
        <v>80</v>
      </c>
      <c r="D874" s="3" t="s">
        <v>585</v>
      </c>
      <c r="E874" s="3" t="s">
        <v>597</v>
      </c>
      <c r="F874" s="3">
        <v>7.0</v>
      </c>
      <c r="G874" s="4">
        <v>-27.64989</v>
      </c>
      <c r="H874" s="4">
        <v>-48.49526</v>
      </c>
      <c r="I874" s="5">
        <v>2.0</v>
      </c>
      <c r="J874" s="5" t="s">
        <v>28</v>
      </c>
      <c r="K874" s="5" t="s">
        <v>28</v>
      </c>
      <c r="L874" s="3"/>
      <c r="M874" s="5">
        <v>12.0</v>
      </c>
      <c r="N874" s="5">
        <v>65.5</v>
      </c>
      <c r="O874" s="5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ht="15.75" customHeight="1">
      <c r="A875" s="3" t="s">
        <v>558</v>
      </c>
      <c r="B875" s="3" t="s">
        <v>559</v>
      </c>
      <c r="C875" s="3" t="s">
        <v>80</v>
      </c>
      <c r="D875" s="3" t="s">
        <v>585</v>
      </c>
      <c r="E875" s="3" t="s">
        <v>597</v>
      </c>
      <c r="F875" s="3">
        <v>7.0</v>
      </c>
      <c r="G875" s="4">
        <v>-27.64989</v>
      </c>
      <c r="H875" s="4">
        <v>-48.49526</v>
      </c>
      <c r="I875" s="5">
        <v>3.0</v>
      </c>
      <c r="J875" s="5" t="s">
        <v>108</v>
      </c>
      <c r="K875" s="5" t="s">
        <v>108</v>
      </c>
      <c r="L875" s="3"/>
      <c r="M875" s="5">
        <v>10.0</v>
      </c>
      <c r="N875" s="5">
        <v>65.0</v>
      </c>
      <c r="O875" s="5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ht="15.75" customHeight="1">
      <c r="A876" s="3" t="s">
        <v>558</v>
      </c>
      <c r="B876" s="3" t="s">
        <v>559</v>
      </c>
      <c r="C876" s="3" t="s">
        <v>80</v>
      </c>
      <c r="D876" s="3" t="s">
        <v>585</v>
      </c>
      <c r="E876" s="3" t="s">
        <v>597</v>
      </c>
      <c r="F876" s="3">
        <v>7.0</v>
      </c>
      <c r="G876" s="4">
        <v>-27.64989</v>
      </c>
      <c r="H876" s="4">
        <v>-48.49526</v>
      </c>
      <c r="I876" s="5">
        <v>4.0</v>
      </c>
      <c r="J876" s="5" t="s">
        <v>56</v>
      </c>
      <c r="K876" s="5" t="s">
        <v>56</v>
      </c>
      <c r="L876" s="3"/>
      <c r="M876" s="5">
        <v>6.0</v>
      </c>
      <c r="N876" s="5">
        <v>16.5</v>
      </c>
      <c r="O876" s="5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ht="15.75" customHeight="1">
      <c r="A877" s="3" t="s">
        <v>558</v>
      </c>
      <c r="B877" s="3" t="s">
        <v>559</v>
      </c>
      <c r="C877" s="3" t="s">
        <v>80</v>
      </c>
      <c r="D877" s="3" t="s">
        <v>585</v>
      </c>
      <c r="E877" s="3" t="s">
        <v>597</v>
      </c>
      <c r="F877" s="3">
        <v>7.0</v>
      </c>
      <c r="G877" s="4">
        <v>-27.64989</v>
      </c>
      <c r="H877" s="4">
        <v>-48.49526</v>
      </c>
      <c r="I877" s="5">
        <v>5.0</v>
      </c>
      <c r="J877" s="5" t="s">
        <v>56</v>
      </c>
      <c r="K877" s="5" t="s">
        <v>56</v>
      </c>
      <c r="L877" s="3"/>
      <c r="M877" s="5">
        <v>5.0</v>
      </c>
      <c r="N877" s="5">
        <v>23.5</v>
      </c>
      <c r="O877" s="5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ht="15.75" customHeight="1">
      <c r="A878" s="3" t="s">
        <v>558</v>
      </c>
      <c r="B878" s="3" t="s">
        <v>559</v>
      </c>
      <c r="C878" s="3" t="s">
        <v>80</v>
      </c>
      <c r="D878" s="3" t="s">
        <v>585</v>
      </c>
      <c r="E878" s="3" t="s">
        <v>597</v>
      </c>
      <c r="F878" s="3">
        <v>7.0</v>
      </c>
      <c r="G878" s="4">
        <v>-27.64989</v>
      </c>
      <c r="H878" s="4">
        <v>-48.49526</v>
      </c>
      <c r="I878" s="5">
        <v>6.0</v>
      </c>
      <c r="J878" s="5" t="s">
        <v>599</v>
      </c>
      <c r="K878" s="5" t="s">
        <v>599</v>
      </c>
      <c r="L878" s="3"/>
      <c r="M878" s="5">
        <v>7.0</v>
      </c>
      <c r="N878" s="5">
        <v>36.5</v>
      </c>
      <c r="O878" s="5" t="s">
        <v>600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ht="15.75" customHeight="1">
      <c r="A879" s="3" t="s">
        <v>558</v>
      </c>
      <c r="B879" s="3" t="s">
        <v>559</v>
      </c>
      <c r="C879" s="3" t="s">
        <v>80</v>
      </c>
      <c r="D879" s="3" t="s">
        <v>585</v>
      </c>
      <c r="E879" s="3" t="s">
        <v>597</v>
      </c>
      <c r="F879" s="3">
        <v>7.0</v>
      </c>
      <c r="G879" s="4">
        <v>-27.64989</v>
      </c>
      <c r="H879" s="4">
        <v>-48.49526</v>
      </c>
      <c r="I879" s="5">
        <v>7.0</v>
      </c>
      <c r="J879" s="5" t="s">
        <v>191</v>
      </c>
      <c r="K879" s="5" t="s">
        <v>191</v>
      </c>
      <c r="L879" s="3"/>
      <c r="M879" s="5">
        <v>6.0</v>
      </c>
      <c r="N879" s="5">
        <v>26.0</v>
      </c>
      <c r="O879" s="5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ht="15.75" customHeight="1">
      <c r="A880" s="3" t="s">
        <v>558</v>
      </c>
      <c r="B880" s="3" t="s">
        <v>559</v>
      </c>
      <c r="C880" s="3" t="s">
        <v>80</v>
      </c>
      <c r="D880" s="3" t="s">
        <v>585</v>
      </c>
      <c r="E880" s="3" t="s">
        <v>597</v>
      </c>
      <c r="F880" s="3">
        <v>7.0</v>
      </c>
      <c r="G880" s="4">
        <v>-27.64989</v>
      </c>
      <c r="H880" s="4">
        <v>-48.49526</v>
      </c>
      <c r="I880" s="5">
        <v>8.0</v>
      </c>
      <c r="J880" s="5" t="s">
        <v>191</v>
      </c>
      <c r="K880" s="5" t="s">
        <v>191</v>
      </c>
      <c r="L880" s="3"/>
      <c r="M880" s="5">
        <v>10.0</v>
      </c>
      <c r="N880" s="5">
        <v>39.0</v>
      </c>
      <c r="O880" s="5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ht="15.75" customHeight="1">
      <c r="A881" s="3" t="s">
        <v>558</v>
      </c>
      <c r="B881" s="3" t="s">
        <v>559</v>
      </c>
      <c r="C881" s="3" t="s">
        <v>80</v>
      </c>
      <c r="D881" s="3" t="s">
        <v>585</v>
      </c>
      <c r="E881" s="3" t="s">
        <v>597</v>
      </c>
      <c r="F881" s="3">
        <v>7.0</v>
      </c>
      <c r="G881" s="4">
        <v>-27.64989</v>
      </c>
      <c r="H881" s="4">
        <v>-48.49526</v>
      </c>
      <c r="I881" s="5">
        <v>9.0</v>
      </c>
      <c r="J881" s="5" t="s">
        <v>28</v>
      </c>
      <c r="K881" s="5" t="s">
        <v>28</v>
      </c>
      <c r="L881" s="3"/>
      <c r="M881" s="5">
        <v>8.0</v>
      </c>
      <c r="N881" s="5">
        <v>52.5</v>
      </c>
      <c r="O881" s="5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ht="15.75" customHeight="1">
      <c r="A882" s="3" t="s">
        <v>558</v>
      </c>
      <c r="B882" s="3" t="s">
        <v>559</v>
      </c>
      <c r="C882" s="3" t="s">
        <v>80</v>
      </c>
      <c r="D882" s="3" t="s">
        <v>585</v>
      </c>
      <c r="E882" s="3" t="s">
        <v>597</v>
      </c>
      <c r="F882" s="3">
        <v>7.0</v>
      </c>
      <c r="G882" s="4">
        <v>-27.64989</v>
      </c>
      <c r="H882" s="4">
        <v>-48.49526</v>
      </c>
      <c r="I882" s="5">
        <v>10.0</v>
      </c>
      <c r="J882" s="5" t="s">
        <v>191</v>
      </c>
      <c r="K882" s="5" t="s">
        <v>191</v>
      </c>
      <c r="L882" s="3"/>
      <c r="M882" s="5">
        <v>10.0</v>
      </c>
      <c r="N882" s="5">
        <v>38.0</v>
      </c>
      <c r="O882" s="5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ht="15.75" customHeight="1">
      <c r="A883" s="3" t="s">
        <v>558</v>
      </c>
      <c r="B883" s="3" t="s">
        <v>559</v>
      </c>
      <c r="C883" s="3" t="s">
        <v>80</v>
      </c>
      <c r="D883" s="3" t="s">
        <v>585</v>
      </c>
      <c r="E883" s="3" t="s">
        <v>597</v>
      </c>
      <c r="F883" s="3">
        <v>7.0</v>
      </c>
      <c r="G883" s="4">
        <v>-27.64989</v>
      </c>
      <c r="H883" s="4">
        <v>-48.49526</v>
      </c>
      <c r="I883" s="5">
        <v>11.0</v>
      </c>
      <c r="J883" s="5" t="s">
        <v>97</v>
      </c>
      <c r="K883" s="5" t="s">
        <v>97</v>
      </c>
      <c r="L883" s="3"/>
      <c r="M883" s="5">
        <v>8.0</v>
      </c>
      <c r="N883" s="5">
        <v>42.0</v>
      </c>
      <c r="O883" s="5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ht="15.75" customHeight="1">
      <c r="A884" s="3" t="s">
        <v>558</v>
      </c>
      <c r="B884" s="3" t="s">
        <v>559</v>
      </c>
      <c r="C884" s="3" t="s">
        <v>80</v>
      </c>
      <c r="D884" s="3" t="s">
        <v>585</v>
      </c>
      <c r="E884" s="3" t="s">
        <v>597</v>
      </c>
      <c r="F884" s="3">
        <v>7.0</v>
      </c>
      <c r="G884" s="4">
        <v>-27.64989</v>
      </c>
      <c r="H884" s="4">
        <v>-48.49526</v>
      </c>
      <c r="I884" s="5">
        <v>12.0</v>
      </c>
      <c r="J884" s="5" t="s">
        <v>202</v>
      </c>
      <c r="K884" s="5" t="s">
        <v>202</v>
      </c>
      <c r="L884" s="3"/>
      <c r="M884" s="5">
        <v>6.0</v>
      </c>
      <c r="N884" s="5">
        <v>27.5</v>
      </c>
      <c r="O884" s="5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ht="15.75" customHeight="1">
      <c r="A885" s="3" t="s">
        <v>558</v>
      </c>
      <c r="B885" s="3" t="s">
        <v>559</v>
      </c>
      <c r="C885" s="3" t="s">
        <v>80</v>
      </c>
      <c r="D885" s="3" t="s">
        <v>585</v>
      </c>
      <c r="E885" s="3" t="s">
        <v>597</v>
      </c>
      <c r="F885" s="3">
        <v>7.0</v>
      </c>
      <c r="G885" s="4">
        <v>-27.64989</v>
      </c>
      <c r="H885" s="4">
        <v>-48.49526</v>
      </c>
      <c r="I885" s="5">
        <v>13.0</v>
      </c>
      <c r="J885" s="5" t="s">
        <v>41</v>
      </c>
      <c r="K885" s="5" t="s">
        <v>41</v>
      </c>
      <c r="L885" s="3"/>
      <c r="M885" s="5">
        <v>8.0</v>
      </c>
      <c r="N885" s="5">
        <v>51.0</v>
      </c>
      <c r="O885" s="5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ht="15.75" customHeight="1">
      <c r="A886" s="3" t="s">
        <v>558</v>
      </c>
      <c r="B886" s="3" t="s">
        <v>559</v>
      </c>
      <c r="C886" s="3" t="s">
        <v>80</v>
      </c>
      <c r="D886" s="3" t="s">
        <v>585</v>
      </c>
      <c r="E886" s="3" t="s">
        <v>597</v>
      </c>
      <c r="F886" s="3">
        <v>7.0</v>
      </c>
      <c r="G886" s="4">
        <v>-27.64989</v>
      </c>
      <c r="H886" s="4">
        <v>-48.49526</v>
      </c>
      <c r="I886" s="5">
        <v>14.0</v>
      </c>
      <c r="J886" s="5" t="s">
        <v>83</v>
      </c>
      <c r="K886" s="5" t="s">
        <v>83</v>
      </c>
      <c r="L886" s="3"/>
      <c r="M886" s="5">
        <v>13.0</v>
      </c>
      <c r="N886" s="5">
        <v>216.0</v>
      </c>
      <c r="O886" s="5" t="s">
        <v>601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ht="15.75" customHeight="1">
      <c r="A887" s="3" t="s">
        <v>558</v>
      </c>
      <c r="B887" s="3" t="s">
        <v>559</v>
      </c>
      <c r="C887" s="3" t="s">
        <v>80</v>
      </c>
      <c r="D887" s="3" t="s">
        <v>585</v>
      </c>
      <c r="E887" s="3" t="s">
        <v>597</v>
      </c>
      <c r="F887" s="3">
        <v>7.0</v>
      </c>
      <c r="G887" s="4">
        <v>-27.64989</v>
      </c>
      <c r="H887" s="4">
        <v>-48.49526</v>
      </c>
      <c r="I887" s="5">
        <v>15.0</v>
      </c>
      <c r="J887" s="5" t="s">
        <v>83</v>
      </c>
      <c r="K887" s="5" t="s">
        <v>83</v>
      </c>
      <c r="L887" s="3"/>
      <c r="M887" s="5">
        <v>5.0</v>
      </c>
      <c r="N887" s="5">
        <v>46.0</v>
      </c>
      <c r="O887" s="5"/>
      <c r="P887" s="3" t="s">
        <v>90</v>
      </c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ht="15.75" customHeight="1">
      <c r="A888" s="3" t="s">
        <v>558</v>
      </c>
      <c r="B888" s="3" t="s">
        <v>559</v>
      </c>
      <c r="C888" s="3" t="s">
        <v>80</v>
      </c>
      <c r="D888" s="3" t="s">
        <v>585</v>
      </c>
      <c r="E888" s="3" t="s">
        <v>597</v>
      </c>
      <c r="F888" s="3">
        <v>7.0</v>
      </c>
      <c r="G888" s="4">
        <v>-27.64989</v>
      </c>
      <c r="H888" s="4">
        <v>-48.49526</v>
      </c>
      <c r="I888" s="5">
        <v>16.0</v>
      </c>
      <c r="J888" s="5" t="s">
        <v>191</v>
      </c>
      <c r="K888" s="5" t="s">
        <v>191</v>
      </c>
      <c r="L888" s="3"/>
      <c r="M888" s="5">
        <v>4.0</v>
      </c>
      <c r="N888" s="5">
        <v>30.0</v>
      </c>
      <c r="O888" s="5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ht="15.75" customHeight="1">
      <c r="A889" s="3" t="s">
        <v>558</v>
      </c>
      <c r="B889" s="3" t="s">
        <v>559</v>
      </c>
      <c r="C889" s="3" t="s">
        <v>80</v>
      </c>
      <c r="D889" s="3" t="s">
        <v>585</v>
      </c>
      <c r="E889" s="3" t="s">
        <v>597</v>
      </c>
      <c r="F889" s="3">
        <v>7.0</v>
      </c>
      <c r="G889" s="4">
        <v>-27.64989</v>
      </c>
      <c r="H889" s="4">
        <v>-48.49526</v>
      </c>
      <c r="I889" s="5">
        <v>17.0</v>
      </c>
      <c r="J889" s="5" t="s">
        <v>191</v>
      </c>
      <c r="K889" s="5" t="s">
        <v>191</v>
      </c>
      <c r="L889" s="3"/>
      <c r="M889" s="5">
        <v>12.0</v>
      </c>
      <c r="N889" s="5">
        <v>42.0</v>
      </c>
      <c r="O889" s="5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ht="15.75" customHeight="1">
      <c r="A890" s="3" t="s">
        <v>558</v>
      </c>
      <c r="B890" s="3" t="s">
        <v>559</v>
      </c>
      <c r="C890" s="3" t="s">
        <v>80</v>
      </c>
      <c r="D890" s="3" t="s">
        <v>585</v>
      </c>
      <c r="E890" s="3" t="s">
        <v>597</v>
      </c>
      <c r="F890" s="3">
        <v>7.0</v>
      </c>
      <c r="G890" s="4">
        <v>-27.64989</v>
      </c>
      <c r="H890" s="4">
        <v>-48.49526</v>
      </c>
      <c r="I890" s="5">
        <v>18.0</v>
      </c>
      <c r="J890" s="5" t="s">
        <v>191</v>
      </c>
      <c r="K890" s="5" t="s">
        <v>191</v>
      </c>
      <c r="L890" s="3"/>
      <c r="M890" s="5">
        <v>10.0</v>
      </c>
      <c r="N890" s="5">
        <v>44.0</v>
      </c>
      <c r="O890" s="5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ht="15.75" customHeight="1">
      <c r="A891" s="3" t="s">
        <v>558</v>
      </c>
      <c r="B891" s="3" t="s">
        <v>559</v>
      </c>
      <c r="C891" s="3" t="s">
        <v>80</v>
      </c>
      <c r="D891" s="3" t="s">
        <v>585</v>
      </c>
      <c r="E891" s="3" t="s">
        <v>597</v>
      </c>
      <c r="F891" s="3">
        <v>7.0</v>
      </c>
      <c r="G891" s="4">
        <v>-27.64989</v>
      </c>
      <c r="H891" s="4">
        <v>-48.49526</v>
      </c>
      <c r="I891" s="5">
        <v>19.0</v>
      </c>
      <c r="J891" s="5" t="s">
        <v>86</v>
      </c>
      <c r="K891" s="5" t="s">
        <v>86</v>
      </c>
      <c r="L891" s="3"/>
      <c r="M891" s="5">
        <v>12.0</v>
      </c>
      <c r="N891" s="5">
        <v>141.0</v>
      </c>
      <c r="O891" s="5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ht="15.75" customHeight="1">
      <c r="A892" s="3" t="s">
        <v>558</v>
      </c>
      <c r="B892" s="3" t="s">
        <v>559</v>
      </c>
      <c r="C892" s="3" t="s">
        <v>80</v>
      </c>
      <c r="D892" s="3" t="s">
        <v>585</v>
      </c>
      <c r="E892" s="3" t="s">
        <v>597</v>
      </c>
      <c r="F892" s="3">
        <v>7.0</v>
      </c>
      <c r="G892" s="4">
        <v>-27.64989</v>
      </c>
      <c r="H892" s="4">
        <v>-48.49526</v>
      </c>
      <c r="I892" s="5">
        <v>20.0</v>
      </c>
      <c r="J892" s="5" t="s">
        <v>565</v>
      </c>
      <c r="K892" s="5" t="s">
        <v>565</v>
      </c>
      <c r="L892" s="3"/>
      <c r="M892" s="5">
        <v>7.0</v>
      </c>
      <c r="N892" s="5">
        <v>17.0</v>
      </c>
      <c r="O892" s="5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ht="15.75" customHeight="1">
      <c r="A893" s="3" t="s">
        <v>558</v>
      </c>
      <c r="B893" s="3" t="s">
        <v>559</v>
      </c>
      <c r="C893" s="3" t="s">
        <v>80</v>
      </c>
      <c r="D893" s="3" t="s">
        <v>585</v>
      </c>
      <c r="E893" s="3" t="s">
        <v>602</v>
      </c>
      <c r="F893" s="3">
        <v>8.0</v>
      </c>
      <c r="G893" s="4">
        <v>-27.64958</v>
      </c>
      <c r="H893" s="4">
        <v>-48.49503</v>
      </c>
      <c r="I893" s="5">
        <v>1.0</v>
      </c>
      <c r="J893" s="5" t="s">
        <v>41</v>
      </c>
      <c r="K893" s="5" t="s">
        <v>41</v>
      </c>
      <c r="L893" s="3"/>
      <c r="M893" s="5">
        <v>8.0</v>
      </c>
      <c r="N893" s="5">
        <v>93.5</v>
      </c>
      <c r="O893" s="5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ht="15.75" customHeight="1">
      <c r="A894" s="3" t="s">
        <v>558</v>
      </c>
      <c r="B894" s="3" t="s">
        <v>559</v>
      </c>
      <c r="C894" s="3" t="s">
        <v>80</v>
      </c>
      <c r="D894" s="3" t="s">
        <v>585</v>
      </c>
      <c r="E894" s="3" t="s">
        <v>602</v>
      </c>
      <c r="F894" s="3">
        <v>8.0</v>
      </c>
      <c r="G894" s="4">
        <v>-27.64958</v>
      </c>
      <c r="H894" s="4">
        <v>-48.49503</v>
      </c>
      <c r="I894" s="5">
        <v>2.0</v>
      </c>
      <c r="J894" s="5" t="s">
        <v>452</v>
      </c>
      <c r="K894" s="5" t="s">
        <v>202</v>
      </c>
      <c r="L894" s="3"/>
      <c r="M894" s="5">
        <v>4.0</v>
      </c>
      <c r="N894" s="5">
        <v>15.7</v>
      </c>
      <c r="O894" s="5" t="s">
        <v>603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ht="15.75" customHeight="1">
      <c r="A895" s="3" t="s">
        <v>558</v>
      </c>
      <c r="B895" s="3" t="s">
        <v>559</v>
      </c>
      <c r="C895" s="3" t="s">
        <v>80</v>
      </c>
      <c r="D895" s="3" t="s">
        <v>585</v>
      </c>
      <c r="E895" s="3" t="s">
        <v>602</v>
      </c>
      <c r="F895" s="3">
        <v>8.0</v>
      </c>
      <c r="G895" s="4">
        <v>-27.64958</v>
      </c>
      <c r="H895" s="4">
        <v>-48.49503</v>
      </c>
      <c r="I895" s="5">
        <v>3.0</v>
      </c>
      <c r="J895" s="5" t="s">
        <v>28</v>
      </c>
      <c r="K895" s="5" t="s">
        <v>28</v>
      </c>
      <c r="L895" s="3"/>
      <c r="M895" s="5">
        <v>6.0</v>
      </c>
      <c r="N895" s="5">
        <v>52.0</v>
      </c>
      <c r="O895" s="5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ht="15.75" customHeight="1">
      <c r="A896" s="3" t="s">
        <v>558</v>
      </c>
      <c r="B896" s="3" t="s">
        <v>559</v>
      </c>
      <c r="C896" s="3" t="s">
        <v>80</v>
      </c>
      <c r="D896" s="3" t="s">
        <v>585</v>
      </c>
      <c r="E896" s="3" t="s">
        <v>602</v>
      </c>
      <c r="F896" s="3">
        <v>8.0</v>
      </c>
      <c r="G896" s="4">
        <v>-27.64958</v>
      </c>
      <c r="H896" s="4">
        <v>-48.49503</v>
      </c>
      <c r="I896" s="5">
        <v>4.0</v>
      </c>
      <c r="J896" s="5" t="s">
        <v>191</v>
      </c>
      <c r="K896" s="5" t="s">
        <v>191</v>
      </c>
      <c r="L896" s="3"/>
      <c r="M896" s="5">
        <v>10.0</v>
      </c>
      <c r="N896" s="5">
        <v>37.0</v>
      </c>
      <c r="O896" s="5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ht="15.75" customHeight="1">
      <c r="A897" s="3" t="s">
        <v>558</v>
      </c>
      <c r="B897" s="3" t="s">
        <v>559</v>
      </c>
      <c r="C897" s="3" t="s">
        <v>80</v>
      </c>
      <c r="D897" s="3" t="s">
        <v>585</v>
      </c>
      <c r="E897" s="3" t="s">
        <v>602</v>
      </c>
      <c r="F897" s="3">
        <v>8.0</v>
      </c>
      <c r="G897" s="4">
        <v>-27.64958</v>
      </c>
      <c r="H897" s="4">
        <v>-48.49503</v>
      </c>
      <c r="I897" s="5">
        <v>5.0</v>
      </c>
      <c r="J897" s="5" t="s">
        <v>452</v>
      </c>
      <c r="K897" s="5" t="s">
        <v>202</v>
      </c>
      <c r="L897" s="3"/>
      <c r="M897" s="5">
        <v>6.0</v>
      </c>
      <c r="N897" s="5">
        <v>19.3</v>
      </c>
      <c r="O897" s="5" t="s">
        <v>604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ht="15.75" customHeight="1">
      <c r="A898" s="3" t="s">
        <v>558</v>
      </c>
      <c r="B898" s="3" t="s">
        <v>559</v>
      </c>
      <c r="C898" s="3" t="s">
        <v>80</v>
      </c>
      <c r="D898" s="3" t="s">
        <v>585</v>
      </c>
      <c r="E898" s="3" t="s">
        <v>602</v>
      </c>
      <c r="F898" s="3">
        <v>8.0</v>
      </c>
      <c r="G898" s="4">
        <v>-27.64958</v>
      </c>
      <c r="H898" s="4">
        <v>-48.49503</v>
      </c>
      <c r="I898" s="5">
        <v>6.0</v>
      </c>
      <c r="J898" s="5" t="s">
        <v>191</v>
      </c>
      <c r="K898" s="5" t="s">
        <v>191</v>
      </c>
      <c r="L898" s="3"/>
      <c r="M898" s="5">
        <v>5.0</v>
      </c>
      <c r="N898" s="5">
        <v>19.3</v>
      </c>
      <c r="O898" s="5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ht="15.75" customHeight="1">
      <c r="A899" s="3" t="s">
        <v>558</v>
      </c>
      <c r="B899" s="3" t="s">
        <v>559</v>
      </c>
      <c r="C899" s="3" t="s">
        <v>80</v>
      </c>
      <c r="D899" s="3" t="s">
        <v>585</v>
      </c>
      <c r="E899" s="3" t="s">
        <v>602</v>
      </c>
      <c r="F899" s="3">
        <v>8.0</v>
      </c>
      <c r="G899" s="4">
        <v>-27.64958</v>
      </c>
      <c r="H899" s="4">
        <v>-48.49503</v>
      </c>
      <c r="I899" s="5">
        <v>7.0</v>
      </c>
      <c r="J899" s="5" t="s">
        <v>191</v>
      </c>
      <c r="K899" s="5" t="s">
        <v>191</v>
      </c>
      <c r="L899" s="3"/>
      <c r="M899" s="5">
        <v>6.0</v>
      </c>
      <c r="N899" s="5">
        <v>22.0</v>
      </c>
      <c r="O899" s="5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ht="15.75" customHeight="1">
      <c r="A900" s="3" t="s">
        <v>558</v>
      </c>
      <c r="B900" s="3" t="s">
        <v>559</v>
      </c>
      <c r="C900" s="3" t="s">
        <v>80</v>
      </c>
      <c r="D900" s="3" t="s">
        <v>585</v>
      </c>
      <c r="E900" s="3" t="s">
        <v>602</v>
      </c>
      <c r="F900" s="3">
        <v>8.0</v>
      </c>
      <c r="G900" s="4">
        <v>-27.64958</v>
      </c>
      <c r="H900" s="4">
        <v>-48.49503</v>
      </c>
      <c r="I900" s="5">
        <v>8.0</v>
      </c>
      <c r="J900" s="5" t="s">
        <v>104</v>
      </c>
      <c r="K900" s="5" t="s">
        <v>104</v>
      </c>
      <c r="L900" s="3"/>
      <c r="M900" s="5">
        <v>8.0</v>
      </c>
      <c r="N900" s="5">
        <v>38.5</v>
      </c>
      <c r="O900" s="5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ht="15.75" customHeight="1">
      <c r="A901" s="3" t="s">
        <v>558</v>
      </c>
      <c r="B901" s="3" t="s">
        <v>559</v>
      </c>
      <c r="C901" s="3" t="s">
        <v>80</v>
      </c>
      <c r="D901" s="3" t="s">
        <v>585</v>
      </c>
      <c r="E901" s="3" t="s">
        <v>602</v>
      </c>
      <c r="F901" s="3">
        <v>8.0</v>
      </c>
      <c r="G901" s="4">
        <v>-27.64958</v>
      </c>
      <c r="H901" s="4">
        <v>-48.49503</v>
      </c>
      <c r="I901" s="5">
        <v>9.0</v>
      </c>
      <c r="J901" s="5" t="s">
        <v>27</v>
      </c>
      <c r="K901" s="5" t="s">
        <v>27</v>
      </c>
      <c r="L901" s="3"/>
      <c r="M901" s="5">
        <v>5.0</v>
      </c>
      <c r="N901" s="5">
        <v>23.5</v>
      </c>
      <c r="O901" s="5" t="s">
        <v>605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ht="15.75" customHeight="1">
      <c r="A902" s="3" t="s">
        <v>558</v>
      </c>
      <c r="B902" s="3" t="s">
        <v>559</v>
      </c>
      <c r="C902" s="3" t="s">
        <v>80</v>
      </c>
      <c r="D902" s="3" t="s">
        <v>585</v>
      </c>
      <c r="E902" s="3" t="s">
        <v>602</v>
      </c>
      <c r="F902" s="3">
        <v>8.0</v>
      </c>
      <c r="G902" s="4">
        <v>-27.64958</v>
      </c>
      <c r="H902" s="4">
        <v>-48.49503</v>
      </c>
      <c r="I902" s="5">
        <v>10.0</v>
      </c>
      <c r="J902" s="5" t="s">
        <v>24</v>
      </c>
      <c r="K902" s="5" t="s">
        <v>24</v>
      </c>
      <c r="L902" s="3"/>
      <c r="M902" s="5">
        <v>7.0</v>
      </c>
      <c r="N902" s="5">
        <v>44.5</v>
      </c>
      <c r="O902" s="5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ht="15.75" customHeight="1">
      <c r="A903" s="3" t="s">
        <v>558</v>
      </c>
      <c r="B903" s="3" t="s">
        <v>559</v>
      </c>
      <c r="C903" s="3" t="s">
        <v>80</v>
      </c>
      <c r="D903" s="3" t="s">
        <v>585</v>
      </c>
      <c r="E903" s="3" t="s">
        <v>602</v>
      </c>
      <c r="F903" s="3">
        <v>8.0</v>
      </c>
      <c r="G903" s="4">
        <v>-27.64958</v>
      </c>
      <c r="H903" s="4">
        <v>-48.49503</v>
      </c>
      <c r="I903" s="5">
        <v>11.0</v>
      </c>
      <c r="J903" s="5" t="s">
        <v>28</v>
      </c>
      <c r="K903" s="5" t="s">
        <v>28</v>
      </c>
      <c r="L903" s="3"/>
      <c r="M903" s="5">
        <v>8.0</v>
      </c>
      <c r="N903" s="5">
        <v>69.0</v>
      </c>
      <c r="O903" s="5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ht="15.75" customHeight="1">
      <c r="A904" s="3" t="s">
        <v>558</v>
      </c>
      <c r="B904" s="3" t="s">
        <v>559</v>
      </c>
      <c r="C904" s="3" t="s">
        <v>80</v>
      </c>
      <c r="D904" s="3" t="s">
        <v>585</v>
      </c>
      <c r="E904" s="3" t="s">
        <v>602</v>
      </c>
      <c r="F904" s="3">
        <v>8.0</v>
      </c>
      <c r="G904" s="4">
        <v>-27.64958</v>
      </c>
      <c r="H904" s="4">
        <v>-48.49503</v>
      </c>
      <c r="I904" s="5">
        <v>12.0</v>
      </c>
      <c r="J904" s="5" t="s">
        <v>191</v>
      </c>
      <c r="K904" s="5" t="s">
        <v>191</v>
      </c>
      <c r="L904" s="3"/>
      <c r="M904" s="5">
        <v>7.0</v>
      </c>
      <c r="N904" s="5">
        <v>28.5</v>
      </c>
      <c r="O904" s="5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ht="15.75" customHeight="1">
      <c r="A905" s="3" t="s">
        <v>558</v>
      </c>
      <c r="B905" s="3" t="s">
        <v>559</v>
      </c>
      <c r="C905" s="3" t="s">
        <v>80</v>
      </c>
      <c r="D905" s="3" t="s">
        <v>585</v>
      </c>
      <c r="E905" s="3" t="s">
        <v>602</v>
      </c>
      <c r="F905" s="3">
        <v>8.0</v>
      </c>
      <c r="G905" s="4">
        <v>-27.64958</v>
      </c>
      <c r="H905" s="4">
        <v>-48.49503</v>
      </c>
      <c r="I905" s="5">
        <v>13.0</v>
      </c>
      <c r="J905" s="5" t="s">
        <v>191</v>
      </c>
      <c r="K905" s="5" t="s">
        <v>191</v>
      </c>
      <c r="L905" s="3"/>
      <c r="M905" s="5">
        <v>8.0</v>
      </c>
      <c r="N905" s="5">
        <v>32.8</v>
      </c>
      <c r="O905" s="5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ht="15.75" customHeight="1">
      <c r="A906" s="3" t="s">
        <v>558</v>
      </c>
      <c r="B906" s="3" t="s">
        <v>559</v>
      </c>
      <c r="C906" s="3" t="s">
        <v>80</v>
      </c>
      <c r="D906" s="3" t="s">
        <v>585</v>
      </c>
      <c r="E906" s="3" t="s">
        <v>602</v>
      </c>
      <c r="F906" s="3">
        <v>8.0</v>
      </c>
      <c r="G906" s="4">
        <v>-27.64958</v>
      </c>
      <c r="H906" s="4">
        <v>-48.49503</v>
      </c>
      <c r="I906" s="5">
        <v>14.0</v>
      </c>
      <c r="J906" s="5" t="s">
        <v>191</v>
      </c>
      <c r="K906" s="5" t="s">
        <v>191</v>
      </c>
      <c r="L906" s="3"/>
      <c r="M906" s="5">
        <v>6.0</v>
      </c>
      <c r="N906" s="5">
        <v>30.3</v>
      </c>
      <c r="O906" s="5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ht="15.75" customHeight="1">
      <c r="A907" s="3" t="s">
        <v>558</v>
      </c>
      <c r="B907" s="3" t="s">
        <v>559</v>
      </c>
      <c r="C907" s="3" t="s">
        <v>80</v>
      </c>
      <c r="D907" s="3" t="s">
        <v>585</v>
      </c>
      <c r="E907" s="3" t="s">
        <v>602</v>
      </c>
      <c r="F907" s="3">
        <v>8.0</v>
      </c>
      <c r="G907" s="4">
        <v>-27.64958</v>
      </c>
      <c r="H907" s="4">
        <v>-48.49503</v>
      </c>
      <c r="I907" s="5">
        <v>15.0</v>
      </c>
      <c r="J907" s="5" t="s">
        <v>191</v>
      </c>
      <c r="K907" s="5" t="s">
        <v>191</v>
      </c>
      <c r="L907" s="3"/>
      <c r="M907" s="5">
        <v>10.0</v>
      </c>
      <c r="N907" s="5">
        <v>37.0</v>
      </c>
      <c r="O907" s="5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ht="15.75" customHeight="1">
      <c r="A908" s="3" t="s">
        <v>558</v>
      </c>
      <c r="B908" s="3" t="s">
        <v>559</v>
      </c>
      <c r="C908" s="3" t="s">
        <v>80</v>
      </c>
      <c r="D908" s="3" t="s">
        <v>585</v>
      </c>
      <c r="E908" s="3" t="s">
        <v>602</v>
      </c>
      <c r="F908" s="3">
        <v>8.0</v>
      </c>
      <c r="G908" s="4">
        <v>-27.64958</v>
      </c>
      <c r="H908" s="4">
        <v>-48.49503</v>
      </c>
      <c r="I908" s="5">
        <v>16.0</v>
      </c>
      <c r="J908" s="5" t="s">
        <v>173</v>
      </c>
      <c r="K908" s="5" t="s">
        <v>173</v>
      </c>
      <c r="L908" s="3"/>
      <c r="M908" s="5">
        <v>9.0</v>
      </c>
      <c r="N908" s="5">
        <v>35.0</v>
      </c>
      <c r="O908" s="5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ht="15.75" customHeight="1">
      <c r="A909" s="3" t="s">
        <v>558</v>
      </c>
      <c r="B909" s="3" t="s">
        <v>559</v>
      </c>
      <c r="C909" s="3" t="s">
        <v>80</v>
      </c>
      <c r="D909" s="3" t="s">
        <v>585</v>
      </c>
      <c r="E909" s="3" t="s">
        <v>602</v>
      </c>
      <c r="F909" s="3">
        <v>8.0</v>
      </c>
      <c r="G909" s="4">
        <v>-27.64958</v>
      </c>
      <c r="H909" s="4">
        <v>-48.49503</v>
      </c>
      <c r="I909" s="5">
        <v>17.0</v>
      </c>
      <c r="J909" s="5" t="s">
        <v>606</v>
      </c>
      <c r="K909" s="5" t="s">
        <v>607</v>
      </c>
      <c r="L909" s="3"/>
      <c r="M909" s="5">
        <v>6.5</v>
      </c>
      <c r="N909" s="5">
        <v>20.0</v>
      </c>
      <c r="O909" s="5" t="s">
        <v>608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ht="15.75" customHeight="1">
      <c r="A910" s="3" t="s">
        <v>558</v>
      </c>
      <c r="B910" s="3" t="s">
        <v>559</v>
      </c>
      <c r="C910" s="3" t="s">
        <v>80</v>
      </c>
      <c r="D910" s="3" t="s">
        <v>585</v>
      </c>
      <c r="E910" s="3" t="s">
        <v>602</v>
      </c>
      <c r="F910" s="3">
        <v>8.0</v>
      </c>
      <c r="G910" s="4">
        <v>-27.64958</v>
      </c>
      <c r="H910" s="4">
        <v>-48.49503</v>
      </c>
      <c r="I910" s="5">
        <v>18.0</v>
      </c>
      <c r="J910" s="5" t="s">
        <v>606</v>
      </c>
      <c r="K910" s="5" t="s">
        <v>607</v>
      </c>
      <c r="L910" s="3"/>
      <c r="M910" s="5">
        <v>6.0</v>
      </c>
      <c r="N910" s="5">
        <v>17.0</v>
      </c>
      <c r="O910" s="1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ht="15.75" customHeight="1">
      <c r="A911" s="3" t="s">
        <v>558</v>
      </c>
      <c r="B911" s="3" t="s">
        <v>559</v>
      </c>
      <c r="C911" s="3" t="s">
        <v>80</v>
      </c>
      <c r="D911" s="3" t="s">
        <v>585</v>
      </c>
      <c r="E911" s="3" t="s">
        <v>602</v>
      </c>
      <c r="F911" s="3">
        <v>8.0</v>
      </c>
      <c r="G911" s="4">
        <v>-27.64958</v>
      </c>
      <c r="H911" s="4">
        <v>-48.49503</v>
      </c>
      <c r="I911" s="5">
        <v>19.0</v>
      </c>
      <c r="J911" s="5" t="s">
        <v>565</v>
      </c>
      <c r="K911" s="5" t="s">
        <v>565</v>
      </c>
      <c r="L911" s="3"/>
      <c r="M911" s="5">
        <v>8.0</v>
      </c>
      <c r="N911" s="5">
        <v>21.0</v>
      </c>
      <c r="O911" s="5" t="s">
        <v>609</v>
      </c>
      <c r="P911" s="5" t="s">
        <v>77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ht="15.75" customHeight="1">
      <c r="A912" s="3" t="s">
        <v>558</v>
      </c>
      <c r="B912" s="3" t="s">
        <v>559</v>
      </c>
      <c r="C912" s="3" t="s">
        <v>80</v>
      </c>
      <c r="D912" s="3" t="s">
        <v>585</v>
      </c>
      <c r="E912" s="3" t="s">
        <v>602</v>
      </c>
      <c r="F912" s="3">
        <v>8.0</v>
      </c>
      <c r="G912" s="4">
        <v>-27.64958</v>
      </c>
      <c r="H912" s="4">
        <v>-48.49503</v>
      </c>
      <c r="I912" s="5">
        <v>20.0</v>
      </c>
      <c r="J912" s="5" t="s">
        <v>191</v>
      </c>
      <c r="K912" s="5" t="s">
        <v>191</v>
      </c>
      <c r="L912" s="3"/>
      <c r="M912" s="5">
        <v>10.0</v>
      </c>
      <c r="N912" s="5">
        <v>49.0</v>
      </c>
      <c r="O912" s="5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ht="15.75" customHeight="1">
      <c r="A913" s="3" t="s">
        <v>610</v>
      </c>
      <c r="B913" s="3" t="s">
        <v>611</v>
      </c>
      <c r="C913" s="3" t="s">
        <v>19</v>
      </c>
      <c r="D913" s="3" t="s">
        <v>612</v>
      </c>
      <c r="E913" s="3" t="s">
        <v>613</v>
      </c>
      <c r="F913" s="3">
        <v>1.0</v>
      </c>
      <c r="G913" s="4">
        <v>-27.74293</v>
      </c>
      <c r="H913" s="22">
        <v>-48.51777</v>
      </c>
      <c r="I913" s="5">
        <v>1.0</v>
      </c>
      <c r="J913" s="5" t="s">
        <v>41</v>
      </c>
      <c r="K913" s="5" t="s">
        <v>41</v>
      </c>
      <c r="L913" s="3"/>
      <c r="M913" s="5">
        <v>6.0</v>
      </c>
      <c r="N913" s="5" t="s">
        <v>614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ht="15.75" customHeight="1">
      <c r="A914" s="3" t="s">
        <v>610</v>
      </c>
      <c r="B914" s="3" t="s">
        <v>611</v>
      </c>
      <c r="C914" s="3" t="s">
        <v>19</v>
      </c>
      <c r="D914" s="3" t="s">
        <v>612</v>
      </c>
      <c r="E914" s="3" t="s">
        <v>613</v>
      </c>
      <c r="F914" s="3">
        <v>1.0</v>
      </c>
      <c r="G914" s="4">
        <v>-27.74293</v>
      </c>
      <c r="H914" s="22">
        <v>-48.51777</v>
      </c>
      <c r="I914" s="5">
        <v>2.0</v>
      </c>
      <c r="J914" s="5" t="s">
        <v>191</v>
      </c>
      <c r="K914" s="5" t="s">
        <v>191</v>
      </c>
      <c r="L914" s="3"/>
      <c r="M914" s="5">
        <v>8.0</v>
      </c>
      <c r="N914" s="5">
        <v>39.0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ht="15.75" customHeight="1">
      <c r="A915" s="3" t="s">
        <v>610</v>
      </c>
      <c r="B915" s="3" t="s">
        <v>611</v>
      </c>
      <c r="C915" s="3" t="s">
        <v>19</v>
      </c>
      <c r="D915" s="3" t="s">
        <v>612</v>
      </c>
      <c r="E915" s="3" t="s">
        <v>613</v>
      </c>
      <c r="F915" s="3">
        <v>1.0</v>
      </c>
      <c r="G915" s="4">
        <v>-27.74293</v>
      </c>
      <c r="H915" s="22">
        <v>-48.51777</v>
      </c>
      <c r="I915" s="5">
        <v>3.0</v>
      </c>
      <c r="J915" s="5" t="s">
        <v>41</v>
      </c>
      <c r="K915" s="5" t="s">
        <v>41</v>
      </c>
      <c r="L915" s="3"/>
      <c r="M915" s="5">
        <v>8.0</v>
      </c>
      <c r="N915" s="5" t="s">
        <v>615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ht="15.75" customHeight="1">
      <c r="A916" s="3" t="s">
        <v>610</v>
      </c>
      <c r="B916" s="3" t="s">
        <v>611</v>
      </c>
      <c r="C916" s="3" t="s">
        <v>19</v>
      </c>
      <c r="D916" s="3" t="s">
        <v>612</v>
      </c>
      <c r="E916" s="3" t="s">
        <v>613</v>
      </c>
      <c r="F916" s="3">
        <v>1.0</v>
      </c>
      <c r="G916" s="4">
        <v>-27.74293</v>
      </c>
      <c r="H916" s="22">
        <v>-48.51777</v>
      </c>
      <c r="I916" s="5">
        <v>4.0</v>
      </c>
      <c r="J916" s="5" t="s">
        <v>104</v>
      </c>
      <c r="K916" s="5" t="s">
        <v>104</v>
      </c>
      <c r="L916" s="3"/>
      <c r="M916" s="5">
        <v>9.0</v>
      </c>
      <c r="N916" s="5">
        <v>46.0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ht="15.75" customHeight="1">
      <c r="A917" s="3" t="s">
        <v>610</v>
      </c>
      <c r="B917" s="3" t="s">
        <v>611</v>
      </c>
      <c r="C917" s="3" t="s">
        <v>19</v>
      </c>
      <c r="D917" s="3" t="s">
        <v>612</v>
      </c>
      <c r="E917" s="3" t="s">
        <v>613</v>
      </c>
      <c r="F917" s="3">
        <v>1.0</v>
      </c>
      <c r="G917" s="4">
        <v>-27.74293</v>
      </c>
      <c r="H917" s="22">
        <v>-48.51777</v>
      </c>
      <c r="I917" s="5">
        <v>5.0</v>
      </c>
      <c r="J917" s="5" t="s">
        <v>41</v>
      </c>
      <c r="K917" s="5" t="s">
        <v>41</v>
      </c>
      <c r="L917" s="3"/>
      <c r="M917" s="5">
        <v>8.0</v>
      </c>
      <c r="N917" s="5">
        <v>41.0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ht="15.75" customHeight="1">
      <c r="A918" s="3" t="s">
        <v>610</v>
      </c>
      <c r="B918" s="3" t="s">
        <v>611</v>
      </c>
      <c r="C918" s="3" t="s">
        <v>19</v>
      </c>
      <c r="D918" s="3" t="s">
        <v>612</v>
      </c>
      <c r="E918" s="3" t="s">
        <v>613</v>
      </c>
      <c r="F918" s="3">
        <v>1.0</v>
      </c>
      <c r="G918" s="4">
        <v>-27.74293</v>
      </c>
      <c r="H918" s="22">
        <v>-48.51777</v>
      </c>
      <c r="I918" s="5">
        <v>6.0</v>
      </c>
      <c r="J918" s="5" t="s">
        <v>104</v>
      </c>
      <c r="K918" s="5" t="s">
        <v>104</v>
      </c>
      <c r="L918" s="3"/>
      <c r="M918" s="5">
        <v>7.0</v>
      </c>
      <c r="N918" s="5">
        <v>24.0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ht="15.75" customHeight="1">
      <c r="A919" s="3" t="s">
        <v>610</v>
      </c>
      <c r="B919" s="3" t="s">
        <v>611</v>
      </c>
      <c r="C919" s="3" t="s">
        <v>19</v>
      </c>
      <c r="D919" s="3" t="s">
        <v>612</v>
      </c>
      <c r="E919" s="3" t="s">
        <v>613</v>
      </c>
      <c r="F919" s="3">
        <v>1.0</v>
      </c>
      <c r="G919" s="4">
        <v>-27.74293</v>
      </c>
      <c r="H919" s="22">
        <v>-48.51777</v>
      </c>
      <c r="I919" s="5">
        <v>7.0</v>
      </c>
      <c r="J919" s="5" t="s">
        <v>574</v>
      </c>
      <c r="K919" s="5" t="s">
        <v>105</v>
      </c>
      <c r="L919" s="3"/>
      <c r="M919" s="5">
        <v>7.0</v>
      </c>
      <c r="N919" s="5">
        <v>19.0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ht="15.75" customHeight="1">
      <c r="A920" s="3" t="s">
        <v>610</v>
      </c>
      <c r="B920" s="3" t="s">
        <v>611</v>
      </c>
      <c r="C920" s="3" t="s">
        <v>19</v>
      </c>
      <c r="D920" s="3" t="s">
        <v>612</v>
      </c>
      <c r="E920" s="3" t="s">
        <v>613</v>
      </c>
      <c r="F920" s="3">
        <v>1.0</v>
      </c>
      <c r="G920" s="4">
        <v>-27.74293</v>
      </c>
      <c r="H920" s="22">
        <v>-48.51777</v>
      </c>
      <c r="I920" s="5">
        <v>8.0</v>
      </c>
      <c r="J920" s="5" t="s">
        <v>98</v>
      </c>
      <c r="K920" s="5" t="s">
        <v>98</v>
      </c>
      <c r="L920" s="3"/>
      <c r="M920" s="5">
        <v>7.0</v>
      </c>
      <c r="N920" s="5">
        <v>22.0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ht="15.75" customHeight="1">
      <c r="A921" s="3" t="s">
        <v>610</v>
      </c>
      <c r="B921" s="3" t="s">
        <v>611</v>
      </c>
      <c r="C921" s="3" t="s">
        <v>19</v>
      </c>
      <c r="D921" s="3" t="s">
        <v>612</v>
      </c>
      <c r="E921" s="3" t="s">
        <v>613</v>
      </c>
      <c r="F921" s="3">
        <v>1.0</v>
      </c>
      <c r="G921" s="4">
        <v>-27.74293</v>
      </c>
      <c r="H921" s="22">
        <v>-48.51777</v>
      </c>
      <c r="I921" s="5">
        <v>9.0</v>
      </c>
      <c r="J921" s="5" t="s">
        <v>105</v>
      </c>
      <c r="K921" s="5" t="s">
        <v>105</v>
      </c>
      <c r="L921" s="3"/>
      <c r="M921" s="5">
        <v>5.0</v>
      </c>
      <c r="N921" s="5">
        <v>28.0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ht="15.75" customHeight="1">
      <c r="A922" s="3" t="s">
        <v>610</v>
      </c>
      <c r="B922" s="3" t="s">
        <v>611</v>
      </c>
      <c r="C922" s="3" t="s">
        <v>19</v>
      </c>
      <c r="D922" s="3" t="s">
        <v>612</v>
      </c>
      <c r="E922" s="3" t="s">
        <v>613</v>
      </c>
      <c r="F922" s="3">
        <v>1.0</v>
      </c>
      <c r="G922" s="4">
        <v>-27.74293</v>
      </c>
      <c r="H922" s="22">
        <v>-48.51777</v>
      </c>
      <c r="I922" s="5">
        <v>10.0</v>
      </c>
      <c r="J922" s="5" t="s">
        <v>616</v>
      </c>
      <c r="K922" s="5" t="s">
        <v>616</v>
      </c>
      <c r="L922" s="3"/>
      <c r="M922" s="5">
        <v>7.0</v>
      </c>
      <c r="N922" s="5" t="s">
        <v>617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ht="15.75" customHeight="1">
      <c r="A923" s="3" t="s">
        <v>610</v>
      </c>
      <c r="B923" s="3" t="s">
        <v>611</v>
      </c>
      <c r="C923" s="3" t="s">
        <v>19</v>
      </c>
      <c r="D923" s="3" t="s">
        <v>612</v>
      </c>
      <c r="E923" s="3" t="s">
        <v>613</v>
      </c>
      <c r="F923" s="3">
        <v>1.0</v>
      </c>
      <c r="G923" s="4">
        <v>-27.74293</v>
      </c>
      <c r="H923" s="22">
        <v>-48.51777</v>
      </c>
      <c r="I923" s="5">
        <v>11.0</v>
      </c>
      <c r="J923" s="5" t="s">
        <v>50</v>
      </c>
      <c r="K923" s="5" t="s">
        <v>50</v>
      </c>
      <c r="L923" s="3"/>
      <c r="M923" s="5">
        <v>10.0</v>
      </c>
      <c r="N923" s="5">
        <v>79.0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ht="15.75" customHeight="1">
      <c r="A924" s="3" t="s">
        <v>610</v>
      </c>
      <c r="B924" s="3" t="s">
        <v>611</v>
      </c>
      <c r="C924" s="3" t="s">
        <v>19</v>
      </c>
      <c r="D924" s="3" t="s">
        <v>612</v>
      </c>
      <c r="E924" s="3" t="s">
        <v>613</v>
      </c>
      <c r="F924" s="3">
        <v>1.0</v>
      </c>
      <c r="G924" s="4">
        <v>-27.74293</v>
      </c>
      <c r="H924" s="22">
        <v>-48.51777</v>
      </c>
      <c r="I924" s="5">
        <v>12.0</v>
      </c>
      <c r="J924" s="5" t="s">
        <v>98</v>
      </c>
      <c r="K924" s="5" t="s">
        <v>98</v>
      </c>
      <c r="L924" s="3"/>
      <c r="M924" s="5">
        <v>5.0</v>
      </c>
      <c r="N924" s="5">
        <v>15.0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ht="15.75" customHeight="1">
      <c r="A925" s="3" t="s">
        <v>610</v>
      </c>
      <c r="B925" s="3" t="s">
        <v>611</v>
      </c>
      <c r="C925" s="3" t="s">
        <v>19</v>
      </c>
      <c r="D925" s="3" t="s">
        <v>612</v>
      </c>
      <c r="E925" s="3" t="s">
        <v>613</v>
      </c>
      <c r="F925" s="3">
        <v>1.0</v>
      </c>
      <c r="G925" s="4">
        <v>-27.74293</v>
      </c>
      <c r="H925" s="22">
        <v>-48.51777</v>
      </c>
      <c r="I925" s="5">
        <v>13.0</v>
      </c>
      <c r="J925" s="5" t="s">
        <v>41</v>
      </c>
      <c r="K925" s="5" t="s">
        <v>41</v>
      </c>
      <c r="L925" s="3"/>
      <c r="M925" s="5">
        <v>6.0</v>
      </c>
      <c r="N925" s="5">
        <v>26.0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ht="15.75" customHeight="1">
      <c r="A926" s="3" t="s">
        <v>610</v>
      </c>
      <c r="B926" s="3" t="s">
        <v>611</v>
      </c>
      <c r="C926" s="3" t="s">
        <v>19</v>
      </c>
      <c r="D926" s="3" t="s">
        <v>612</v>
      </c>
      <c r="E926" s="3" t="s">
        <v>613</v>
      </c>
      <c r="F926" s="3">
        <v>1.0</v>
      </c>
      <c r="G926" s="4">
        <v>-27.74293</v>
      </c>
      <c r="H926" s="22">
        <v>-48.51777</v>
      </c>
      <c r="I926" s="5">
        <v>14.0</v>
      </c>
      <c r="J926" s="5" t="s">
        <v>50</v>
      </c>
      <c r="K926" s="5" t="s">
        <v>50</v>
      </c>
      <c r="L926" s="3"/>
      <c r="M926" s="5">
        <v>10.0</v>
      </c>
      <c r="N926" s="5">
        <v>59.0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ht="15.75" customHeight="1">
      <c r="A927" s="3" t="s">
        <v>610</v>
      </c>
      <c r="B927" s="3" t="s">
        <v>611</v>
      </c>
      <c r="C927" s="3" t="s">
        <v>19</v>
      </c>
      <c r="D927" s="3" t="s">
        <v>612</v>
      </c>
      <c r="E927" s="3" t="s">
        <v>613</v>
      </c>
      <c r="F927" s="3">
        <v>1.0</v>
      </c>
      <c r="G927" s="4">
        <v>-27.74293</v>
      </c>
      <c r="H927" s="22">
        <v>-48.51777</v>
      </c>
      <c r="I927" s="5">
        <v>15.0</v>
      </c>
      <c r="J927" s="5" t="s">
        <v>50</v>
      </c>
      <c r="K927" s="5" t="s">
        <v>50</v>
      </c>
      <c r="L927" s="3"/>
      <c r="M927" s="5">
        <v>10.0</v>
      </c>
      <c r="N927" s="5" t="s">
        <v>618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ht="15.75" customHeight="1">
      <c r="A928" s="3" t="s">
        <v>610</v>
      </c>
      <c r="B928" s="3" t="s">
        <v>611</v>
      </c>
      <c r="C928" s="3" t="s">
        <v>19</v>
      </c>
      <c r="D928" s="3" t="s">
        <v>612</v>
      </c>
      <c r="E928" s="3" t="s">
        <v>613</v>
      </c>
      <c r="F928" s="3">
        <v>1.0</v>
      </c>
      <c r="G928" s="4">
        <v>-27.74293</v>
      </c>
      <c r="H928" s="22">
        <v>-48.51777</v>
      </c>
      <c r="I928" s="5">
        <v>16.0</v>
      </c>
      <c r="J928" s="5" t="s">
        <v>191</v>
      </c>
      <c r="K928" s="5" t="s">
        <v>191</v>
      </c>
      <c r="L928" s="3"/>
      <c r="M928" s="5">
        <v>4.0</v>
      </c>
      <c r="N928" s="5">
        <v>18.0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ht="15.75" customHeight="1">
      <c r="A929" s="3" t="s">
        <v>610</v>
      </c>
      <c r="B929" s="3" t="s">
        <v>611</v>
      </c>
      <c r="C929" s="3" t="s">
        <v>19</v>
      </c>
      <c r="D929" s="3" t="s">
        <v>612</v>
      </c>
      <c r="E929" s="3" t="s">
        <v>613</v>
      </c>
      <c r="F929" s="3">
        <v>1.0</v>
      </c>
      <c r="G929" s="4">
        <v>-27.74293</v>
      </c>
      <c r="H929" s="22">
        <v>-48.51777</v>
      </c>
      <c r="I929" s="5">
        <v>17.0</v>
      </c>
      <c r="J929" s="5" t="s">
        <v>41</v>
      </c>
      <c r="K929" s="5" t="s">
        <v>41</v>
      </c>
      <c r="L929" s="3"/>
      <c r="M929" s="5">
        <v>5.0</v>
      </c>
      <c r="N929" s="5">
        <v>16.0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ht="15.75" customHeight="1">
      <c r="A930" s="3" t="s">
        <v>610</v>
      </c>
      <c r="B930" s="3" t="s">
        <v>611</v>
      </c>
      <c r="C930" s="3" t="s">
        <v>19</v>
      </c>
      <c r="D930" s="3" t="s">
        <v>612</v>
      </c>
      <c r="E930" s="3" t="s">
        <v>619</v>
      </c>
      <c r="F930" s="3">
        <v>2.0</v>
      </c>
      <c r="G930" s="4">
        <v>-27.74325</v>
      </c>
      <c r="H930" s="22">
        <v>-48.5179</v>
      </c>
      <c r="I930" s="5">
        <v>1.0</v>
      </c>
      <c r="J930" s="5" t="s">
        <v>50</v>
      </c>
      <c r="K930" s="5" t="s">
        <v>50</v>
      </c>
      <c r="L930" s="3"/>
      <c r="M930" s="5">
        <v>9.0</v>
      </c>
      <c r="N930" s="5" t="s">
        <v>620</v>
      </c>
      <c r="O930" s="5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ht="15.75" customHeight="1">
      <c r="A931" s="3" t="s">
        <v>610</v>
      </c>
      <c r="B931" s="3" t="s">
        <v>611</v>
      </c>
      <c r="C931" s="3" t="s">
        <v>19</v>
      </c>
      <c r="D931" s="3" t="s">
        <v>612</v>
      </c>
      <c r="E931" s="3" t="s">
        <v>619</v>
      </c>
      <c r="F931" s="3">
        <v>2.0</v>
      </c>
      <c r="G931" s="4">
        <v>-27.74325</v>
      </c>
      <c r="H931" s="22">
        <v>-48.5179</v>
      </c>
      <c r="I931" s="5">
        <v>2.0</v>
      </c>
      <c r="J931" s="5" t="s">
        <v>273</v>
      </c>
      <c r="K931" s="5" t="s">
        <v>273</v>
      </c>
      <c r="L931" s="3"/>
      <c r="M931" s="5">
        <v>5.0</v>
      </c>
      <c r="N931" s="5">
        <v>17.0</v>
      </c>
      <c r="O931" s="5" t="s">
        <v>621</v>
      </c>
      <c r="P931" s="3" t="s">
        <v>90</v>
      </c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ht="15.75" customHeight="1">
      <c r="A932" s="3" t="s">
        <v>610</v>
      </c>
      <c r="B932" s="3" t="s">
        <v>611</v>
      </c>
      <c r="C932" s="3" t="s">
        <v>19</v>
      </c>
      <c r="D932" s="3" t="s">
        <v>612</v>
      </c>
      <c r="E932" s="3" t="s">
        <v>619</v>
      </c>
      <c r="F932" s="3">
        <v>2.0</v>
      </c>
      <c r="G932" s="4">
        <v>-27.74325</v>
      </c>
      <c r="H932" s="22">
        <v>-48.5179</v>
      </c>
      <c r="I932" s="5">
        <v>3.0</v>
      </c>
      <c r="J932" s="5" t="s">
        <v>153</v>
      </c>
      <c r="K932" s="5" t="s">
        <v>153</v>
      </c>
      <c r="L932" s="3"/>
      <c r="M932" s="5">
        <v>6.0</v>
      </c>
      <c r="N932" s="5">
        <v>34.0</v>
      </c>
      <c r="O932" s="5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ht="15.75" customHeight="1">
      <c r="A933" s="3" t="s">
        <v>610</v>
      </c>
      <c r="B933" s="3" t="s">
        <v>611</v>
      </c>
      <c r="C933" s="3" t="s">
        <v>19</v>
      </c>
      <c r="D933" s="3" t="s">
        <v>612</v>
      </c>
      <c r="E933" s="3" t="s">
        <v>619</v>
      </c>
      <c r="F933" s="3">
        <v>2.0</v>
      </c>
      <c r="G933" s="4">
        <v>-27.74325</v>
      </c>
      <c r="H933" s="22">
        <v>-48.5179</v>
      </c>
      <c r="I933" s="5">
        <v>4.0</v>
      </c>
      <c r="J933" s="5" t="s">
        <v>50</v>
      </c>
      <c r="K933" s="5" t="s">
        <v>50</v>
      </c>
      <c r="L933" s="3"/>
      <c r="M933" s="5">
        <v>8.0</v>
      </c>
      <c r="N933" s="5">
        <v>34.0</v>
      </c>
      <c r="O933" s="5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ht="15.75" customHeight="1">
      <c r="A934" s="3" t="s">
        <v>610</v>
      </c>
      <c r="B934" s="3" t="s">
        <v>611</v>
      </c>
      <c r="C934" s="3" t="s">
        <v>19</v>
      </c>
      <c r="D934" s="3" t="s">
        <v>612</v>
      </c>
      <c r="E934" s="3" t="s">
        <v>619</v>
      </c>
      <c r="F934" s="3">
        <v>2.0</v>
      </c>
      <c r="G934" s="4">
        <v>-27.74325</v>
      </c>
      <c r="H934" s="22">
        <v>-48.5179</v>
      </c>
      <c r="I934" s="5">
        <v>5.0</v>
      </c>
      <c r="J934" s="5" t="s">
        <v>98</v>
      </c>
      <c r="K934" s="5" t="s">
        <v>98</v>
      </c>
      <c r="L934" s="3"/>
      <c r="M934" s="5">
        <v>7.0</v>
      </c>
      <c r="N934" s="5">
        <v>18.0</v>
      </c>
      <c r="O934" s="5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ht="15.75" customHeight="1">
      <c r="A935" s="3" t="s">
        <v>610</v>
      </c>
      <c r="B935" s="3" t="s">
        <v>611</v>
      </c>
      <c r="C935" s="3" t="s">
        <v>19</v>
      </c>
      <c r="D935" s="3" t="s">
        <v>612</v>
      </c>
      <c r="E935" s="3" t="s">
        <v>619</v>
      </c>
      <c r="F935" s="3">
        <v>2.0</v>
      </c>
      <c r="G935" s="4">
        <v>-27.74325</v>
      </c>
      <c r="H935" s="22">
        <v>-48.5179</v>
      </c>
      <c r="I935" s="5">
        <v>6.0</v>
      </c>
      <c r="J935" s="5" t="s">
        <v>108</v>
      </c>
      <c r="K935" s="5" t="s">
        <v>108</v>
      </c>
      <c r="L935" s="3"/>
      <c r="M935" s="5">
        <v>10.0</v>
      </c>
      <c r="N935" s="5">
        <v>91.0</v>
      </c>
      <c r="O935" s="5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ht="15.75" customHeight="1">
      <c r="A936" s="3" t="s">
        <v>610</v>
      </c>
      <c r="B936" s="3" t="s">
        <v>611</v>
      </c>
      <c r="C936" s="3" t="s">
        <v>19</v>
      </c>
      <c r="D936" s="3" t="s">
        <v>612</v>
      </c>
      <c r="E936" s="3" t="s">
        <v>619</v>
      </c>
      <c r="F936" s="3">
        <v>2.0</v>
      </c>
      <c r="G936" s="4">
        <v>-27.74325</v>
      </c>
      <c r="H936" s="22">
        <v>-48.5179</v>
      </c>
      <c r="I936" s="5">
        <v>7.0</v>
      </c>
      <c r="J936" s="5" t="s">
        <v>108</v>
      </c>
      <c r="K936" s="5" t="s">
        <v>108</v>
      </c>
      <c r="L936" s="3"/>
      <c r="M936" s="5">
        <v>10.0</v>
      </c>
      <c r="N936" s="5">
        <v>106.0</v>
      </c>
      <c r="O936" s="5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ht="15.75" customHeight="1">
      <c r="A937" s="3" t="s">
        <v>610</v>
      </c>
      <c r="B937" s="3" t="s">
        <v>611</v>
      </c>
      <c r="C937" s="3" t="s">
        <v>19</v>
      </c>
      <c r="D937" s="3" t="s">
        <v>612</v>
      </c>
      <c r="E937" s="3" t="s">
        <v>619</v>
      </c>
      <c r="F937" s="3">
        <v>2.0</v>
      </c>
      <c r="G937" s="4">
        <v>-27.74325</v>
      </c>
      <c r="H937" s="22">
        <v>-48.5179</v>
      </c>
      <c r="I937" s="5">
        <v>8.0</v>
      </c>
      <c r="J937" s="5" t="s">
        <v>104</v>
      </c>
      <c r="K937" s="5" t="s">
        <v>104</v>
      </c>
      <c r="L937" s="3"/>
      <c r="M937" s="5">
        <v>11.0</v>
      </c>
      <c r="N937" s="5">
        <v>107.0</v>
      </c>
      <c r="O937" s="5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ht="15.75" customHeight="1">
      <c r="A938" s="3" t="s">
        <v>610</v>
      </c>
      <c r="B938" s="3" t="s">
        <v>611</v>
      </c>
      <c r="C938" s="3" t="s">
        <v>19</v>
      </c>
      <c r="D938" s="3" t="s">
        <v>612</v>
      </c>
      <c r="E938" s="3" t="s">
        <v>619</v>
      </c>
      <c r="F938" s="3">
        <v>2.0</v>
      </c>
      <c r="G938" s="4">
        <v>-27.74325</v>
      </c>
      <c r="H938" s="22">
        <v>-48.5179</v>
      </c>
      <c r="I938" s="5">
        <v>9.0</v>
      </c>
      <c r="J938" s="5" t="s">
        <v>98</v>
      </c>
      <c r="K938" s="5" t="s">
        <v>98</v>
      </c>
      <c r="L938" s="3"/>
      <c r="M938" s="5">
        <v>8.0</v>
      </c>
      <c r="N938" s="5">
        <v>23.0</v>
      </c>
      <c r="O938" s="5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ht="15.75" customHeight="1">
      <c r="A939" s="3" t="s">
        <v>610</v>
      </c>
      <c r="B939" s="3" t="s">
        <v>611</v>
      </c>
      <c r="C939" s="3" t="s">
        <v>19</v>
      </c>
      <c r="D939" s="3" t="s">
        <v>612</v>
      </c>
      <c r="E939" s="3" t="s">
        <v>619</v>
      </c>
      <c r="F939" s="3">
        <v>2.0</v>
      </c>
      <c r="G939" s="4">
        <v>-27.74325</v>
      </c>
      <c r="H939" s="22">
        <v>-48.5179</v>
      </c>
      <c r="I939" s="5">
        <v>10.0</v>
      </c>
      <c r="J939" s="5" t="s">
        <v>98</v>
      </c>
      <c r="K939" s="5" t="s">
        <v>98</v>
      </c>
      <c r="L939" s="3"/>
      <c r="M939" s="5">
        <v>8.0</v>
      </c>
      <c r="N939" s="5">
        <v>21.0</v>
      </c>
      <c r="O939" s="5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ht="15.75" customHeight="1">
      <c r="A940" s="3" t="s">
        <v>610</v>
      </c>
      <c r="B940" s="3" t="s">
        <v>611</v>
      </c>
      <c r="C940" s="3" t="s">
        <v>19</v>
      </c>
      <c r="D940" s="3" t="s">
        <v>612</v>
      </c>
      <c r="E940" s="3" t="s">
        <v>619</v>
      </c>
      <c r="F940" s="3">
        <v>2.0</v>
      </c>
      <c r="G940" s="4">
        <v>-27.74325</v>
      </c>
      <c r="H940" s="22">
        <v>-48.5179</v>
      </c>
      <c r="I940" s="5">
        <v>11.0</v>
      </c>
      <c r="J940" s="5" t="s">
        <v>98</v>
      </c>
      <c r="K940" s="5" t="s">
        <v>98</v>
      </c>
      <c r="L940" s="3"/>
      <c r="M940" s="5">
        <v>7.0</v>
      </c>
      <c r="N940" s="5">
        <v>19.0</v>
      </c>
      <c r="O940" s="5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ht="15.75" customHeight="1">
      <c r="A941" s="3" t="s">
        <v>610</v>
      </c>
      <c r="B941" s="3" t="s">
        <v>611</v>
      </c>
      <c r="C941" s="3" t="s">
        <v>19</v>
      </c>
      <c r="D941" s="3" t="s">
        <v>612</v>
      </c>
      <c r="E941" s="3" t="s">
        <v>619</v>
      </c>
      <c r="F941" s="3">
        <v>2.0</v>
      </c>
      <c r="G941" s="4">
        <v>-27.74325</v>
      </c>
      <c r="H941" s="22">
        <v>-48.5179</v>
      </c>
      <c r="I941" s="5">
        <v>12.0</v>
      </c>
      <c r="J941" s="5" t="s">
        <v>372</v>
      </c>
      <c r="K941" s="5" t="s">
        <v>372</v>
      </c>
      <c r="L941" s="3"/>
      <c r="M941" s="5">
        <v>8.0</v>
      </c>
      <c r="N941" s="5" t="s">
        <v>622</v>
      </c>
      <c r="O941" s="5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ht="15.75" customHeight="1">
      <c r="A942" s="3" t="s">
        <v>610</v>
      </c>
      <c r="B942" s="3" t="s">
        <v>611</v>
      </c>
      <c r="C942" s="3" t="s">
        <v>19</v>
      </c>
      <c r="D942" s="3" t="s">
        <v>612</v>
      </c>
      <c r="E942" s="3" t="s">
        <v>619</v>
      </c>
      <c r="F942" s="3">
        <v>2.0</v>
      </c>
      <c r="G942" s="4">
        <v>-27.74325</v>
      </c>
      <c r="H942" s="22">
        <v>-48.5179</v>
      </c>
      <c r="I942" s="5">
        <v>13.0</v>
      </c>
      <c r="J942" s="5" t="s">
        <v>50</v>
      </c>
      <c r="K942" s="5" t="s">
        <v>50</v>
      </c>
      <c r="L942" s="3"/>
      <c r="M942" s="5">
        <v>8.0</v>
      </c>
      <c r="N942" s="5">
        <v>40.0</v>
      </c>
      <c r="O942" s="5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ht="15.75" customHeight="1">
      <c r="A943" s="3" t="s">
        <v>610</v>
      </c>
      <c r="B943" s="3" t="s">
        <v>611</v>
      </c>
      <c r="C943" s="3" t="s">
        <v>19</v>
      </c>
      <c r="D943" s="3" t="s">
        <v>612</v>
      </c>
      <c r="E943" s="3" t="s">
        <v>619</v>
      </c>
      <c r="F943" s="3">
        <v>2.0</v>
      </c>
      <c r="G943" s="4">
        <v>-27.74325</v>
      </c>
      <c r="H943" s="22">
        <v>-48.5179</v>
      </c>
      <c r="I943" s="5">
        <v>14.0</v>
      </c>
      <c r="J943" s="5" t="s">
        <v>98</v>
      </c>
      <c r="K943" s="5" t="s">
        <v>98</v>
      </c>
      <c r="L943" s="3"/>
      <c r="M943" s="5">
        <v>8.0</v>
      </c>
      <c r="N943" s="5">
        <v>15.0</v>
      </c>
      <c r="O943" s="5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ht="15.75" customHeight="1">
      <c r="A944" s="3" t="s">
        <v>610</v>
      </c>
      <c r="B944" s="3" t="s">
        <v>611</v>
      </c>
      <c r="C944" s="3" t="s">
        <v>19</v>
      </c>
      <c r="D944" s="3" t="s">
        <v>612</v>
      </c>
      <c r="E944" s="3" t="s">
        <v>619</v>
      </c>
      <c r="F944" s="3">
        <v>2.0</v>
      </c>
      <c r="G944" s="4">
        <v>-27.74325</v>
      </c>
      <c r="H944" s="22">
        <v>-48.5179</v>
      </c>
      <c r="I944" s="5">
        <v>15.0</v>
      </c>
      <c r="J944" s="5" t="s">
        <v>108</v>
      </c>
      <c r="K944" s="5" t="s">
        <v>108</v>
      </c>
      <c r="L944" s="3"/>
      <c r="M944" s="5">
        <v>6.0</v>
      </c>
      <c r="N944" s="5">
        <v>57.0</v>
      </c>
      <c r="O944" s="5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ht="15.75" customHeight="1">
      <c r="A945" s="3" t="s">
        <v>610</v>
      </c>
      <c r="B945" s="3" t="s">
        <v>611</v>
      </c>
      <c r="C945" s="3" t="s">
        <v>19</v>
      </c>
      <c r="D945" s="3" t="s">
        <v>612</v>
      </c>
      <c r="E945" s="3" t="s">
        <v>619</v>
      </c>
      <c r="F945" s="3">
        <v>2.0</v>
      </c>
      <c r="G945" s="4">
        <v>-27.74325</v>
      </c>
      <c r="H945" s="22">
        <v>-48.5179</v>
      </c>
      <c r="I945" s="5">
        <v>16.0</v>
      </c>
      <c r="J945" s="5" t="s">
        <v>50</v>
      </c>
      <c r="K945" s="5" t="s">
        <v>50</v>
      </c>
      <c r="L945" s="3"/>
      <c r="M945" s="5">
        <v>9.0</v>
      </c>
      <c r="N945" s="5">
        <v>24.0</v>
      </c>
      <c r="O945" s="5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ht="15.75" customHeight="1">
      <c r="A946" s="3" t="s">
        <v>610</v>
      </c>
      <c r="B946" s="3" t="s">
        <v>611</v>
      </c>
      <c r="C946" s="3" t="s">
        <v>19</v>
      </c>
      <c r="D946" s="3" t="s">
        <v>612</v>
      </c>
      <c r="E946" s="3" t="s">
        <v>619</v>
      </c>
      <c r="F946" s="3">
        <v>2.0</v>
      </c>
      <c r="G946" s="4">
        <v>-27.74325</v>
      </c>
      <c r="H946" s="22">
        <v>-48.5179</v>
      </c>
      <c r="I946" s="5">
        <v>17.0</v>
      </c>
      <c r="J946" s="5" t="s">
        <v>83</v>
      </c>
      <c r="K946" s="5" t="s">
        <v>83</v>
      </c>
      <c r="L946" s="3"/>
      <c r="M946" s="5">
        <v>3.0</v>
      </c>
      <c r="N946" s="5">
        <v>27.0</v>
      </c>
      <c r="O946" s="5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ht="15.75" customHeight="1">
      <c r="A947" s="3" t="s">
        <v>610</v>
      </c>
      <c r="B947" s="3" t="s">
        <v>611</v>
      </c>
      <c r="C947" s="3" t="s">
        <v>19</v>
      </c>
      <c r="D947" s="3" t="s">
        <v>612</v>
      </c>
      <c r="E947" s="3" t="s">
        <v>623</v>
      </c>
      <c r="F947" s="3">
        <v>3.0</v>
      </c>
      <c r="G947" s="4">
        <v>-27.74354</v>
      </c>
      <c r="H947" s="4">
        <v>-48.51829</v>
      </c>
      <c r="I947" s="5">
        <v>1.0</v>
      </c>
      <c r="J947" s="5" t="s">
        <v>153</v>
      </c>
      <c r="K947" s="5" t="s">
        <v>153</v>
      </c>
      <c r="L947" s="3"/>
      <c r="M947" s="5">
        <v>6.0</v>
      </c>
      <c r="N947" s="5">
        <v>17.0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ht="15.75" customHeight="1">
      <c r="A948" s="3" t="s">
        <v>610</v>
      </c>
      <c r="B948" s="3" t="s">
        <v>611</v>
      </c>
      <c r="C948" s="3" t="s">
        <v>19</v>
      </c>
      <c r="D948" s="3" t="s">
        <v>612</v>
      </c>
      <c r="E948" s="3" t="s">
        <v>623</v>
      </c>
      <c r="F948" s="3">
        <v>3.0</v>
      </c>
      <c r="G948" s="4">
        <v>-27.74354</v>
      </c>
      <c r="H948" s="4">
        <v>-48.51829</v>
      </c>
      <c r="I948" s="5">
        <v>2.0</v>
      </c>
      <c r="J948" s="5" t="s">
        <v>153</v>
      </c>
      <c r="K948" s="5" t="s">
        <v>153</v>
      </c>
      <c r="L948" s="3"/>
      <c r="M948" s="5">
        <v>4.0</v>
      </c>
      <c r="N948" s="5" t="s">
        <v>624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ht="15.75" customHeight="1">
      <c r="A949" s="3" t="s">
        <v>610</v>
      </c>
      <c r="B949" s="3" t="s">
        <v>611</v>
      </c>
      <c r="C949" s="3" t="s">
        <v>19</v>
      </c>
      <c r="D949" s="3" t="s">
        <v>612</v>
      </c>
      <c r="E949" s="3" t="s">
        <v>623</v>
      </c>
      <c r="F949" s="3">
        <v>3.0</v>
      </c>
      <c r="G949" s="4">
        <v>-27.74354</v>
      </c>
      <c r="H949" s="4">
        <v>-48.51829</v>
      </c>
      <c r="I949" s="5">
        <v>3.0</v>
      </c>
      <c r="J949" s="5" t="s">
        <v>104</v>
      </c>
      <c r="K949" s="5" t="s">
        <v>104</v>
      </c>
      <c r="L949" s="3"/>
      <c r="M949" s="5">
        <v>9.0</v>
      </c>
      <c r="N949" s="5">
        <v>47.0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ht="15.75" customHeight="1">
      <c r="A950" s="3" t="s">
        <v>610</v>
      </c>
      <c r="B950" s="3" t="s">
        <v>611</v>
      </c>
      <c r="C950" s="3" t="s">
        <v>19</v>
      </c>
      <c r="D950" s="3" t="s">
        <v>612</v>
      </c>
      <c r="E950" s="3" t="s">
        <v>623</v>
      </c>
      <c r="F950" s="3">
        <v>3.0</v>
      </c>
      <c r="G950" s="4">
        <v>-27.74354</v>
      </c>
      <c r="H950" s="4">
        <v>-48.51829</v>
      </c>
      <c r="I950" s="5">
        <v>4.0</v>
      </c>
      <c r="J950" s="5" t="s">
        <v>98</v>
      </c>
      <c r="K950" s="5" t="s">
        <v>98</v>
      </c>
      <c r="L950" s="3"/>
      <c r="M950" s="5">
        <v>8.0</v>
      </c>
      <c r="N950" s="5">
        <v>34.0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ht="15.75" customHeight="1">
      <c r="A951" s="3" t="s">
        <v>610</v>
      </c>
      <c r="B951" s="3" t="s">
        <v>611</v>
      </c>
      <c r="C951" s="3" t="s">
        <v>19</v>
      </c>
      <c r="D951" s="3" t="s">
        <v>612</v>
      </c>
      <c r="E951" s="3" t="s">
        <v>623</v>
      </c>
      <c r="F951" s="3">
        <v>3.0</v>
      </c>
      <c r="G951" s="4">
        <v>-27.74354</v>
      </c>
      <c r="H951" s="4">
        <v>-48.51829</v>
      </c>
      <c r="I951" s="5">
        <v>5.0</v>
      </c>
      <c r="J951" s="5" t="s">
        <v>24</v>
      </c>
      <c r="K951" s="5" t="s">
        <v>24</v>
      </c>
      <c r="L951" s="3"/>
      <c r="M951" s="5">
        <v>6.0</v>
      </c>
      <c r="N951" s="5">
        <v>27.0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ht="15.75" customHeight="1">
      <c r="A952" s="3" t="s">
        <v>610</v>
      </c>
      <c r="B952" s="3" t="s">
        <v>611</v>
      </c>
      <c r="C952" s="3" t="s">
        <v>19</v>
      </c>
      <c r="D952" s="3" t="s">
        <v>612</v>
      </c>
      <c r="E952" s="3" t="s">
        <v>623</v>
      </c>
      <c r="F952" s="3">
        <v>3.0</v>
      </c>
      <c r="G952" s="4">
        <v>-27.74354</v>
      </c>
      <c r="H952" s="4">
        <v>-48.51829</v>
      </c>
      <c r="I952" s="5">
        <v>6.0</v>
      </c>
      <c r="J952" s="5" t="s">
        <v>104</v>
      </c>
      <c r="K952" s="5" t="s">
        <v>104</v>
      </c>
      <c r="L952" s="3"/>
      <c r="M952" s="5">
        <v>9.0</v>
      </c>
      <c r="N952" s="5">
        <v>50.0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ht="15.75" customHeight="1">
      <c r="A953" s="3" t="s">
        <v>610</v>
      </c>
      <c r="B953" s="3" t="s">
        <v>611</v>
      </c>
      <c r="C953" s="3" t="s">
        <v>19</v>
      </c>
      <c r="D953" s="3" t="s">
        <v>612</v>
      </c>
      <c r="E953" s="3" t="s">
        <v>623</v>
      </c>
      <c r="F953" s="3">
        <v>3.0</v>
      </c>
      <c r="G953" s="4">
        <v>-27.74354</v>
      </c>
      <c r="H953" s="4">
        <v>-48.51829</v>
      </c>
      <c r="I953" s="5">
        <v>7.0</v>
      </c>
      <c r="J953" s="5" t="s">
        <v>98</v>
      </c>
      <c r="K953" s="5" t="s">
        <v>98</v>
      </c>
      <c r="L953" s="3"/>
      <c r="M953" s="5">
        <v>7.0</v>
      </c>
      <c r="N953" s="5">
        <v>20.0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ht="15.75" customHeight="1">
      <c r="A954" s="3" t="s">
        <v>610</v>
      </c>
      <c r="B954" s="3" t="s">
        <v>611</v>
      </c>
      <c r="C954" s="3" t="s">
        <v>19</v>
      </c>
      <c r="D954" s="3" t="s">
        <v>612</v>
      </c>
      <c r="E954" s="3" t="s">
        <v>623</v>
      </c>
      <c r="F954" s="3">
        <v>3.0</v>
      </c>
      <c r="G954" s="4">
        <v>-27.74354</v>
      </c>
      <c r="H954" s="4">
        <v>-48.51829</v>
      </c>
      <c r="I954" s="5">
        <v>8.0</v>
      </c>
      <c r="J954" s="5" t="s">
        <v>86</v>
      </c>
      <c r="K954" s="5" t="s">
        <v>86</v>
      </c>
      <c r="L954" s="3"/>
      <c r="M954" s="5">
        <v>7.0</v>
      </c>
      <c r="N954" s="5">
        <v>31.0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ht="15.75" customHeight="1">
      <c r="A955" s="3" t="s">
        <v>610</v>
      </c>
      <c r="B955" s="3" t="s">
        <v>611</v>
      </c>
      <c r="C955" s="3" t="s">
        <v>19</v>
      </c>
      <c r="D955" s="3" t="s">
        <v>612</v>
      </c>
      <c r="E955" s="3" t="s">
        <v>623</v>
      </c>
      <c r="F955" s="3">
        <v>3.0</v>
      </c>
      <c r="G955" s="4">
        <v>-27.74354</v>
      </c>
      <c r="H955" s="4">
        <v>-48.51829</v>
      </c>
      <c r="I955" s="5">
        <v>9.0</v>
      </c>
      <c r="J955" s="5" t="s">
        <v>100</v>
      </c>
      <c r="K955" s="5" t="s">
        <v>100</v>
      </c>
      <c r="L955" s="3"/>
      <c r="M955" s="5">
        <v>8.0</v>
      </c>
      <c r="N955" s="5" t="s">
        <v>625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ht="15.75" customHeight="1">
      <c r="A956" s="3" t="s">
        <v>610</v>
      </c>
      <c r="B956" s="3" t="s">
        <v>611</v>
      </c>
      <c r="C956" s="3" t="s">
        <v>19</v>
      </c>
      <c r="D956" s="3" t="s">
        <v>612</v>
      </c>
      <c r="E956" s="3" t="s">
        <v>623</v>
      </c>
      <c r="F956" s="3">
        <v>3.0</v>
      </c>
      <c r="G956" s="4">
        <v>-27.74354</v>
      </c>
      <c r="H956" s="4">
        <v>-48.51829</v>
      </c>
      <c r="I956" s="5">
        <v>10.0</v>
      </c>
      <c r="J956" s="5" t="s">
        <v>98</v>
      </c>
      <c r="K956" s="5" t="s">
        <v>98</v>
      </c>
      <c r="L956" s="3"/>
      <c r="M956" s="5">
        <v>6.0</v>
      </c>
      <c r="N956" s="5">
        <v>15.0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ht="15.75" customHeight="1">
      <c r="A957" s="3" t="s">
        <v>610</v>
      </c>
      <c r="B957" s="3" t="s">
        <v>611</v>
      </c>
      <c r="C957" s="3" t="s">
        <v>19</v>
      </c>
      <c r="D957" s="3" t="s">
        <v>612</v>
      </c>
      <c r="E957" s="3" t="s">
        <v>623</v>
      </c>
      <c r="F957" s="3">
        <v>3.0</v>
      </c>
      <c r="G957" s="4">
        <v>-27.74354</v>
      </c>
      <c r="H957" s="4">
        <v>-48.51829</v>
      </c>
      <c r="I957" s="5">
        <v>11.0</v>
      </c>
      <c r="J957" s="5" t="s">
        <v>499</v>
      </c>
      <c r="K957" s="5" t="s">
        <v>499</v>
      </c>
      <c r="L957" s="3"/>
      <c r="M957" s="5">
        <v>6.0</v>
      </c>
      <c r="N957" s="5">
        <v>26.0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ht="15.75" customHeight="1">
      <c r="A958" s="3" t="s">
        <v>610</v>
      </c>
      <c r="B958" s="3" t="s">
        <v>611</v>
      </c>
      <c r="C958" s="3" t="s">
        <v>19</v>
      </c>
      <c r="D958" s="3" t="s">
        <v>612</v>
      </c>
      <c r="E958" s="3" t="s">
        <v>623</v>
      </c>
      <c r="F958" s="3">
        <v>3.0</v>
      </c>
      <c r="G958" s="4">
        <v>-27.74354</v>
      </c>
      <c r="H958" s="4">
        <v>-48.51829</v>
      </c>
      <c r="I958" s="5">
        <v>12.0</v>
      </c>
      <c r="J958" s="5" t="s">
        <v>499</v>
      </c>
      <c r="K958" s="5" t="s">
        <v>499</v>
      </c>
      <c r="L958" s="3"/>
      <c r="M958" s="5">
        <v>5.0</v>
      </c>
      <c r="N958" s="5">
        <v>22.0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ht="15.75" customHeight="1">
      <c r="A959" s="3" t="s">
        <v>610</v>
      </c>
      <c r="B959" s="3" t="s">
        <v>611</v>
      </c>
      <c r="C959" s="3" t="s">
        <v>19</v>
      </c>
      <c r="D959" s="3" t="s">
        <v>612</v>
      </c>
      <c r="E959" s="3" t="s">
        <v>623</v>
      </c>
      <c r="F959" s="3">
        <v>3.0</v>
      </c>
      <c r="G959" s="4">
        <v>-27.74354</v>
      </c>
      <c r="H959" s="4">
        <v>-48.51829</v>
      </c>
      <c r="I959" s="5">
        <v>13.0</v>
      </c>
      <c r="J959" s="5" t="s">
        <v>100</v>
      </c>
      <c r="K959" s="5" t="s">
        <v>100</v>
      </c>
      <c r="L959" s="3"/>
      <c r="M959" s="5">
        <v>6.0</v>
      </c>
      <c r="N959" s="5">
        <v>33.0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ht="15.75" customHeight="1">
      <c r="A960" s="3" t="s">
        <v>610</v>
      </c>
      <c r="B960" s="3" t="s">
        <v>611</v>
      </c>
      <c r="C960" s="3" t="s">
        <v>19</v>
      </c>
      <c r="D960" s="3" t="s">
        <v>612</v>
      </c>
      <c r="E960" s="3" t="s">
        <v>623</v>
      </c>
      <c r="F960" s="3">
        <v>3.0</v>
      </c>
      <c r="G960" s="4">
        <v>-27.74354</v>
      </c>
      <c r="H960" s="4">
        <v>-48.51829</v>
      </c>
      <c r="I960" s="5">
        <v>14.0</v>
      </c>
      <c r="J960" s="20" t="s">
        <v>536</v>
      </c>
      <c r="K960" s="12" t="s">
        <v>315</v>
      </c>
      <c r="L960" s="3"/>
      <c r="M960" s="5"/>
      <c r="N960" s="5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ht="15.75" customHeight="1">
      <c r="A961" s="3" t="s">
        <v>610</v>
      </c>
      <c r="B961" s="3" t="s">
        <v>611</v>
      </c>
      <c r="C961" s="3" t="s">
        <v>19</v>
      </c>
      <c r="D961" s="3" t="s">
        <v>612</v>
      </c>
      <c r="E961" s="3" t="s">
        <v>623</v>
      </c>
      <c r="F961" s="3">
        <v>3.0</v>
      </c>
      <c r="G961" s="4">
        <v>-27.74354</v>
      </c>
      <c r="H961" s="4">
        <v>-48.51829</v>
      </c>
      <c r="I961" s="5">
        <v>15.0</v>
      </c>
      <c r="J961" s="5" t="s">
        <v>499</v>
      </c>
      <c r="K961" s="5" t="s">
        <v>499</v>
      </c>
      <c r="L961" s="3"/>
      <c r="M961" s="5">
        <v>4.0</v>
      </c>
      <c r="N961" s="5">
        <v>15.0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ht="15.75" customHeight="1">
      <c r="A962" s="3" t="s">
        <v>610</v>
      </c>
      <c r="B962" s="3" t="s">
        <v>611</v>
      </c>
      <c r="C962" s="3" t="s">
        <v>19</v>
      </c>
      <c r="D962" s="3" t="s">
        <v>612</v>
      </c>
      <c r="E962" s="3" t="s">
        <v>623</v>
      </c>
      <c r="F962" s="3">
        <v>3.0</v>
      </c>
      <c r="G962" s="4">
        <v>-27.74354</v>
      </c>
      <c r="H962" s="4">
        <v>-48.51829</v>
      </c>
      <c r="I962" s="5">
        <v>16.0</v>
      </c>
      <c r="J962" s="5" t="s">
        <v>98</v>
      </c>
      <c r="K962" s="5" t="s">
        <v>98</v>
      </c>
      <c r="L962" s="3"/>
      <c r="M962" s="5">
        <v>6.0</v>
      </c>
      <c r="N962" s="5">
        <v>15.0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ht="15.75" customHeight="1">
      <c r="A963" s="3" t="s">
        <v>610</v>
      </c>
      <c r="B963" s="3" t="s">
        <v>611</v>
      </c>
      <c r="C963" s="3" t="s">
        <v>19</v>
      </c>
      <c r="D963" s="3" t="s">
        <v>612</v>
      </c>
      <c r="E963" s="3" t="s">
        <v>623</v>
      </c>
      <c r="F963" s="3">
        <v>3.0</v>
      </c>
      <c r="G963" s="4">
        <v>-27.74354</v>
      </c>
      <c r="H963" s="4">
        <v>-48.51829</v>
      </c>
      <c r="I963" s="5">
        <v>17.0</v>
      </c>
      <c r="J963" s="5" t="s">
        <v>104</v>
      </c>
      <c r="K963" s="5" t="s">
        <v>104</v>
      </c>
      <c r="L963" s="3"/>
      <c r="M963" s="5">
        <v>10.0</v>
      </c>
      <c r="N963" s="5">
        <v>66.0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ht="15.75" customHeight="1">
      <c r="A964" s="3" t="s">
        <v>610</v>
      </c>
      <c r="B964" s="3" t="s">
        <v>611</v>
      </c>
      <c r="C964" s="3" t="s">
        <v>19</v>
      </c>
      <c r="D964" s="3" t="s">
        <v>612</v>
      </c>
      <c r="E964" s="3" t="s">
        <v>623</v>
      </c>
      <c r="F964" s="3">
        <v>3.0</v>
      </c>
      <c r="G964" s="4">
        <v>-27.74354</v>
      </c>
      <c r="H964" s="4">
        <v>-48.51829</v>
      </c>
      <c r="I964" s="5">
        <v>18.0</v>
      </c>
      <c r="J964" s="5" t="s">
        <v>153</v>
      </c>
      <c r="K964" s="5" t="s">
        <v>153</v>
      </c>
      <c r="L964" s="3"/>
      <c r="M964" s="5">
        <v>5.0</v>
      </c>
      <c r="N964" s="5">
        <v>16.0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ht="15.75" customHeight="1">
      <c r="A965" s="3" t="s">
        <v>610</v>
      </c>
      <c r="B965" s="3" t="s">
        <v>611</v>
      </c>
      <c r="C965" s="3" t="s">
        <v>19</v>
      </c>
      <c r="D965" s="3" t="s">
        <v>612</v>
      </c>
      <c r="E965" s="3" t="s">
        <v>623</v>
      </c>
      <c r="F965" s="3">
        <v>3.0</v>
      </c>
      <c r="G965" s="4">
        <v>-27.74354</v>
      </c>
      <c r="H965" s="4">
        <v>-48.51829</v>
      </c>
      <c r="I965" s="5">
        <v>19.0</v>
      </c>
      <c r="J965" s="5" t="s">
        <v>191</v>
      </c>
      <c r="K965" s="5" t="s">
        <v>191</v>
      </c>
      <c r="L965" s="3"/>
      <c r="M965" s="5">
        <v>6.0</v>
      </c>
      <c r="N965" s="5">
        <v>30.0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ht="15.75" customHeight="1">
      <c r="A966" s="3" t="s">
        <v>610</v>
      </c>
      <c r="B966" s="3" t="s">
        <v>611</v>
      </c>
      <c r="C966" s="3" t="s">
        <v>19</v>
      </c>
      <c r="D966" s="3" t="s">
        <v>612</v>
      </c>
      <c r="E966" s="3" t="s">
        <v>623</v>
      </c>
      <c r="F966" s="3">
        <v>3.0</v>
      </c>
      <c r="G966" s="4">
        <v>-27.74354</v>
      </c>
      <c r="H966" s="4">
        <v>-48.51829</v>
      </c>
      <c r="I966" s="5">
        <v>20.0</v>
      </c>
      <c r="J966" s="5" t="s">
        <v>50</v>
      </c>
      <c r="K966" s="5" t="s">
        <v>50</v>
      </c>
      <c r="L966" s="3"/>
      <c r="M966" s="5">
        <v>12.0</v>
      </c>
      <c r="N966" s="5" t="s">
        <v>626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ht="15.75" customHeight="1">
      <c r="A967" s="3" t="s">
        <v>610</v>
      </c>
      <c r="B967" s="3" t="s">
        <v>611</v>
      </c>
      <c r="C967" s="3" t="s">
        <v>19</v>
      </c>
      <c r="D967" s="3" t="s">
        <v>612</v>
      </c>
      <c r="E967" s="3" t="s">
        <v>623</v>
      </c>
      <c r="F967" s="3">
        <v>3.0</v>
      </c>
      <c r="G967" s="4">
        <v>-27.74354</v>
      </c>
      <c r="H967" s="4">
        <v>-48.51829</v>
      </c>
      <c r="I967" s="5">
        <v>21.0</v>
      </c>
      <c r="J967" s="5" t="s">
        <v>108</v>
      </c>
      <c r="K967" s="5" t="s">
        <v>108</v>
      </c>
      <c r="L967" s="3"/>
      <c r="M967" s="5">
        <v>10.0</v>
      </c>
      <c r="N967" s="5">
        <v>47.0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ht="15.75" customHeight="1">
      <c r="A968" s="3" t="s">
        <v>610</v>
      </c>
      <c r="B968" s="3" t="s">
        <v>611</v>
      </c>
      <c r="C968" s="3" t="s">
        <v>19</v>
      </c>
      <c r="D968" s="3" t="s">
        <v>612</v>
      </c>
      <c r="E968" s="3" t="s">
        <v>623</v>
      </c>
      <c r="F968" s="3">
        <v>3.0</v>
      </c>
      <c r="G968" s="4">
        <v>-27.74354</v>
      </c>
      <c r="H968" s="4">
        <v>-48.51829</v>
      </c>
      <c r="I968" s="5">
        <v>22.0</v>
      </c>
      <c r="J968" s="5" t="s">
        <v>98</v>
      </c>
      <c r="K968" s="5" t="s">
        <v>98</v>
      </c>
      <c r="L968" s="3"/>
      <c r="M968" s="5">
        <v>7.0</v>
      </c>
      <c r="N968" s="5">
        <v>21.0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ht="15.75" customHeight="1">
      <c r="A969" s="3" t="s">
        <v>610</v>
      </c>
      <c r="B969" s="3" t="s">
        <v>611</v>
      </c>
      <c r="C969" s="3" t="s">
        <v>19</v>
      </c>
      <c r="D969" s="3" t="s">
        <v>612</v>
      </c>
      <c r="E969" s="3" t="s">
        <v>623</v>
      </c>
      <c r="F969" s="3">
        <v>3.0</v>
      </c>
      <c r="G969" s="4">
        <v>-27.74354</v>
      </c>
      <c r="H969" s="4">
        <v>-48.51829</v>
      </c>
      <c r="I969" s="5">
        <v>23.0</v>
      </c>
      <c r="J969" s="5" t="s">
        <v>98</v>
      </c>
      <c r="K969" s="5" t="s">
        <v>98</v>
      </c>
      <c r="L969" s="3"/>
      <c r="M969" s="5">
        <v>8.0</v>
      </c>
      <c r="N969" s="5">
        <v>17.5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ht="15.75" customHeight="1">
      <c r="A970" s="3" t="s">
        <v>610</v>
      </c>
      <c r="B970" s="3" t="s">
        <v>611</v>
      </c>
      <c r="C970" s="3" t="s">
        <v>19</v>
      </c>
      <c r="D970" s="3" t="s">
        <v>612</v>
      </c>
      <c r="E970" s="3" t="s">
        <v>623</v>
      </c>
      <c r="F970" s="3">
        <v>3.0</v>
      </c>
      <c r="G970" s="4">
        <v>-27.74354</v>
      </c>
      <c r="H970" s="4">
        <v>-48.51829</v>
      </c>
      <c r="I970" s="5">
        <v>24.0</v>
      </c>
      <c r="J970" s="5" t="s">
        <v>499</v>
      </c>
      <c r="K970" s="5" t="s">
        <v>499</v>
      </c>
      <c r="L970" s="3"/>
      <c r="M970" s="5">
        <v>4.0</v>
      </c>
      <c r="N970" s="5">
        <v>15.0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ht="15.75" customHeight="1">
      <c r="A971" s="3" t="s">
        <v>610</v>
      </c>
      <c r="B971" s="3" t="s">
        <v>611</v>
      </c>
      <c r="C971" s="3" t="s">
        <v>19</v>
      </c>
      <c r="D971" s="3" t="s">
        <v>612</v>
      </c>
      <c r="E971" s="3" t="s">
        <v>623</v>
      </c>
      <c r="F971" s="3">
        <v>3.0</v>
      </c>
      <c r="G971" s="4">
        <v>-27.74354</v>
      </c>
      <c r="H971" s="4">
        <v>-48.51829</v>
      </c>
      <c r="I971" s="5">
        <v>25.0</v>
      </c>
      <c r="J971" s="5" t="s">
        <v>98</v>
      </c>
      <c r="K971" s="5" t="s">
        <v>98</v>
      </c>
      <c r="L971" s="3"/>
      <c r="M971" s="5">
        <v>5.0</v>
      </c>
      <c r="N971" s="5">
        <v>15.0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ht="15.75" customHeight="1">
      <c r="A972" s="3" t="s">
        <v>610</v>
      </c>
      <c r="B972" s="3" t="s">
        <v>611</v>
      </c>
      <c r="C972" s="3" t="s">
        <v>19</v>
      </c>
      <c r="D972" s="3" t="s">
        <v>612</v>
      </c>
      <c r="E972" s="3" t="s">
        <v>627</v>
      </c>
      <c r="F972" s="3">
        <v>4.0</v>
      </c>
      <c r="G972" s="22">
        <v>-27.74365</v>
      </c>
      <c r="H972" s="4">
        <v>-48.51865</v>
      </c>
      <c r="I972" s="5">
        <v>1.0</v>
      </c>
      <c r="J972" s="5" t="s">
        <v>104</v>
      </c>
      <c r="K972" s="5" t="s">
        <v>104</v>
      </c>
      <c r="L972" s="3"/>
      <c r="M972" s="5">
        <v>10.0</v>
      </c>
      <c r="N972" s="5">
        <v>75.0</v>
      </c>
      <c r="O972" s="5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ht="15.75" customHeight="1">
      <c r="A973" s="3" t="s">
        <v>610</v>
      </c>
      <c r="B973" s="3" t="s">
        <v>611</v>
      </c>
      <c r="C973" s="3" t="s">
        <v>19</v>
      </c>
      <c r="D973" s="3" t="s">
        <v>612</v>
      </c>
      <c r="E973" s="3" t="s">
        <v>627</v>
      </c>
      <c r="F973" s="3">
        <v>4.0</v>
      </c>
      <c r="G973" s="22">
        <v>-27.74365</v>
      </c>
      <c r="H973" s="4">
        <v>-48.51865</v>
      </c>
      <c r="I973" s="5">
        <v>2.0</v>
      </c>
      <c r="J973" s="5" t="s">
        <v>329</v>
      </c>
      <c r="K973" s="5" t="s">
        <v>329</v>
      </c>
      <c r="L973" s="3"/>
      <c r="M973" s="5">
        <v>3.0</v>
      </c>
      <c r="N973" s="5">
        <v>18.0</v>
      </c>
      <c r="O973" s="5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ht="15.75" customHeight="1">
      <c r="A974" s="3" t="s">
        <v>610</v>
      </c>
      <c r="B974" s="3" t="s">
        <v>611</v>
      </c>
      <c r="C974" s="3" t="s">
        <v>19</v>
      </c>
      <c r="D974" s="3" t="s">
        <v>612</v>
      </c>
      <c r="E974" s="3" t="s">
        <v>627</v>
      </c>
      <c r="F974" s="3">
        <v>4.0</v>
      </c>
      <c r="G974" s="22">
        <v>-27.74365</v>
      </c>
      <c r="H974" s="4">
        <v>-48.51865</v>
      </c>
      <c r="I974" s="5">
        <v>3.0</v>
      </c>
      <c r="J974" s="5" t="s">
        <v>329</v>
      </c>
      <c r="K974" s="5" t="s">
        <v>329</v>
      </c>
      <c r="L974" s="3"/>
      <c r="M974" s="5">
        <v>9.0</v>
      </c>
      <c r="N974" s="5">
        <v>48.0</v>
      </c>
      <c r="O974" s="5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ht="15.75" customHeight="1">
      <c r="A975" s="3" t="s">
        <v>610</v>
      </c>
      <c r="B975" s="3" t="s">
        <v>611</v>
      </c>
      <c r="C975" s="3" t="s">
        <v>19</v>
      </c>
      <c r="D975" s="3" t="s">
        <v>612</v>
      </c>
      <c r="E975" s="3" t="s">
        <v>627</v>
      </c>
      <c r="F975" s="3">
        <v>4.0</v>
      </c>
      <c r="G975" s="22">
        <v>-27.74365</v>
      </c>
      <c r="H975" s="4">
        <v>-48.51865</v>
      </c>
      <c r="I975" s="5">
        <v>4.0</v>
      </c>
      <c r="J975" s="5" t="s">
        <v>329</v>
      </c>
      <c r="K975" s="5" t="s">
        <v>329</v>
      </c>
      <c r="L975" s="3"/>
      <c r="M975" s="5">
        <v>7.0</v>
      </c>
      <c r="N975" s="5">
        <v>25.0</v>
      </c>
      <c r="O975" s="5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ht="15.75" customHeight="1">
      <c r="A976" s="3" t="s">
        <v>610</v>
      </c>
      <c r="B976" s="3" t="s">
        <v>611</v>
      </c>
      <c r="C976" s="3" t="s">
        <v>19</v>
      </c>
      <c r="D976" s="3" t="s">
        <v>612</v>
      </c>
      <c r="E976" s="3" t="s">
        <v>627</v>
      </c>
      <c r="F976" s="3">
        <v>4.0</v>
      </c>
      <c r="G976" s="22">
        <v>-27.74365</v>
      </c>
      <c r="H976" s="4">
        <v>-48.51865</v>
      </c>
      <c r="I976" s="5">
        <v>5.0</v>
      </c>
      <c r="J976" s="5" t="s">
        <v>41</v>
      </c>
      <c r="K976" s="5" t="s">
        <v>41</v>
      </c>
      <c r="L976" s="3"/>
      <c r="M976" s="5">
        <v>6.0</v>
      </c>
      <c r="N976" s="5" t="s">
        <v>628</v>
      </c>
      <c r="O976" s="5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ht="15.75" customHeight="1">
      <c r="A977" s="3" t="s">
        <v>610</v>
      </c>
      <c r="B977" s="3" t="s">
        <v>611</v>
      </c>
      <c r="C977" s="3" t="s">
        <v>19</v>
      </c>
      <c r="D977" s="3" t="s">
        <v>612</v>
      </c>
      <c r="E977" s="3" t="s">
        <v>627</v>
      </c>
      <c r="F977" s="3">
        <v>4.0</v>
      </c>
      <c r="G977" s="22">
        <v>-27.74365</v>
      </c>
      <c r="H977" s="4">
        <v>-48.51865</v>
      </c>
      <c r="I977" s="5">
        <v>6.0</v>
      </c>
      <c r="J977" s="5" t="s">
        <v>104</v>
      </c>
      <c r="K977" s="5" t="s">
        <v>104</v>
      </c>
      <c r="L977" s="3"/>
      <c r="M977" s="5">
        <v>5.0</v>
      </c>
      <c r="N977" s="5">
        <v>18.0</v>
      </c>
      <c r="O977" s="5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ht="15.75" customHeight="1">
      <c r="A978" s="3" t="s">
        <v>610</v>
      </c>
      <c r="B978" s="3" t="s">
        <v>611</v>
      </c>
      <c r="C978" s="3" t="s">
        <v>19</v>
      </c>
      <c r="D978" s="3" t="s">
        <v>612</v>
      </c>
      <c r="E978" s="3" t="s">
        <v>627</v>
      </c>
      <c r="F978" s="3">
        <v>4.0</v>
      </c>
      <c r="G978" s="22">
        <v>-27.74365</v>
      </c>
      <c r="H978" s="4">
        <v>-48.51865</v>
      </c>
      <c r="I978" s="5">
        <v>7.0</v>
      </c>
      <c r="J978" s="5" t="s">
        <v>173</v>
      </c>
      <c r="K978" s="5" t="s">
        <v>173</v>
      </c>
      <c r="L978" s="3"/>
      <c r="M978" s="5">
        <v>6.0</v>
      </c>
      <c r="N978" s="5">
        <v>15.0</v>
      </c>
      <c r="O978" s="5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ht="15.75" customHeight="1">
      <c r="A979" s="3" t="s">
        <v>610</v>
      </c>
      <c r="B979" s="3" t="s">
        <v>611</v>
      </c>
      <c r="C979" s="3" t="s">
        <v>19</v>
      </c>
      <c r="D979" s="3" t="s">
        <v>612</v>
      </c>
      <c r="E979" s="3" t="s">
        <v>627</v>
      </c>
      <c r="F979" s="3">
        <v>4.0</v>
      </c>
      <c r="G979" s="22">
        <v>-27.74365</v>
      </c>
      <c r="H979" s="4">
        <v>-48.51865</v>
      </c>
      <c r="I979" s="5">
        <v>8.0</v>
      </c>
      <c r="J979" s="5" t="s">
        <v>41</v>
      </c>
      <c r="K979" s="5" t="s">
        <v>41</v>
      </c>
      <c r="L979" s="3"/>
      <c r="M979" s="5">
        <v>6.0</v>
      </c>
      <c r="N979" s="5">
        <v>39.0</v>
      </c>
      <c r="O979" s="5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ht="15.75" customHeight="1">
      <c r="A980" s="3" t="s">
        <v>610</v>
      </c>
      <c r="B980" s="3" t="s">
        <v>611</v>
      </c>
      <c r="C980" s="3" t="s">
        <v>19</v>
      </c>
      <c r="D980" s="3" t="s">
        <v>612</v>
      </c>
      <c r="E980" s="3" t="s">
        <v>627</v>
      </c>
      <c r="F980" s="3">
        <v>4.0</v>
      </c>
      <c r="G980" s="22">
        <v>-27.74365</v>
      </c>
      <c r="H980" s="4">
        <v>-48.51865</v>
      </c>
      <c r="I980" s="5">
        <v>9.0</v>
      </c>
      <c r="J980" s="5" t="s">
        <v>629</v>
      </c>
      <c r="K980" s="5" t="s">
        <v>629</v>
      </c>
      <c r="L980" s="3"/>
      <c r="M980" s="5">
        <v>7.0</v>
      </c>
      <c r="N980" s="5">
        <v>17.0</v>
      </c>
      <c r="O980" s="5" t="s">
        <v>630</v>
      </c>
      <c r="P980" s="3" t="s">
        <v>77</v>
      </c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ht="15.75" customHeight="1">
      <c r="A981" s="3" t="s">
        <v>610</v>
      </c>
      <c r="B981" s="3" t="s">
        <v>611</v>
      </c>
      <c r="C981" s="3" t="s">
        <v>19</v>
      </c>
      <c r="D981" s="3" t="s">
        <v>612</v>
      </c>
      <c r="E981" s="3" t="s">
        <v>627</v>
      </c>
      <c r="F981" s="3">
        <v>4.0</v>
      </c>
      <c r="G981" s="22">
        <v>-27.74365</v>
      </c>
      <c r="H981" s="4">
        <v>-48.51865</v>
      </c>
      <c r="I981" s="5">
        <v>10.0</v>
      </c>
      <c r="J981" s="5" t="s">
        <v>631</v>
      </c>
      <c r="K981" s="5" t="s">
        <v>504</v>
      </c>
      <c r="L981" s="3"/>
      <c r="M981" s="5">
        <v>9.0</v>
      </c>
      <c r="N981" s="5">
        <v>56.0</v>
      </c>
      <c r="O981" s="2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ht="15.75" customHeight="1">
      <c r="A982" s="3" t="s">
        <v>610</v>
      </c>
      <c r="B982" s="3" t="s">
        <v>611</v>
      </c>
      <c r="C982" s="3" t="s">
        <v>19</v>
      </c>
      <c r="D982" s="3" t="s">
        <v>612</v>
      </c>
      <c r="E982" s="3" t="s">
        <v>627</v>
      </c>
      <c r="F982" s="3">
        <v>4.0</v>
      </c>
      <c r="G982" s="22">
        <v>-27.74365</v>
      </c>
      <c r="H982" s="4">
        <v>-48.51865</v>
      </c>
      <c r="I982" s="5">
        <v>11.0</v>
      </c>
      <c r="J982" s="5" t="s">
        <v>98</v>
      </c>
      <c r="K982" s="5" t="s">
        <v>98</v>
      </c>
      <c r="L982" s="3"/>
      <c r="M982" s="5">
        <v>6.0</v>
      </c>
      <c r="N982" s="5">
        <v>23.0</v>
      </c>
      <c r="O982" s="5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ht="15.75" customHeight="1">
      <c r="A983" s="3" t="s">
        <v>610</v>
      </c>
      <c r="B983" s="3" t="s">
        <v>611</v>
      </c>
      <c r="C983" s="3" t="s">
        <v>19</v>
      </c>
      <c r="D983" s="3" t="s">
        <v>612</v>
      </c>
      <c r="E983" s="3" t="s">
        <v>627</v>
      </c>
      <c r="F983" s="3">
        <v>4.0</v>
      </c>
      <c r="G983" s="22">
        <v>-27.74365</v>
      </c>
      <c r="H983" s="4">
        <v>-48.51865</v>
      </c>
      <c r="I983" s="5">
        <v>12.0</v>
      </c>
      <c r="J983" s="5" t="s">
        <v>108</v>
      </c>
      <c r="K983" s="5" t="s">
        <v>108</v>
      </c>
      <c r="L983" s="3"/>
      <c r="M983" s="5">
        <v>8.0</v>
      </c>
      <c r="N983" s="5">
        <v>52.5</v>
      </c>
      <c r="O983" s="5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ht="15.75" customHeight="1">
      <c r="A984" s="3" t="s">
        <v>610</v>
      </c>
      <c r="B984" s="3" t="s">
        <v>611</v>
      </c>
      <c r="C984" s="3" t="s">
        <v>19</v>
      </c>
      <c r="D984" s="3" t="s">
        <v>612</v>
      </c>
      <c r="E984" s="3" t="s">
        <v>627</v>
      </c>
      <c r="F984" s="3">
        <v>4.0</v>
      </c>
      <c r="G984" s="22">
        <v>-27.74365</v>
      </c>
      <c r="H984" s="4">
        <v>-48.51865</v>
      </c>
      <c r="I984" s="5">
        <v>13.0</v>
      </c>
      <c r="J984" s="12" t="s">
        <v>167</v>
      </c>
      <c r="K984" s="12" t="s">
        <v>167</v>
      </c>
      <c r="L984" s="3"/>
      <c r="M984" s="5">
        <v>6.0</v>
      </c>
      <c r="N984" s="5">
        <v>15.0</v>
      </c>
      <c r="O984" s="5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ht="15.75" customHeight="1">
      <c r="A985" s="3" t="s">
        <v>610</v>
      </c>
      <c r="B985" s="3" t="s">
        <v>611</v>
      </c>
      <c r="C985" s="3" t="s">
        <v>80</v>
      </c>
      <c r="D985" s="3" t="s">
        <v>632</v>
      </c>
      <c r="E985" s="3" t="s">
        <v>633</v>
      </c>
      <c r="F985" s="3">
        <v>5.0</v>
      </c>
      <c r="G985" s="22">
        <v>-27.74621</v>
      </c>
      <c r="H985" s="22">
        <v>-48.52213</v>
      </c>
      <c r="I985" s="5">
        <v>1.0</v>
      </c>
      <c r="J985" s="5" t="s">
        <v>122</v>
      </c>
      <c r="K985" s="5" t="s">
        <v>122</v>
      </c>
      <c r="L985" s="3"/>
      <c r="M985" s="5">
        <v>8.0</v>
      </c>
      <c r="N985" s="5">
        <v>33.0</v>
      </c>
      <c r="O985" s="5" t="s">
        <v>634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ht="15.75" customHeight="1">
      <c r="A986" s="3" t="s">
        <v>610</v>
      </c>
      <c r="B986" s="3" t="s">
        <v>611</v>
      </c>
      <c r="C986" s="3" t="s">
        <v>80</v>
      </c>
      <c r="D986" s="3" t="s">
        <v>632</v>
      </c>
      <c r="E986" s="3" t="s">
        <v>633</v>
      </c>
      <c r="F986" s="3">
        <v>5.0</v>
      </c>
      <c r="G986" s="22">
        <v>-27.74621</v>
      </c>
      <c r="H986" s="22">
        <v>-48.52213</v>
      </c>
      <c r="I986" s="5">
        <v>2.0</v>
      </c>
      <c r="J986" s="5" t="s">
        <v>565</v>
      </c>
      <c r="K986" s="5" t="s">
        <v>565</v>
      </c>
      <c r="L986" s="3"/>
      <c r="M986" s="5">
        <v>10.0</v>
      </c>
      <c r="N986" s="5">
        <v>38.0</v>
      </c>
      <c r="O986" s="5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ht="15.75" customHeight="1">
      <c r="A987" s="3" t="s">
        <v>610</v>
      </c>
      <c r="B987" s="3" t="s">
        <v>611</v>
      </c>
      <c r="C987" s="3" t="s">
        <v>80</v>
      </c>
      <c r="D987" s="3" t="s">
        <v>632</v>
      </c>
      <c r="E987" s="3" t="s">
        <v>633</v>
      </c>
      <c r="F987" s="3">
        <v>5.0</v>
      </c>
      <c r="G987" s="22">
        <v>-27.74621</v>
      </c>
      <c r="H987" s="22">
        <v>-48.52213</v>
      </c>
      <c r="I987" s="5">
        <v>3.0</v>
      </c>
      <c r="J987" s="5" t="s">
        <v>104</v>
      </c>
      <c r="K987" s="5" t="s">
        <v>104</v>
      </c>
      <c r="L987" s="3"/>
      <c r="M987" s="5">
        <v>9.0</v>
      </c>
      <c r="N987" s="5">
        <v>57.0</v>
      </c>
      <c r="O987" s="5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ht="15.75" customHeight="1">
      <c r="A988" s="3" t="s">
        <v>610</v>
      </c>
      <c r="B988" s="3" t="s">
        <v>611</v>
      </c>
      <c r="C988" s="3" t="s">
        <v>80</v>
      </c>
      <c r="D988" s="3" t="s">
        <v>632</v>
      </c>
      <c r="E988" s="3" t="s">
        <v>633</v>
      </c>
      <c r="F988" s="3">
        <v>5.0</v>
      </c>
      <c r="G988" s="22">
        <v>-27.74621</v>
      </c>
      <c r="H988" s="22">
        <v>-48.52213</v>
      </c>
      <c r="I988" s="5">
        <v>4.0</v>
      </c>
      <c r="J988" s="5" t="s">
        <v>104</v>
      </c>
      <c r="K988" s="5" t="s">
        <v>104</v>
      </c>
      <c r="L988" s="3"/>
      <c r="M988" s="5">
        <v>9.0</v>
      </c>
      <c r="N988" s="5" t="s">
        <v>635</v>
      </c>
      <c r="O988" s="5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ht="15.75" customHeight="1">
      <c r="A989" s="3" t="s">
        <v>610</v>
      </c>
      <c r="B989" s="3" t="s">
        <v>611</v>
      </c>
      <c r="C989" s="3" t="s">
        <v>80</v>
      </c>
      <c r="D989" s="3" t="s">
        <v>632</v>
      </c>
      <c r="E989" s="3" t="s">
        <v>633</v>
      </c>
      <c r="F989" s="3">
        <v>5.0</v>
      </c>
      <c r="G989" s="22">
        <v>-27.74621</v>
      </c>
      <c r="H989" s="22">
        <v>-48.52213</v>
      </c>
      <c r="I989" s="5">
        <v>5.0</v>
      </c>
      <c r="J989" s="5" t="s">
        <v>31</v>
      </c>
      <c r="K989" s="5" t="s">
        <v>31</v>
      </c>
      <c r="L989" s="3"/>
      <c r="M989" s="5">
        <v>8.0</v>
      </c>
      <c r="N989" s="5">
        <v>47.0</v>
      </c>
      <c r="O989" s="5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ht="15.75" customHeight="1">
      <c r="A990" s="3" t="s">
        <v>610</v>
      </c>
      <c r="B990" s="3" t="s">
        <v>611</v>
      </c>
      <c r="C990" s="3" t="s">
        <v>80</v>
      </c>
      <c r="D990" s="3" t="s">
        <v>632</v>
      </c>
      <c r="E990" s="3" t="s">
        <v>633</v>
      </c>
      <c r="F990" s="3">
        <v>5.0</v>
      </c>
      <c r="G990" s="22">
        <v>-27.74621</v>
      </c>
      <c r="H990" s="22">
        <v>-48.52213</v>
      </c>
      <c r="I990" s="5">
        <v>6.0</v>
      </c>
      <c r="J990" s="5" t="s">
        <v>153</v>
      </c>
      <c r="K990" s="5" t="s">
        <v>153</v>
      </c>
      <c r="L990" s="3"/>
      <c r="M990" s="5">
        <v>5.0</v>
      </c>
      <c r="N990" s="5">
        <v>15.0</v>
      </c>
      <c r="O990" s="5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ht="15.75" customHeight="1">
      <c r="A991" s="3" t="s">
        <v>610</v>
      </c>
      <c r="B991" s="3" t="s">
        <v>611</v>
      </c>
      <c r="C991" s="3" t="s">
        <v>80</v>
      </c>
      <c r="D991" s="3" t="s">
        <v>632</v>
      </c>
      <c r="E991" s="3" t="s">
        <v>633</v>
      </c>
      <c r="F991" s="3">
        <v>5.0</v>
      </c>
      <c r="G991" s="22">
        <v>-27.74621</v>
      </c>
      <c r="H991" s="22">
        <v>-48.52213</v>
      </c>
      <c r="I991" s="5">
        <v>7.0</v>
      </c>
      <c r="J991" s="5" t="s">
        <v>104</v>
      </c>
      <c r="K991" s="5" t="s">
        <v>104</v>
      </c>
      <c r="L991" s="3"/>
      <c r="M991" s="5">
        <v>7.0</v>
      </c>
      <c r="N991" s="5" t="s">
        <v>636</v>
      </c>
      <c r="O991" s="5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ht="15.75" customHeight="1">
      <c r="A992" s="3" t="s">
        <v>610</v>
      </c>
      <c r="B992" s="3" t="s">
        <v>611</v>
      </c>
      <c r="C992" s="3" t="s">
        <v>80</v>
      </c>
      <c r="D992" s="3" t="s">
        <v>632</v>
      </c>
      <c r="E992" s="3" t="s">
        <v>633</v>
      </c>
      <c r="F992" s="3">
        <v>5.0</v>
      </c>
      <c r="G992" s="22">
        <v>-27.74621</v>
      </c>
      <c r="H992" s="22">
        <v>-48.52213</v>
      </c>
      <c r="I992" s="5">
        <v>8.0</v>
      </c>
      <c r="J992" s="5" t="s">
        <v>104</v>
      </c>
      <c r="K992" s="5" t="s">
        <v>104</v>
      </c>
      <c r="L992" s="3"/>
      <c r="M992" s="5">
        <v>8.0</v>
      </c>
      <c r="N992" s="5">
        <v>20.0</v>
      </c>
      <c r="O992" s="5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ht="15.75" customHeight="1">
      <c r="A993" s="3" t="s">
        <v>610</v>
      </c>
      <c r="B993" s="3" t="s">
        <v>611</v>
      </c>
      <c r="C993" s="3" t="s">
        <v>80</v>
      </c>
      <c r="D993" s="3" t="s">
        <v>632</v>
      </c>
      <c r="E993" s="3" t="s">
        <v>633</v>
      </c>
      <c r="F993" s="3">
        <v>5.0</v>
      </c>
      <c r="G993" s="22">
        <v>-27.74621</v>
      </c>
      <c r="H993" s="22">
        <v>-48.52213</v>
      </c>
      <c r="I993" s="5">
        <v>9.0</v>
      </c>
      <c r="J993" s="5" t="s">
        <v>122</v>
      </c>
      <c r="K993" s="5" t="s">
        <v>122</v>
      </c>
      <c r="L993" s="3"/>
      <c r="M993" s="5">
        <v>7.0</v>
      </c>
      <c r="N993" s="5">
        <v>20.0</v>
      </c>
      <c r="O993" s="5" t="s">
        <v>637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ht="15.75" customHeight="1">
      <c r="A994" s="3" t="s">
        <v>610</v>
      </c>
      <c r="B994" s="3" t="s">
        <v>611</v>
      </c>
      <c r="C994" s="3" t="s">
        <v>80</v>
      </c>
      <c r="D994" s="3" t="s">
        <v>632</v>
      </c>
      <c r="E994" s="3" t="s">
        <v>633</v>
      </c>
      <c r="F994" s="3">
        <v>5.0</v>
      </c>
      <c r="G994" s="22">
        <v>-27.74621</v>
      </c>
      <c r="H994" s="22">
        <v>-48.52213</v>
      </c>
      <c r="I994" s="5">
        <v>10.0</v>
      </c>
      <c r="J994" s="5" t="s">
        <v>104</v>
      </c>
      <c r="K994" s="5" t="s">
        <v>104</v>
      </c>
      <c r="L994" s="3"/>
      <c r="M994" s="5">
        <v>5.0</v>
      </c>
      <c r="N994" s="5">
        <v>15.0</v>
      </c>
      <c r="O994" s="5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ht="15.75" customHeight="1">
      <c r="A995" s="3" t="s">
        <v>610</v>
      </c>
      <c r="B995" s="3" t="s">
        <v>611</v>
      </c>
      <c r="C995" s="3" t="s">
        <v>80</v>
      </c>
      <c r="D995" s="3" t="s">
        <v>632</v>
      </c>
      <c r="E995" s="3" t="s">
        <v>633</v>
      </c>
      <c r="F995" s="3">
        <v>5.0</v>
      </c>
      <c r="G995" s="22">
        <v>-27.74621</v>
      </c>
      <c r="H995" s="22">
        <v>-48.52213</v>
      </c>
      <c r="I995" s="5">
        <v>11.0</v>
      </c>
      <c r="J995" s="5" t="s">
        <v>122</v>
      </c>
      <c r="K995" s="5" t="s">
        <v>122</v>
      </c>
      <c r="L995" s="3"/>
      <c r="M995" s="5">
        <v>5.0</v>
      </c>
      <c r="N995" s="5">
        <v>15.0</v>
      </c>
      <c r="O995" s="5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ht="15.75" customHeight="1">
      <c r="A996" s="3" t="s">
        <v>610</v>
      </c>
      <c r="B996" s="3" t="s">
        <v>611</v>
      </c>
      <c r="C996" s="3" t="s">
        <v>80</v>
      </c>
      <c r="D996" s="3" t="s">
        <v>632</v>
      </c>
      <c r="E996" s="3" t="s">
        <v>633</v>
      </c>
      <c r="F996" s="3">
        <v>5.0</v>
      </c>
      <c r="G996" s="22">
        <v>-27.74621</v>
      </c>
      <c r="H996" s="22">
        <v>-48.52213</v>
      </c>
      <c r="I996" s="5">
        <v>12.0</v>
      </c>
      <c r="J996" s="5" t="s">
        <v>153</v>
      </c>
      <c r="K996" s="5" t="s">
        <v>153</v>
      </c>
      <c r="L996" s="3"/>
      <c r="M996" s="5">
        <v>7.0</v>
      </c>
      <c r="N996" s="5">
        <v>39.0</v>
      </c>
      <c r="O996" s="5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ht="15.75" customHeight="1">
      <c r="A997" s="3" t="s">
        <v>610</v>
      </c>
      <c r="B997" s="3" t="s">
        <v>611</v>
      </c>
      <c r="C997" s="3" t="s">
        <v>80</v>
      </c>
      <c r="D997" s="3" t="s">
        <v>632</v>
      </c>
      <c r="E997" s="3" t="s">
        <v>633</v>
      </c>
      <c r="F997" s="3">
        <v>5.0</v>
      </c>
      <c r="G997" s="22">
        <v>-27.74621</v>
      </c>
      <c r="H997" s="22">
        <v>-48.52213</v>
      </c>
      <c r="I997" s="5">
        <v>13.0</v>
      </c>
      <c r="J997" s="5" t="s">
        <v>104</v>
      </c>
      <c r="K997" s="5" t="s">
        <v>104</v>
      </c>
      <c r="L997" s="3"/>
      <c r="M997" s="5">
        <v>10.0</v>
      </c>
      <c r="N997" s="5">
        <v>41.0</v>
      </c>
      <c r="O997" s="5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ht="15.75" customHeight="1">
      <c r="A998" s="3" t="s">
        <v>610</v>
      </c>
      <c r="B998" s="3" t="s">
        <v>611</v>
      </c>
      <c r="C998" s="3" t="s">
        <v>80</v>
      </c>
      <c r="D998" s="3" t="s">
        <v>632</v>
      </c>
      <c r="E998" s="3" t="s">
        <v>633</v>
      </c>
      <c r="F998" s="3">
        <v>5.0</v>
      </c>
      <c r="G998" s="22">
        <v>-27.74621</v>
      </c>
      <c r="H998" s="22">
        <v>-48.52213</v>
      </c>
      <c r="I998" s="5">
        <v>14.0</v>
      </c>
      <c r="J998" s="5" t="s">
        <v>104</v>
      </c>
      <c r="K998" s="5" t="s">
        <v>104</v>
      </c>
      <c r="L998" s="3"/>
      <c r="M998" s="5">
        <v>9.0</v>
      </c>
      <c r="N998" s="5" t="s">
        <v>638</v>
      </c>
      <c r="O998" s="5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ht="15.75" customHeight="1">
      <c r="A999" s="3" t="s">
        <v>610</v>
      </c>
      <c r="B999" s="3" t="s">
        <v>611</v>
      </c>
      <c r="C999" s="3" t="s">
        <v>80</v>
      </c>
      <c r="D999" s="3" t="s">
        <v>632</v>
      </c>
      <c r="E999" s="3" t="s">
        <v>633</v>
      </c>
      <c r="F999" s="3">
        <v>5.0</v>
      </c>
      <c r="G999" s="22">
        <v>-27.74621</v>
      </c>
      <c r="H999" s="22">
        <v>-48.52213</v>
      </c>
      <c r="I999" s="5">
        <v>15.0</v>
      </c>
      <c r="J999" s="5" t="s">
        <v>104</v>
      </c>
      <c r="K999" s="5" t="s">
        <v>104</v>
      </c>
      <c r="L999" s="3"/>
      <c r="M999" s="5">
        <v>7.0</v>
      </c>
      <c r="N999" s="5">
        <v>23.0</v>
      </c>
      <c r="O999" s="5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ht="15.75" customHeight="1">
      <c r="A1000" s="3" t="s">
        <v>610</v>
      </c>
      <c r="B1000" s="3" t="s">
        <v>611</v>
      </c>
      <c r="C1000" s="3" t="s">
        <v>80</v>
      </c>
      <c r="D1000" s="3" t="s">
        <v>632</v>
      </c>
      <c r="E1000" s="3" t="s">
        <v>633</v>
      </c>
      <c r="F1000" s="3">
        <v>5.0</v>
      </c>
      <c r="G1000" s="22">
        <v>-27.74621</v>
      </c>
      <c r="H1000" s="22">
        <v>-48.52213</v>
      </c>
      <c r="I1000" s="5">
        <v>16.0</v>
      </c>
      <c r="J1000" s="5" t="s">
        <v>639</v>
      </c>
      <c r="K1000" s="5" t="s">
        <v>639</v>
      </c>
      <c r="L1000" s="3"/>
      <c r="M1000" s="5">
        <v>6.0</v>
      </c>
      <c r="N1000" s="5">
        <v>24.0</v>
      </c>
      <c r="O1000" s="5" t="s">
        <v>640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ht="15.75" customHeight="1">
      <c r="A1001" s="3" t="s">
        <v>610</v>
      </c>
      <c r="B1001" s="3" t="s">
        <v>611</v>
      </c>
      <c r="C1001" s="3" t="s">
        <v>80</v>
      </c>
      <c r="D1001" s="3" t="s">
        <v>632</v>
      </c>
      <c r="E1001" s="3" t="s">
        <v>633</v>
      </c>
      <c r="F1001" s="3">
        <v>5.0</v>
      </c>
      <c r="G1001" s="22">
        <v>-27.74621</v>
      </c>
      <c r="H1001" s="22">
        <v>-48.52213</v>
      </c>
      <c r="I1001" s="5">
        <v>17.0</v>
      </c>
      <c r="J1001" s="5" t="s">
        <v>108</v>
      </c>
      <c r="K1001" s="5" t="s">
        <v>108</v>
      </c>
      <c r="L1001" s="3"/>
      <c r="M1001" s="5">
        <v>6.0</v>
      </c>
      <c r="N1001" s="5">
        <v>54.0</v>
      </c>
      <c r="O1001" s="5"/>
      <c r="P1001" s="3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</row>
    <row r="1002" ht="15.75" customHeight="1">
      <c r="A1002" s="3" t="s">
        <v>610</v>
      </c>
      <c r="B1002" s="3" t="s">
        <v>611</v>
      </c>
      <c r="C1002" s="3" t="s">
        <v>80</v>
      </c>
      <c r="D1002" s="3" t="s">
        <v>632</v>
      </c>
      <c r="E1002" s="3" t="s">
        <v>633</v>
      </c>
      <c r="F1002" s="3">
        <v>5.0</v>
      </c>
      <c r="G1002" s="22">
        <v>-27.74621</v>
      </c>
      <c r="H1002" s="22">
        <v>-48.52213</v>
      </c>
      <c r="I1002" s="5">
        <v>18.0</v>
      </c>
      <c r="J1002" s="5" t="s">
        <v>31</v>
      </c>
      <c r="K1002" s="5" t="s">
        <v>31</v>
      </c>
      <c r="L1002" s="3"/>
      <c r="M1002" s="5">
        <v>8.0</v>
      </c>
      <c r="N1002" s="5" t="s">
        <v>641</v>
      </c>
      <c r="O1002" s="5"/>
      <c r="P1002" s="3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</row>
    <row r="1003" ht="15.75" customHeight="1">
      <c r="A1003" s="3" t="s">
        <v>610</v>
      </c>
      <c r="B1003" s="3" t="s">
        <v>611</v>
      </c>
      <c r="C1003" s="3" t="s">
        <v>80</v>
      </c>
      <c r="D1003" s="3" t="s">
        <v>632</v>
      </c>
      <c r="E1003" s="3" t="s">
        <v>633</v>
      </c>
      <c r="F1003" s="3">
        <v>5.0</v>
      </c>
      <c r="G1003" s="22">
        <v>-27.74621</v>
      </c>
      <c r="H1003" s="22">
        <v>-48.52213</v>
      </c>
      <c r="I1003" s="5">
        <v>19.0</v>
      </c>
      <c r="J1003" s="5" t="s">
        <v>104</v>
      </c>
      <c r="K1003" s="5" t="s">
        <v>104</v>
      </c>
      <c r="L1003" s="3"/>
      <c r="M1003" s="5">
        <v>8.0</v>
      </c>
      <c r="N1003" s="5" t="s">
        <v>642</v>
      </c>
      <c r="O1003" s="5"/>
      <c r="P1003" s="3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</row>
    <row r="1004" ht="15.75" customHeight="1">
      <c r="A1004" s="3" t="s">
        <v>610</v>
      </c>
      <c r="B1004" s="3" t="s">
        <v>611</v>
      </c>
      <c r="C1004" s="3" t="s">
        <v>80</v>
      </c>
      <c r="D1004" s="3" t="s">
        <v>632</v>
      </c>
      <c r="E1004" s="3" t="s">
        <v>633</v>
      </c>
      <c r="F1004" s="3">
        <v>5.0</v>
      </c>
      <c r="G1004" s="22">
        <v>-27.74621</v>
      </c>
      <c r="H1004" s="22">
        <v>-48.52213</v>
      </c>
      <c r="I1004" s="5">
        <v>20.0</v>
      </c>
      <c r="J1004" s="5" t="s">
        <v>104</v>
      </c>
      <c r="K1004" s="5" t="s">
        <v>104</v>
      </c>
      <c r="L1004" s="3"/>
      <c r="M1004" s="5">
        <v>6.0</v>
      </c>
      <c r="N1004" s="5">
        <v>17.0</v>
      </c>
      <c r="O1004" s="5"/>
      <c r="P1004" s="3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</row>
    <row r="1005" ht="15.75" customHeight="1">
      <c r="A1005" s="3" t="s">
        <v>610</v>
      </c>
      <c r="B1005" s="3" t="s">
        <v>611</v>
      </c>
      <c r="C1005" s="3" t="s">
        <v>80</v>
      </c>
      <c r="D1005" s="3" t="s">
        <v>632</v>
      </c>
      <c r="E1005" s="3" t="s">
        <v>633</v>
      </c>
      <c r="F1005" s="3">
        <v>5.0</v>
      </c>
      <c r="G1005" s="22">
        <v>-27.74621</v>
      </c>
      <c r="H1005" s="22">
        <v>-48.52213</v>
      </c>
      <c r="I1005" s="5">
        <v>21.0</v>
      </c>
      <c r="J1005" s="5" t="s">
        <v>104</v>
      </c>
      <c r="K1005" s="5" t="s">
        <v>104</v>
      </c>
      <c r="L1005" s="3"/>
      <c r="M1005" s="5">
        <v>12.0</v>
      </c>
      <c r="N1005" s="5" t="s">
        <v>643</v>
      </c>
      <c r="O1005" s="5"/>
      <c r="P1005" s="3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</row>
    <row r="1006" ht="15.75" customHeight="1">
      <c r="A1006" s="3" t="s">
        <v>610</v>
      </c>
      <c r="B1006" s="3" t="s">
        <v>611</v>
      </c>
      <c r="C1006" s="3" t="s">
        <v>80</v>
      </c>
      <c r="D1006" s="3" t="s">
        <v>632</v>
      </c>
      <c r="E1006" s="3" t="s">
        <v>644</v>
      </c>
      <c r="F1006" s="3">
        <v>6.0</v>
      </c>
      <c r="G1006" s="4">
        <v>-27.74671</v>
      </c>
      <c r="H1006" s="22">
        <v>-48.52224</v>
      </c>
      <c r="I1006" s="5">
        <v>1.0</v>
      </c>
      <c r="J1006" s="5" t="s">
        <v>645</v>
      </c>
      <c r="K1006" s="5" t="s">
        <v>645</v>
      </c>
      <c r="L1006" s="3"/>
      <c r="M1006" s="5">
        <v>10.0</v>
      </c>
      <c r="N1006" s="5">
        <v>56.0</v>
      </c>
      <c r="O1006" s="5"/>
      <c r="P1006" s="3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</row>
    <row r="1007" ht="15.75" customHeight="1">
      <c r="A1007" s="3" t="s">
        <v>610</v>
      </c>
      <c r="B1007" s="3" t="s">
        <v>611</v>
      </c>
      <c r="C1007" s="3" t="s">
        <v>80</v>
      </c>
      <c r="D1007" s="3" t="s">
        <v>632</v>
      </c>
      <c r="E1007" s="3" t="s">
        <v>644</v>
      </c>
      <c r="F1007" s="3">
        <v>6.0</v>
      </c>
      <c r="G1007" s="4">
        <v>-27.74671</v>
      </c>
      <c r="H1007" s="22">
        <v>-48.52224</v>
      </c>
      <c r="I1007" s="5">
        <v>2.0</v>
      </c>
      <c r="J1007" s="5" t="s">
        <v>41</v>
      </c>
      <c r="K1007" s="5" t="s">
        <v>41</v>
      </c>
      <c r="L1007" s="3"/>
      <c r="M1007" s="5">
        <v>8.0</v>
      </c>
      <c r="N1007" s="5" t="s">
        <v>646</v>
      </c>
      <c r="O1007" s="5"/>
      <c r="P1007" s="3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</row>
    <row r="1008" ht="15.75" customHeight="1">
      <c r="A1008" s="3" t="s">
        <v>610</v>
      </c>
      <c r="B1008" s="3" t="s">
        <v>611</v>
      </c>
      <c r="C1008" s="3" t="s">
        <v>80</v>
      </c>
      <c r="D1008" s="3" t="s">
        <v>632</v>
      </c>
      <c r="E1008" s="3" t="s">
        <v>644</v>
      </c>
      <c r="F1008" s="3">
        <v>6.0</v>
      </c>
      <c r="G1008" s="4">
        <v>-27.74671</v>
      </c>
      <c r="H1008" s="22">
        <v>-48.52224</v>
      </c>
      <c r="I1008" s="5">
        <v>3.0</v>
      </c>
      <c r="J1008" s="5" t="s">
        <v>104</v>
      </c>
      <c r="K1008" s="5" t="s">
        <v>104</v>
      </c>
      <c r="L1008" s="3"/>
      <c r="M1008" s="5">
        <v>7.0</v>
      </c>
      <c r="N1008" s="5">
        <v>31.0</v>
      </c>
      <c r="O1008" s="5"/>
      <c r="P1008" s="3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</row>
    <row r="1009" ht="15.75" customHeight="1">
      <c r="A1009" s="3" t="s">
        <v>610</v>
      </c>
      <c r="B1009" s="3" t="s">
        <v>611</v>
      </c>
      <c r="C1009" s="3" t="s">
        <v>80</v>
      </c>
      <c r="D1009" s="3" t="s">
        <v>632</v>
      </c>
      <c r="E1009" s="3" t="s">
        <v>644</v>
      </c>
      <c r="F1009" s="3">
        <v>6.0</v>
      </c>
      <c r="G1009" s="4">
        <v>-27.74671</v>
      </c>
      <c r="H1009" s="22">
        <v>-48.52224</v>
      </c>
      <c r="I1009" s="5">
        <v>4.0</v>
      </c>
      <c r="J1009" s="5" t="s">
        <v>647</v>
      </c>
      <c r="K1009" s="5" t="s">
        <v>235</v>
      </c>
      <c r="L1009" s="3"/>
      <c r="M1009" s="5">
        <v>6.0</v>
      </c>
      <c r="N1009" s="5">
        <v>25.0</v>
      </c>
      <c r="O1009" s="5"/>
      <c r="P1009" s="3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</row>
    <row r="1010" ht="15.75" customHeight="1">
      <c r="A1010" s="3" t="s">
        <v>610</v>
      </c>
      <c r="B1010" s="3" t="s">
        <v>611</v>
      </c>
      <c r="C1010" s="3" t="s">
        <v>80</v>
      </c>
      <c r="D1010" s="3" t="s">
        <v>632</v>
      </c>
      <c r="E1010" s="3" t="s">
        <v>644</v>
      </c>
      <c r="F1010" s="3">
        <v>6.0</v>
      </c>
      <c r="G1010" s="4">
        <v>-27.74671</v>
      </c>
      <c r="H1010" s="22">
        <v>-48.52224</v>
      </c>
      <c r="I1010" s="5">
        <v>5.0</v>
      </c>
      <c r="J1010" s="5" t="s">
        <v>647</v>
      </c>
      <c r="K1010" s="5" t="s">
        <v>235</v>
      </c>
      <c r="L1010" s="3"/>
      <c r="M1010" s="5">
        <v>6.0</v>
      </c>
      <c r="N1010" s="5">
        <v>19.0</v>
      </c>
      <c r="O1010" s="5"/>
      <c r="P1010" s="3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</row>
    <row r="1011" ht="15.75" customHeight="1">
      <c r="A1011" s="3" t="s">
        <v>610</v>
      </c>
      <c r="B1011" s="3" t="s">
        <v>611</v>
      </c>
      <c r="C1011" s="3" t="s">
        <v>80</v>
      </c>
      <c r="D1011" s="3" t="s">
        <v>632</v>
      </c>
      <c r="E1011" s="3" t="s">
        <v>644</v>
      </c>
      <c r="F1011" s="3">
        <v>6.0</v>
      </c>
      <c r="G1011" s="4">
        <v>-27.74671</v>
      </c>
      <c r="H1011" s="22">
        <v>-48.52224</v>
      </c>
      <c r="I1011" s="5">
        <v>6.0</v>
      </c>
      <c r="J1011" s="12" t="s">
        <v>167</v>
      </c>
      <c r="K1011" s="12" t="s">
        <v>167</v>
      </c>
      <c r="L1011" s="3"/>
      <c r="M1011" s="5">
        <v>5.0</v>
      </c>
      <c r="N1011" s="5" t="s">
        <v>648</v>
      </c>
      <c r="O1011" s="5"/>
      <c r="P1011" s="3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</row>
    <row r="1012" ht="15.75" customHeight="1">
      <c r="A1012" s="3" t="s">
        <v>610</v>
      </c>
      <c r="B1012" s="3" t="s">
        <v>611</v>
      </c>
      <c r="C1012" s="3" t="s">
        <v>80</v>
      </c>
      <c r="D1012" s="3" t="s">
        <v>632</v>
      </c>
      <c r="E1012" s="3" t="s">
        <v>644</v>
      </c>
      <c r="F1012" s="3">
        <v>6.0</v>
      </c>
      <c r="G1012" s="4">
        <v>-27.74671</v>
      </c>
      <c r="H1012" s="22">
        <v>-48.52224</v>
      </c>
      <c r="I1012" s="5">
        <v>7.0</v>
      </c>
      <c r="J1012" s="14" t="s">
        <v>384</v>
      </c>
      <c r="K1012" s="14" t="s">
        <v>67</v>
      </c>
      <c r="L1012" s="3"/>
      <c r="M1012" s="5">
        <v>6.0</v>
      </c>
      <c r="N1012" s="5">
        <v>15.0</v>
      </c>
      <c r="O1012" s="11"/>
      <c r="P1012" s="5" t="s">
        <v>77</v>
      </c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</row>
    <row r="1013" ht="15.75" customHeight="1">
      <c r="A1013" s="3" t="s">
        <v>610</v>
      </c>
      <c r="B1013" s="3" t="s">
        <v>611</v>
      </c>
      <c r="C1013" s="3" t="s">
        <v>80</v>
      </c>
      <c r="D1013" s="3" t="s">
        <v>632</v>
      </c>
      <c r="E1013" s="3" t="s">
        <v>644</v>
      </c>
      <c r="F1013" s="3">
        <v>6.0</v>
      </c>
      <c r="G1013" s="4">
        <v>-27.74671</v>
      </c>
      <c r="H1013" s="22">
        <v>-48.52224</v>
      </c>
      <c r="I1013" s="5">
        <v>8.0</v>
      </c>
      <c r="J1013" s="5" t="s">
        <v>105</v>
      </c>
      <c r="K1013" s="5" t="s">
        <v>105</v>
      </c>
      <c r="L1013" s="3"/>
      <c r="M1013" s="5">
        <v>4.0</v>
      </c>
      <c r="N1013" s="5">
        <v>19.0</v>
      </c>
      <c r="O1013" s="5"/>
      <c r="P1013" s="3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</row>
    <row r="1014" ht="15.75" customHeight="1">
      <c r="A1014" s="3" t="s">
        <v>610</v>
      </c>
      <c r="B1014" s="3" t="s">
        <v>611</v>
      </c>
      <c r="C1014" s="3" t="s">
        <v>80</v>
      </c>
      <c r="D1014" s="3" t="s">
        <v>632</v>
      </c>
      <c r="E1014" s="3" t="s">
        <v>644</v>
      </c>
      <c r="F1014" s="3">
        <v>6.0</v>
      </c>
      <c r="G1014" s="4">
        <v>-27.74671</v>
      </c>
      <c r="H1014" s="22">
        <v>-48.52224</v>
      </c>
      <c r="I1014" s="5">
        <v>9.0</v>
      </c>
      <c r="J1014" s="5" t="s">
        <v>104</v>
      </c>
      <c r="K1014" s="5" t="s">
        <v>104</v>
      </c>
      <c r="L1014" s="3"/>
      <c r="M1014" s="5">
        <v>10.0</v>
      </c>
      <c r="N1014" s="5">
        <v>94.0</v>
      </c>
      <c r="O1014" s="5"/>
      <c r="P1014" s="3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</row>
    <row r="1015" ht="15.75" customHeight="1">
      <c r="A1015" s="3" t="s">
        <v>610</v>
      </c>
      <c r="B1015" s="3" t="s">
        <v>611</v>
      </c>
      <c r="C1015" s="3" t="s">
        <v>80</v>
      </c>
      <c r="D1015" s="3" t="s">
        <v>632</v>
      </c>
      <c r="E1015" s="3" t="s">
        <v>644</v>
      </c>
      <c r="F1015" s="3">
        <v>6.0</v>
      </c>
      <c r="G1015" s="4">
        <v>-27.74671</v>
      </c>
      <c r="H1015" s="22">
        <v>-48.52224</v>
      </c>
      <c r="I1015" s="5">
        <v>10.0</v>
      </c>
      <c r="J1015" s="5" t="s">
        <v>647</v>
      </c>
      <c r="K1015" s="5" t="s">
        <v>235</v>
      </c>
      <c r="L1015" s="3"/>
      <c r="M1015" s="5">
        <v>8.0</v>
      </c>
      <c r="N1015" s="5">
        <v>25.0</v>
      </c>
      <c r="O1015" s="5"/>
      <c r="P1015" s="3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</row>
    <row r="1016" ht="15.75" customHeight="1">
      <c r="A1016" s="3" t="s">
        <v>610</v>
      </c>
      <c r="B1016" s="3" t="s">
        <v>611</v>
      </c>
      <c r="C1016" s="3" t="s">
        <v>80</v>
      </c>
      <c r="D1016" s="3" t="s">
        <v>632</v>
      </c>
      <c r="E1016" s="3" t="s">
        <v>644</v>
      </c>
      <c r="F1016" s="3">
        <v>6.0</v>
      </c>
      <c r="G1016" s="4">
        <v>-27.74671</v>
      </c>
      <c r="H1016" s="22">
        <v>-48.52224</v>
      </c>
      <c r="I1016" s="5">
        <v>11.0</v>
      </c>
      <c r="J1016" s="5" t="s">
        <v>394</v>
      </c>
      <c r="K1016" s="5" t="s">
        <v>394</v>
      </c>
      <c r="L1016" s="3"/>
      <c r="M1016" s="5">
        <v>8.0</v>
      </c>
      <c r="N1016" s="5">
        <v>75.0</v>
      </c>
      <c r="O1016" s="5"/>
      <c r="P1016" s="3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</row>
    <row r="1017" ht="15.75" customHeight="1">
      <c r="A1017" s="3" t="s">
        <v>610</v>
      </c>
      <c r="B1017" s="3" t="s">
        <v>611</v>
      </c>
      <c r="C1017" s="3" t="s">
        <v>80</v>
      </c>
      <c r="D1017" s="3" t="s">
        <v>632</v>
      </c>
      <c r="E1017" s="3" t="s">
        <v>644</v>
      </c>
      <c r="F1017" s="3">
        <v>6.0</v>
      </c>
      <c r="G1017" s="4">
        <v>-27.74671</v>
      </c>
      <c r="H1017" s="22">
        <v>-48.52224</v>
      </c>
      <c r="I1017" s="5">
        <v>12.0</v>
      </c>
      <c r="J1017" s="5" t="s">
        <v>24</v>
      </c>
      <c r="K1017" s="5" t="s">
        <v>24</v>
      </c>
      <c r="L1017" s="3"/>
      <c r="M1017" s="5">
        <v>9.0</v>
      </c>
      <c r="N1017" s="5">
        <v>87.0</v>
      </c>
      <c r="O1017" s="5"/>
      <c r="P1017" s="3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</row>
    <row r="1018" ht="15.75" customHeight="1">
      <c r="A1018" s="3" t="s">
        <v>610</v>
      </c>
      <c r="B1018" s="3" t="s">
        <v>611</v>
      </c>
      <c r="C1018" s="3" t="s">
        <v>80</v>
      </c>
      <c r="D1018" s="3" t="s">
        <v>632</v>
      </c>
      <c r="E1018" s="3" t="s">
        <v>644</v>
      </c>
      <c r="F1018" s="3">
        <v>6.0</v>
      </c>
      <c r="G1018" s="4">
        <v>-27.74671</v>
      </c>
      <c r="H1018" s="22">
        <v>-48.52224</v>
      </c>
      <c r="I1018" s="5">
        <v>13.0</v>
      </c>
      <c r="J1018" s="5" t="s">
        <v>104</v>
      </c>
      <c r="K1018" s="5" t="s">
        <v>104</v>
      </c>
      <c r="L1018" s="3"/>
      <c r="M1018" s="5">
        <v>7.0</v>
      </c>
      <c r="N1018" s="5">
        <v>17.0</v>
      </c>
      <c r="O1018" s="5"/>
      <c r="P1018" s="3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</row>
    <row r="1019" ht="15.75" customHeight="1">
      <c r="A1019" s="3" t="s">
        <v>610</v>
      </c>
      <c r="B1019" s="3" t="s">
        <v>611</v>
      </c>
      <c r="C1019" s="3" t="s">
        <v>80</v>
      </c>
      <c r="D1019" s="3" t="s">
        <v>632</v>
      </c>
      <c r="E1019" s="3" t="s">
        <v>644</v>
      </c>
      <c r="F1019" s="3">
        <v>6.0</v>
      </c>
      <c r="G1019" s="4">
        <v>-27.74671</v>
      </c>
      <c r="H1019" s="22">
        <v>-48.52224</v>
      </c>
      <c r="I1019" s="5">
        <v>14.0</v>
      </c>
      <c r="J1019" s="5" t="s">
        <v>104</v>
      </c>
      <c r="K1019" s="5" t="s">
        <v>104</v>
      </c>
      <c r="L1019" s="3"/>
      <c r="M1019" s="5">
        <v>3.0</v>
      </c>
      <c r="N1019" s="5">
        <v>17.0</v>
      </c>
      <c r="O1019" s="5"/>
      <c r="P1019" s="3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</row>
    <row r="1020" ht="15.75" customHeight="1">
      <c r="A1020" s="3" t="s">
        <v>610</v>
      </c>
      <c r="B1020" s="3" t="s">
        <v>611</v>
      </c>
      <c r="C1020" s="3" t="s">
        <v>80</v>
      </c>
      <c r="D1020" s="3" t="s">
        <v>632</v>
      </c>
      <c r="E1020" s="3" t="s">
        <v>644</v>
      </c>
      <c r="F1020" s="3">
        <v>6.0</v>
      </c>
      <c r="G1020" s="4">
        <v>-27.74671</v>
      </c>
      <c r="H1020" s="22">
        <v>-48.52224</v>
      </c>
      <c r="I1020" s="5">
        <v>15.0</v>
      </c>
      <c r="J1020" s="5" t="s">
        <v>153</v>
      </c>
      <c r="K1020" s="5" t="s">
        <v>153</v>
      </c>
      <c r="L1020" s="3"/>
      <c r="M1020" s="5">
        <v>8.0</v>
      </c>
      <c r="N1020" s="5">
        <v>38.0</v>
      </c>
      <c r="O1020" s="5"/>
      <c r="P1020" s="3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</row>
    <row r="1021" ht="15.75" customHeight="1">
      <c r="A1021" s="3" t="s">
        <v>610</v>
      </c>
      <c r="B1021" s="3" t="s">
        <v>611</v>
      </c>
      <c r="C1021" s="3" t="s">
        <v>80</v>
      </c>
      <c r="D1021" s="3" t="s">
        <v>632</v>
      </c>
      <c r="E1021" s="3" t="s">
        <v>644</v>
      </c>
      <c r="F1021" s="3">
        <v>6.0</v>
      </c>
      <c r="G1021" s="4">
        <v>-27.74671</v>
      </c>
      <c r="H1021" s="22">
        <v>-48.52224</v>
      </c>
      <c r="I1021" s="5">
        <v>16.0</v>
      </c>
      <c r="J1021" s="14" t="s">
        <v>525</v>
      </c>
      <c r="K1021" s="14" t="s">
        <v>525</v>
      </c>
      <c r="L1021" s="3"/>
      <c r="M1021" s="5">
        <v>6.0</v>
      </c>
      <c r="N1021" s="5">
        <v>17.0</v>
      </c>
      <c r="O1021" s="11"/>
      <c r="P1021" s="5" t="s">
        <v>77</v>
      </c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</row>
    <row r="1022" ht="15.75" customHeight="1">
      <c r="A1022" s="3" t="s">
        <v>610</v>
      </c>
      <c r="B1022" s="3" t="s">
        <v>611</v>
      </c>
      <c r="C1022" s="3" t="s">
        <v>80</v>
      </c>
      <c r="D1022" s="3" t="s">
        <v>632</v>
      </c>
      <c r="E1022" s="3" t="s">
        <v>649</v>
      </c>
      <c r="F1022" s="3">
        <v>7.0</v>
      </c>
      <c r="G1022" s="4">
        <v>-27.74695</v>
      </c>
      <c r="H1022" s="22">
        <v>-48.52266</v>
      </c>
      <c r="I1022" s="5">
        <v>1.0</v>
      </c>
      <c r="J1022" s="5" t="s">
        <v>104</v>
      </c>
      <c r="K1022" s="5" t="s">
        <v>104</v>
      </c>
      <c r="L1022" s="3"/>
      <c r="M1022" s="5">
        <v>8.0</v>
      </c>
      <c r="N1022" s="5" t="s">
        <v>650</v>
      </c>
      <c r="O1022" s="5"/>
      <c r="P1022" s="3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</row>
    <row r="1023" ht="15.75" customHeight="1">
      <c r="A1023" s="3" t="s">
        <v>610</v>
      </c>
      <c r="B1023" s="3" t="s">
        <v>611</v>
      </c>
      <c r="C1023" s="3" t="s">
        <v>80</v>
      </c>
      <c r="D1023" s="3" t="s">
        <v>632</v>
      </c>
      <c r="E1023" s="3" t="s">
        <v>649</v>
      </c>
      <c r="F1023" s="3">
        <v>7.0</v>
      </c>
      <c r="G1023" s="4">
        <v>-27.74695</v>
      </c>
      <c r="H1023" s="22">
        <v>-48.52266</v>
      </c>
      <c r="I1023" s="5">
        <v>2.0</v>
      </c>
      <c r="J1023" s="5" t="s">
        <v>153</v>
      </c>
      <c r="K1023" s="5" t="s">
        <v>153</v>
      </c>
      <c r="L1023" s="3"/>
      <c r="M1023" s="5">
        <v>8.0</v>
      </c>
      <c r="N1023" s="5">
        <v>44.0</v>
      </c>
      <c r="O1023" s="5"/>
      <c r="P1023" s="3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</row>
    <row r="1024" ht="15.75" customHeight="1">
      <c r="A1024" s="3" t="s">
        <v>610</v>
      </c>
      <c r="B1024" s="3" t="s">
        <v>611</v>
      </c>
      <c r="C1024" s="3" t="s">
        <v>80</v>
      </c>
      <c r="D1024" s="3" t="s">
        <v>632</v>
      </c>
      <c r="E1024" s="3" t="s">
        <v>649</v>
      </c>
      <c r="F1024" s="3">
        <v>7.0</v>
      </c>
      <c r="G1024" s="4">
        <v>-27.74695</v>
      </c>
      <c r="H1024" s="22">
        <v>-48.52266</v>
      </c>
      <c r="I1024" s="5">
        <v>3.0</v>
      </c>
      <c r="J1024" s="5" t="s">
        <v>104</v>
      </c>
      <c r="K1024" s="5" t="s">
        <v>104</v>
      </c>
      <c r="L1024" s="3"/>
      <c r="M1024" s="5">
        <v>9.0</v>
      </c>
      <c r="N1024" s="5">
        <v>43.0</v>
      </c>
      <c r="O1024" s="5"/>
      <c r="P1024" s="3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</row>
    <row r="1025" ht="15.75" customHeight="1">
      <c r="A1025" s="3" t="s">
        <v>610</v>
      </c>
      <c r="B1025" s="3" t="s">
        <v>611</v>
      </c>
      <c r="C1025" s="3" t="s">
        <v>80</v>
      </c>
      <c r="D1025" s="3" t="s">
        <v>632</v>
      </c>
      <c r="E1025" s="3" t="s">
        <v>649</v>
      </c>
      <c r="F1025" s="3">
        <v>7.0</v>
      </c>
      <c r="G1025" s="4">
        <v>-27.74695</v>
      </c>
      <c r="H1025" s="22">
        <v>-48.52266</v>
      </c>
      <c r="I1025" s="5">
        <v>4.0</v>
      </c>
      <c r="J1025" s="5" t="s">
        <v>104</v>
      </c>
      <c r="K1025" s="5" t="s">
        <v>104</v>
      </c>
      <c r="L1025" s="3"/>
      <c r="M1025" s="5">
        <v>10.0</v>
      </c>
      <c r="N1025" s="5">
        <v>58.0</v>
      </c>
      <c r="O1025" s="5"/>
      <c r="P1025" s="3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</row>
    <row r="1026" ht="15.75" customHeight="1">
      <c r="A1026" s="3" t="s">
        <v>610</v>
      </c>
      <c r="B1026" s="3" t="s">
        <v>611</v>
      </c>
      <c r="C1026" s="3" t="s">
        <v>80</v>
      </c>
      <c r="D1026" s="3" t="s">
        <v>632</v>
      </c>
      <c r="E1026" s="3" t="s">
        <v>649</v>
      </c>
      <c r="F1026" s="3">
        <v>7.0</v>
      </c>
      <c r="G1026" s="4">
        <v>-27.74695</v>
      </c>
      <c r="H1026" s="22">
        <v>-48.52266</v>
      </c>
      <c r="I1026" s="5">
        <v>5.0</v>
      </c>
      <c r="J1026" s="5" t="s">
        <v>104</v>
      </c>
      <c r="K1026" s="5" t="s">
        <v>104</v>
      </c>
      <c r="L1026" s="3"/>
      <c r="M1026" s="5">
        <v>9.0</v>
      </c>
      <c r="N1026" s="5">
        <v>26.0</v>
      </c>
      <c r="O1026" s="5"/>
      <c r="P1026" s="3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</row>
    <row r="1027" ht="15.75" customHeight="1">
      <c r="A1027" s="3" t="s">
        <v>610</v>
      </c>
      <c r="B1027" s="3" t="s">
        <v>611</v>
      </c>
      <c r="C1027" s="3" t="s">
        <v>80</v>
      </c>
      <c r="D1027" s="3" t="s">
        <v>632</v>
      </c>
      <c r="E1027" s="3" t="s">
        <v>649</v>
      </c>
      <c r="F1027" s="3">
        <v>7.0</v>
      </c>
      <c r="G1027" s="4">
        <v>-27.74695</v>
      </c>
      <c r="H1027" s="22">
        <v>-48.52266</v>
      </c>
      <c r="I1027" s="5">
        <v>6.0</v>
      </c>
      <c r="J1027" s="5" t="s">
        <v>41</v>
      </c>
      <c r="K1027" s="5" t="s">
        <v>41</v>
      </c>
      <c r="L1027" s="3"/>
      <c r="M1027" s="5">
        <v>9.0</v>
      </c>
      <c r="N1027" s="5">
        <v>58.0</v>
      </c>
      <c r="O1027" s="5"/>
      <c r="P1027" s="3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</row>
    <row r="1028" ht="15.75" customHeight="1">
      <c r="A1028" s="3" t="s">
        <v>610</v>
      </c>
      <c r="B1028" s="3" t="s">
        <v>611</v>
      </c>
      <c r="C1028" s="3" t="s">
        <v>80</v>
      </c>
      <c r="D1028" s="3" t="s">
        <v>632</v>
      </c>
      <c r="E1028" s="3" t="s">
        <v>649</v>
      </c>
      <c r="F1028" s="3">
        <v>7.0</v>
      </c>
      <c r="G1028" s="4">
        <v>-27.74695</v>
      </c>
      <c r="H1028" s="22">
        <v>-48.52266</v>
      </c>
      <c r="I1028" s="5">
        <v>7.0</v>
      </c>
      <c r="J1028" s="5" t="s">
        <v>104</v>
      </c>
      <c r="K1028" s="5" t="s">
        <v>104</v>
      </c>
      <c r="L1028" s="3"/>
      <c r="M1028" s="5">
        <v>6.0</v>
      </c>
      <c r="N1028" s="5">
        <v>19.0</v>
      </c>
      <c r="O1028" s="5"/>
      <c r="P1028" s="3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</row>
    <row r="1029" ht="15.75" customHeight="1">
      <c r="A1029" s="3" t="s">
        <v>610</v>
      </c>
      <c r="B1029" s="3" t="s">
        <v>611</v>
      </c>
      <c r="C1029" s="3" t="s">
        <v>80</v>
      </c>
      <c r="D1029" s="3" t="s">
        <v>632</v>
      </c>
      <c r="E1029" s="3" t="s">
        <v>649</v>
      </c>
      <c r="F1029" s="3">
        <v>7.0</v>
      </c>
      <c r="G1029" s="4">
        <v>-27.74695</v>
      </c>
      <c r="H1029" s="22">
        <v>-48.52266</v>
      </c>
      <c r="I1029" s="5">
        <v>8.0</v>
      </c>
      <c r="J1029" s="5" t="s">
        <v>651</v>
      </c>
      <c r="K1029" s="5" t="s">
        <v>652</v>
      </c>
      <c r="L1029" s="3"/>
      <c r="M1029" s="5">
        <v>6.0</v>
      </c>
      <c r="N1029" s="5">
        <v>20.0</v>
      </c>
      <c r="O1029" s="5"/>
      <c r="P1029" s="3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</row>
    <row r="1030" ht="15.75" customHeight="1">
      <c r="A1030" s="3" t="s">
        <v>610</v>
      </c>
      <c r="B1030" s="3" t="s">
        <v>611</v>
      </c>
      <c r="C1030" s="3" t="s">
        <v>80</v>
      </c>
      <c r="D1030" s="3" t="s">
        <v>632</v>
      </c>
      <c r="E1030" s="3" t="s">
        <v>649</v>
      </c>
      <c r="F1030" s="3">
        <v>7.0</v>
      </c>
      <c r="G1030" s="4">
        <v>-27.74695</v>
      </c>
      <c r="H1030" s="22">
        <v>-48.52266</v>
      </c>
      <c r="I1030" s="5">
        <v>9.0</v>
      </c>
      <c r="J1030" s="5" t="s">
        <v>645</v>
      </c>
      <c r="K1030" s="5" t="s">
        <v>645</v>
      </c>
      <c r="L1030" s="3"/>
      <c r="M1030" s="5">
        <v>11.0</v>
      </c>
      <c r="N1030" s="5">
        <v>60.0</v>
      </c>
      <c r="O1030" s="5" t="s">
        <v>653</v>
      </c>
      <c r="P1030" s="3" t="s">
        <v>654</v>
      </c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</row>
    <row r="1031" ht="15.75" customHeight="1">
      <c r="A1031" s="3" t="s">
        <v>610</v>
      </c>
      <c r="B1031" s="3" t="s">
        <v>611</v>
      </c>
      <c r="C1031" s="3" t="s">
        <v>80</v>
      </c>
      <c r="D1031" s="3" t="s">
        <v>632</v>
      </c>
      <c r="E1031" s="3" t="s">
        <v>649</v>
      </c>
      <c r="F1031" s="3">
        <v>7.0</v>
      </c>
      <c r="G1031" s="4">
        <v>-27.74695</v>
      </c>
      <c r="H1031" s="22">
        <v>-48.52266</v>
      </c>
      <c r="I1031" s="5">
        <v>10.0</v>
      </c>
      <c r="J1031" s="20" t="s">
        <v>395</v>
      </c>
      <c r="K1031" s="5" t="s">
        <v>315</v>
      </c>
      <c r="L1031" s="3"/>
      <c r="M1031" s="5"/>
      <c r="N1031" s="5"/>
      <c r="O1031" s="5"/>
      <c r="P1031" s="3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</row>
    <row r="1032" ht="15.75" customHeight="1">
      <c r="A1032" s="3" t="s">
        <v>610</v>
      </c>
      <c r="B1032" s="3" t="s">
        <v>611</v>
      </c>
      <c r="C1032" s="3" t="s">
        <v>80</v>
      </c>
      <c r="D1032" s="3" t="s">
        <v>632</v>
      </c>
      <c r="E1032" s="3" t="s">
        <v>649</v>
      </c>
      <c r="F1032" s="3">
        <v>7.0</v>
      </c>
      <c r="G1032" s="4">
        <v>-27.74695</v>
      </c>
      <c r="H1032" s="22">
        <v>-48.52266</v>
      </c>
      <c r="I1032" s="5">
        <v>11.0</v>
      </c>
      <c r="J1032" s="5" t="s">
        <v>104</v>
      </c>
      <c r="K1032" s="5" t="s">
        <v>104</v>
      </c>
      <c r="L1032" s="3"/>
      <c r="M1032" s="5">
        <v>10.0</v>
      </c>
      <c r="N1032" s="5" t="s">
        <v>655</v>
      </c>
      <c r="O1032" s="5"/>
      <c r="P1032" s="3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</row>
    <row r="1033" ht="15.75" customHeight="1">
      <c r="A1033" s="3" t="s">
        <v>610</v>
      </c>
      <c r="B1033" s="3" t="s">
        <v>611</v>
      </c>
      <c r="C1033" s="3" t="s">
        <v>80</v>
      </c>
      <c r="D1033" s="3" t="s">
        <v>632</v>
      </c>
      <c r="E1033" s="3" t="s">
        <v>649</v>
      </c>
      <c r="F1033" s="3">
        <v>7.0</v>
      </c>
      <c r="G1033" s="4">
        <v>-27.74695</v>
      </c>
      <c r="H1033" s="22">
        <v>-48.52266</v>
      </c>
      <c r="I1033" s="5">
        <v>12.0</v>
      </c>
      <c r="J1033" s="5" t="s">
        <v>104</v>
      </c>
      <c r="K1033" s="5" t="s">
        <v>104</v>
      </c>
      <c r="L1033" s="3"/>
      <c r="M1033" s="5">
        <v>8.0</v>
      </c>
      <c r="N1033" s="5">
        <v>30.0</v>
      </c>
      <c r="O1033" s="5"/>
      <c r="P1033" s="3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</row>
    <row r="1034" ht="15.75" customHeight="1">
      <c r="A1034" s="3" t="s">
        <v>610</v>
      </c>
      <c r="B1034" s="3" t="s">
        <v>611</v>
      </c>
      <c r="C1034" s="3" t="s">
        <v>80</v>
      </c>
      <c r="D1034" s="3" t="s">
        <v>632</v>
      </c>
      <c r="E1034" s="3" t="s">
        <v>649</v>
      </c>
      <c r="F1034" s="3">
        <v>7.0</v>
      </c>
      <c r="G1034" s="4">
        <v>-27.74695</v>
      </c>
      <c r="H1034" s="22">
        <v>-48.52266</v>
      </c>
      <c r="I1034" s="5">
        <v>13.0</v>
      </c>
      <c r="J1034" s="5" t="s">
        <v>41</v>
      </c>
      <c r="K1034" s="5" t="s">
        <v>41</v>
      </c>
      <c r="L1034" s="3"/>
      <c r="M1034" s="5">
        <v>8.0</v>
      </c>
      <c r="N1034" s="5">
        <v>32.0</v>
      </c>
      <c r="O1034" s="5"/>
      <c r="P1034" s="3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</row>
    <row r="1035" ht="15.75" customHeight="1">
      <c r="A1035" s="3" t="s">
        <v>610</v>
      </c>
      <c r="B1035" s="3" t="s">
        <v>611</v>
      </c>
      <c r="C1035" s="3" t="s">
        <v>80</v>
      </c>
      <c r="D1035" s="3" t="s">
        <v>632</v>
      </c>
      <c r="E1035" s="3" t="s">
        <v>649</v>
      </c>
      <c r="F1035" s="3">
        <v>7.0</v>
      </c>
      <c r="G1035" s="4">
        <v>-27.74695</v>
      </c>
      <c r="H1035" s="22">
        <v>-48.52266</v>
      </c>
      <c r="I1035" s="5">
        <v>14.0</v>
      </c>
      <c r="J1035" s="20" t="s">
        <v>395</v>
      </c>
      <c r="K1035" s="5" t="s">
        <v>315</v>
      </c>
      <c r="L1035" s="3"/>
      <c r="M1035" s="5"/>
      <c r="N1035" s="5"/>
      <c r="O1035" s="5"/>
      <c r="P1035" s="3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</row>
    <row r="1036" ht="15.75" customHeight="1">
      <c r="A1036" s="3" t="s">
        <v>610</v>
      </c>
      <c r="B1036" s="3" t="s">
        <v>611</v>
      </c>
      <c r="C1036" s="3" t="s">
        <v>80</v>
      </c>
      <c r="D1036" s="3" t="s">
        <v>632</v>
      </c>
      <c r="E1036" s="3" t="s">
        <v>649</v>
      </c>
      <c r="F1036" s="3">
        <v>7.0</v>
      </c>
      <c r="G1036" s="4">
        <v>-27.74695</v>
      </c>
      <c r="H1036" s="22">
        <v>-48.52266</v>
      </c>
      <c r="I1036" s="5">
        <v>15.0</v>
      </c>
      <c r="J1036" s="5" t="s">
        <v>104</v>
      </c>
      <c r="K1036" s="5" t="s">
        <v>104</v>
      </c>
      <c r="L1036" s="3"/>
      <c r="M1036" s="5">
        <v>8.0</v>
      </c>
      <c r="N1036" s="5">
        <v>30.5</v>
      </c>
      <c r="O1036" s="5"/>
      <c r="P1036" s="3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</row>
    <row r="1037" ht="15.75" customHeight="1">
      <c r="A1037" s="3" t="s">
        <v>610</v>
      </c>
      <c r="B1037" s="3" t="s">
        <v>611</v>
      </c>
      <c r="C1037" s="3" t="s">
        <v>80</v>
      </c>
      <c r="D1037" s="3" t="s">
        <v>632</v>
      </c>
      <c r="E1037" s="3" t="s">
        <v>649</v>
      </c>
      <c r="F1037" s="3">
        <v>7.0</v>
      </c>
      <c r="G1037" s="4">
        <v>-27.74695</v>
      </c>
      <c r="H1037" s="22">
        <v>-48.52266</v>
      </c>
      <c r="I1037" s="5">
        <v>16.0</v>
      </c>
      <c r="J1037" s="12" t="s">
        <v>167</v>
      </c>
      <c r="K1037" s="5" t="s">
        <v>167</v>
      </c>
      <c r="L1037" s="3"/>
      <c r="M1037" s="5">
        <v>6.0</v>
      </c>
      <c r="N1037" s="5" t="s">
        <v>656</v>
      </c>
      <c r="O1037" s="3"/>
      <c r="P1037" s="5" t="s">
        <v>77</v>
      </c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</row>
    <row r="1038" ht="15.75" customHeight="1">
      <c r="A1038" s="3" t="s">
        <v>610</v>
      </c>
      <c r="B1038" s="3" t="s">
        <v>611</v>
      </c>
      <c r="C1038" s="3" t="s">
        <v>80</v>
      </c>
      <c r="D1038" s="3" t="s">
        <v>632</v>
      </c>
      <c r="E1038" s="3" t="s">
        <v>657</v>
      </c>
      <c r="F1038" s="3">
        <v>8.0</v>
      </c>
      <c r="G1038" s="22">
        <v>-27.74695</v>
      </c>
      <c r="H1038" s="22">
        <v>-48.52309</v>
      </c>
      <c r="I1038" s="5">
        <v>1.0</v>
      </c>
      <c r="J1038" s="5" t="s">
        <v>153</v>
      </c>
      <c r="K1038" s="5" t="s">
        <v>153</v>
      </c>
      <c r="L1038" s="3"/>
      <c r="M1038" s="5">
        <v>5.0</v>
      </c>
      <c r="N1038" s="5">
        <v>21.0</v>
      </c>
      <c r="O1038" s="3"/>
      <c r="P1038" s="3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</row>
    <row r="1039" ht="15.75" customHeight="1">
      <c r="A1039" s="3" t="s">
        <v>610</v>
      </c>
      <c r="B1039" s="3" t="s">
        <v>611</v>
      </c>
      <c r="C1039" s="3" t="s">
        <v>80</v>
      </c>
      <c r="D1039" s="3" t="s">
        <v>632</v>
      </c>
      <c r="E1039" s="3" t="s">
        <v>657</v>
      </c>
      <c r="F1039" s="3">
        <v>8.0</v>
      </c>
      <c r="G1039" s="22">
        <v>-27.74695</v>
      </c>
      <c r="H1039" s="22">
        <v>-48.52309</v>
      </c>
      <c r="I1039" s="5">
        <v>2.0</v>
      </c>
      <c r="J1039" s="5" t="s">
        <v>41</v>
      </c>
      <c r="K1039" s="5" t="s">
        <v>41</v>
      </c>
      <c r="L1039" s="3"/>
      <c r="M1039" s="5">
        <v>7.0</v>
      </c>
      <c r="N1039" s="5">
        <v>29.0</v>
      </c>
      <c r="O1039" s="3"/>
      <c r="P1039" s="3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</row>
    <row r="1040" ht="15.75" customHeight="1">
      <c r="A1040" s="3" t="s">
        <v>610</v>
      </c>
      <c r="B1040" s="3" t="s">
        <v>611</v>
      </c>
      <c r="C1040" s="3" t="s">
        <v>80</v>
      </c>
      <c r="D1040" s="3" t="s">
        <v>632</v>
      </c>
      <c r="E1040" s="3" t="s">
        <v>657</v>
      </c>
      <c r="F1040" s="3">
        <v>8.0</v>
      </c>
      <c r="G1040" s="22">
        <v>-27.74695</v>
      </c>
      <c r="H1040" s="22">
        <v>-48.52309</v>
      </c>
      <c r="I1040" s="5">
        <v>3.0</v>
      </c>
      <c r="J1040" s="5" t="s">
        <v>153</v>
      </c>
      <c r="K1040" s="5" t="s">
        <v>153</v>
      </c>
      <c r="L1040" s="3"/>
      <c r="M1040" s="5">
        <v>6.0</v>
      </c>
      <c r="N1040" s="5">
        <v>24.0</v>
      </c>
      <c r="O1040" s="3"/>
      <c r="P1040" s="3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</row>
    <row r="1041" ht="15.75" customHeight="1">
      <c r="A1041" s="3" t="s">
        <v>610</v>
      </c>
      <c r="B1041" s="3" t="s">
        <v>611</v>
      </c>
      <c r="C1041" s="3" t="s">
        <v>80</v>
      </c>
      <c r="D1041" s="3" t="s">
        <v>632</v>
      </c>
      <c r="E1041" s="3" t="s">
        <v>657</v>
      </c>
      <c r="F1041" s="3">
        <v>8.0</v>
      </c>
      <c r="G1041" s="22">
        <v>-27.74695</v>
      </c>
      <c r="H1041" s="22">
        <v>-48.52309</v>
      </c>
      <c r="I1041" s="5">
        <v>4.0</v>
      </c>
      <c r="J1041" s="5" t="s">
        <v>86</v>
      </c>
      <c r="K1041" s="5" t="s">
        <v>86</v>
      </c>
      <c r="L1041" s="3"/>
      <c r="M1041" s="5">
        <v>7.0</v>
      </c>
      <c r="N1041" s="5">
        <v>34.0</v>
      </c>
      <c r="O1041" s="3"/>
      <c r="P1041" s="3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</row>
    <row r="1042" ht="15.75" customHeight="1">
      <c r="A1042" s="3" t="s">
        <v>610</v>
      </c>
      <c r="B1042" s="3" t="s">
        <v>611</v>
      </c>
      <c r="C1042" s="3" t="s">
        <v>80</v>
      </c>
      <c r="D1042" s="3" t="s">
        <v>632</v>
      </c>
      <c r="E1042" s="3" t="s">
        <v>657</v>
      </c>
      <c r="F1042" s="3">
        <v>8.0</v>
      </c>
      <c r="G1042" s="22">
        <v>-27.74695</v>
      </c>
      <c r="H1042" s="22">
        <v>-48.52309</v>
      </c>
      <c r="I1042" s="5">
        <v>5.0</v>
      </c>
      <c r="J1042" s="5" t="s">
        <v>651</v>
      </c>
      <c r="K1042" s="5" t="s">
        <v>652</v>
      </c>
      <c r="L1042" s="3"/>
      <c r="M1042" s="5">
        <v>4.0</v>
      </c>
      <c r="N1042" s="5">
        <v>16.0</v>
      </c>
      <c r="O1042" s="3"/>
      <c r="P1042" s="3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</row>
    <row r="1043" ht="15.75" customHeight="1">
      <c r="A1043" s="3" t="s">
        <v>610</v>
      </c>
      <c r="B1043" s="3" t="s">
        <v>611</v>
      </c>
      <c r="C1043" s="3" t="s">
        <v>80</v>
      </c>
      <c r="D1043" s="3" t="s">
        <v>632</v>
      </c>
      <c r="E1043" s="3" t="s">
        <v>657</v>
      </c>
      <c r="F1043" s="3">
        <v>8.0</v>
      </c>
      <c r="G1043" s="22">
        <v>-27.74695</v>
      </c>
      <c r="H1043" s="22">
        <v>-48.52309</v>
      </c>
      <c r="I1043" s="5">
        <v>6.0</v>
      </c>
      <c r="J1043" s="5" t="s">
        <v>98</v>
      </c>
      <c r="K1043" s="5" t="s">
        <v>98</v>
      </c>
      <c r="L1043" s="3"/>
      <c r="M1043" s="5">
        <v>8.0</v>
      </c>
      <c r="N1043" s="5">
        <v>20.0</v>
      </c>
      <c r="O1043" s="3"/>
      <c r="P1043" s="3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</row>
    <row r="1044" ht="15.75" customHeight="1">
      <c r="A1044" s="3" t="s">
        <v>610</v>
      </c>
      <c r="B1044" s="3" t="s">
        <v>611</v>
      </c>
      <c r="C1044" s="3" t="s">
        <v>80</v>
      </c>
      <c r="D1044" s="3" t="s">
        <v>632</v>
      </c>
      <c r="E1044" s="3" t="s">
        <v>657</v>
      </c>
      <c r="F1044" s="3">
        <v>8.0</v>
      </c>
      <c r="G1044" s="22">
        <v>-27.74695</v>
      </c>
      <c r="H1044" s="22">
        <v>-48.52309</v>
      </c>
      <c r="I1044" s="5">
        <v>7.0</v>
      </c>
      <c r="J1044" s="5" t="s">
        <v>98</v>
      </c>
      <c r="K1044" s="5" t="s">
        <v>98</v>
      </c>
      <c r="L1044" s="3"/>
      <c r="M1044" s="5">
        <v>10.0</v>
      </c>
      <c r="N1044" s="5">
        <v>86.0</v>
      </c>
      <c r="O1044" s="3"/>
      <c r="P1044" s="3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</row>
    <row r="1045" ht="15.75" customHeight="1">
      <c r="A1045" s="3" t="s">
        <v>610</v>
      </c>
      <c r="B1045" s="3" t="s">
        <v>611</v>
      </c>
      <c r="C1045" s="3" t="s">
        <v>80</v>
      </c>
      <c r="D1045" s="3" t="s">
        <v>632</v>
      </c>
      <c r="E1045" s="3" t="s">
        <v>657</v>
      </c>
      <c r="F1045" s="3">
        <v>8.0</v>
      </c>
      <c r="G1045" s="22">
        <v>-27.74695</v>
      </c>
      <c r="H1045" s="22">
        <v>-48.52309</v>
      </c>
      <c r="I1045" s="5">
        <v>8.0</v>
      </c>
      <c r="J1045" s="5" t="s">
        <v>191</v>
      </c>
      <c r="K1045" s="5" t="s">
        <v>191</v>
      </c>
      <c r="L1045" s="3"/>
      <c r="M1045" s="5">
        <v>8.0</v>
      </c>
      <c r="N1045" s="5">
        <v>34.0</v>
      </c>
      <c r="O1045" s="3"/>
      <c r="P1045" s="3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</row>
    <row r="1046" ht="15.75" customHeight="1">
      <c r="A1046" s="3" t="s">
        <v>610</v>
      </c>
      <c r="B1046" s="3" t="s">
        <v>611</v>
      </c>
      <c r="C1046" s="3" t="s">
        <v>80</v>
      </c>
      <c r="D1046" s="3" t="s">
        <v>632</v>
      </c>
      <c r="E1046" s="3" t="s">
        <v>657</v>
      </c>
      <c r="F1046" s="3">
        <v>8.0</v>
      </c>
      <c r="G1046" s="22">
        <v>-27.74695</v>
      </c>
      <c r="H1046" s="22">
        <v>-48.52309</v>
      </c>
      <c r="I1046" s="5">
        <v>9.0</v>
      </c>
      <c r="J1046" s="5" t="s">
        <v>41</v>
      </c>
      <c r="K1046" s="5" t="s">
        <v>41</v>
      </c>
      <c r="L1046" s="3"/>
      <c r="M1046" s="5">
        <v>6.0</v>
      </c>
      <c r="N1046" s="5">
        <v>30.0</v>
      </c>
      <c r="O1046" s="3"/>
      <c r="P1046" s="3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</row>
    <row r="1047" ht="15.75" customHeight="1">
      <c r="A1047" s="3" t="s">
        <v>610</v>
      </c>
      <c r="B1047" s="3" t="s">
        <v>611</v>
      </c>
      <c r="C1047" s="3" t="s">
        <v>80</v>
      </c>
      <c r="D1047" s="3" t="s">
        <v>632</v>
      </c>
      <c r="E1047" s="3" t="s">
        <v>657</v>
      </c>
      <c r="F1047" s="3">
        <v>8.0</v>
      </c>
      <c r="G1047" s="22">
        <v>-27.74695</v>
      </c>
      <c r="H1047" s="22">
        <v>-48.52309</v>
      </c>
      <c r="I1047" s="5">
        <v>10.0</v>
      </c>
      <c r="J1047" s="5" t="s">
        <v>647</v>
      </c>
      <c r="K1047" s="5" t="s">
        <v>235</v>
      </c>
      <c r="L1047" s="3"/>
      <c r="M1047" s="5">
        <v>11.0</v>
      </c>
      <c r="N1047" s="5">
        <v>69.0</v>
      </c>
      <c r="O1047" s="3"/>
      <c r="P1047" s="3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</row>
    <row r="1048" ht="15.75" customHeight="1">
      <c r="A1048" s="3" t="s">
        <v>610</v>
      </c>
      <c r="B1048" s="3" t="s">
        <v>611</v>
      </c>
      <c r="C1048" s="3" t="s">
        <v>80</v>
      </c>
      <c r="D1048" s="3" t="s">
        <v>632</v>
      </c>
      <c r="E1048" s="3" t="s">
        <v>657</v>
      </c>
      <c r="F1048" s="3">
        <v>8.0</v>
      </c>
      <c r="G1048" s="22">
        <v>-27.74695</v>
      </c>
      <c r="H1048" s="22">
        <v>-48.52309</v>
      </c>
      <c r="I1048" s="5">
        <v>11.0</v>
      </c>
      <c r="J1048" s="5" t="s">
        <v>651</v>
      </c>
      <c r="K1048" s="5" t="s">
        <v>652</v>
      </c>
      <c r="L1048" s="3"/>
      <c r="M1048" s="5">
        <v>4.0</v>
      </c>
      <c r="N1048" s="5">
        <v>15.0</v>
      </c>
      <c r="O1048" s="3"/>
      <c r="P1048" s="3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</row>
    <row r="1049" ht="15.75" customHeight="1">
      <c r="A1049" s="3" t="s">
        <v>610</v>
      </c>
      <c r="B1049" s="3" t="s">
        <v>611</v>
      </c>
      <c r="C1049" s="3" t="s">
        <v>80</v>
      </c>
      <c r="D1049" s="3" t="s">
        <v>632</v>
      </c>
      <c r="E1049" s="3" t="s">
        <v>657</v>
      </c>
      <c r="F1049" s="3">
        <v>8.0</v>
      </c>
      <c r="G1049" s="22">
        <v>-27.74695</v>
      </c>
      <c r="H1049" s="22">
        <v>-48.52309</v>
      </c>
      <c r="I1049" s="5">
        <v>12.0</v>
      </c>
      <c r="J1049" s="5" t="s">
        <v>41</v>
      </c>
      <c r="K1049" s="5" t="s">
        <v>41</v>
      </c>
      <c r="L1049" s="3"/>
      <c r="M1049" s="5">
        <v>5.0</v>
      </c>
      <c r="N1049" s="5">
        <v>27.0</v>
      </c>
      <c r="O1049" s="3"/>
      <c r="P1049" s="3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</row>
    <row r="1050" ht="15.75" customHeight="1">
      <c r="A1050" s="3" t="s">
        <v>610</v>
      </c>
      <c r="B1050" s="3" t="s">
        <v>611</v>
      </c>
      <c r="C1050" s="3" t="s">
        <v>80</v>
      </c>
      <c r="D1050" s="3" t="s">
        <v>632</v>
      </c>
      <c r="E1050" s="3" t="s">
        <v>657</v>
      </c>
      <c r="F1050" s="3">
        <v>8.0</v>
      </c>
      <c r="G1050" s="22">
        <v>-27.74695</v>
      </c>
      <c r="H1050" s="22">
        <v>-48.52309</v>
      </c>
      <c r="I1050" s="5">
        <v>13.0</v>
      </c>
      <c r="J1050" s="5" t="s">
        <v>651</v>
      </c>
      <c r="K1050" s="5" t="s">
        <v>652</v>
      </c>
      <c r="L1050" s="3"/>
      <c r="M1050" s="5">
        <v>4.0</v>
      </c>
      <c r="N1050" s="5">
        <v>15.0</v>
      </c>
      <c r="O1050" s="3"/>
      <c r="P1050" s="3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</row>
    <row r="1051" ht="15.75" customHeight="1">
      <c r="A1051" s="3" t="s">
        <v>610</v>
      </c>
      <c r="B1051" s="3" t="s">
        <v>611</v>
      </c>
      <c r="C1051" s="3" t="s">
        <v>80</v>
      </c>
      <c r="D1051" s="3" t="s">
        <v>632</v>
      </c>
      <c r="E1051" s="3" t="s">
        <v>657</v>
      </c>
      <c r="F1051" s="3">
        <v>8.0</v>
      </c>
      <c r="G1051" s="22">
        <v>-27.74695</v>
      </c>
      <c r="H1051" s="22">
        <v>-48.52309</v>
      </c>
      <c r="I1051" s="5">
        <v>14.0</v>
      </c>
      <c r="J1051" s="5" t="s">
        <v>647</v>
      </c>
      <c r="K1051" s="5" t="s">
        <v>235</v>
      </c>
      <c r="L1051" s="3"/>
      <c r="M1051" s="5">
        <v>6.0</v>
      </c>
      <c r="N1051" s="5">
        <v>19.5</v>
      </c>
      <c r="O1051" s="3"/>
      <c r="P1051" s="3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</row>
    <row r="1052" ht="15.75" customHeight="1">
      <c r="A1052" s="3" t="s">
        <v>610</v>
      </c>
      <c r="B1052" s="3" t="s">
        <v>611</v>
      </c>
      <c r="C1052" s="3" t="s">
        <v>80</v>
      </c>
      <c r="D1052" s="3" t="s">
        <v>632</v>
      </c>
      <c r="E1052" s="3" t="s">
        <v>657</v>
      </c>
      <c r="F1052" s="3">
        <v>8.0</v>
      </c>
      <c r="G1052" s="22">
        <v>-27.74695</v>
      </c>
      <c r="H1052" s="22">
        <v>-48.52309</v>
      </c>
      <c r="I1052" s="5">
        <v>15.0</v>
      </c>
      <c r="J1052" s="5" t="s">
        <v>373</v>
      </c>
      <c r="K1052" s="5" t="s">
        <v>373</v>
      </c>
      <c r="L1052" s="3"/>
      <c r="M1052" s="5">
        <v>10.0</v>
      </c>
      <c r="N1052" s="5">
        <v>33.0</v>
      </c>
      <c r="O1052" s="3"/>
      <c r="P1052" s="3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</row>
    <row r="1053" ht="15.75" customHeight="1">
      <c r="A1053" s="3" t="s">
        <v>610</v>
      </c>
      <c r="B1053" s="3" t="s">
        <v>611</v>
      </c>
      <c r="C1053" s="3" t="s">
        <v>80</v>
      </c>
      <c r="D1053" s="3" t="s">
        <v>632</v>
      </c>
      <c r="E1053" s="3" t="s">
        <v>657</v>
      </c>
      <c r="F1053" s="3">
        <v>8.0</v>
      </c>
      <c r="G1053" s="22">
        <v>-27.74695</v>
      </c>
      <c r="H1053" s="22">
        <v>-48.52309</v>
      </c>
      <c r="I1053" s="5">
        <v>16.0</v>
      </c>
      <c r="J1053" s="5" t="s">
        <v>86</v>
      </c>
      <c r="K1053" s="5" t="s">
        <v>86</v>
      </c>
      <c r="L1053" s="3"/>
      <c r="M1053" s="5">
        <v>12.0</v>
      </c>
      <c r="N1053" s="5">
        <v>67.0</v>
      </c>
      <c r="O1053" s="3"/>
      <c r="P1053" s="3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</row>
    <row r="1054" ht="15.75" customHeight="1">
      <c r="A1054" s="3" t="s">
        <v>610</v>
      </c>
      <c r="B1054" s="3" t="s">
        <v>611</v>
      </c>
      <c r="C1054" s="3" t="s">
        <v>80</v>
      </c>
      <c r="D1054" s="3" t="s">
        <v>632</v>
      </c>
      <c r="E1054" s="3" t="s">
        <v>657</v>
      </c>
      <c r="F1054" s="3">
        <v>8.0</v>
      </c>
      <c r="G1054" s="22">
        <v>-27.74695</v>
      </c>
      <c r="H1054" s="22">
        <v>-48.52309</v>
      </c>
      <c r="I1054" s="5">
        <v>17.0</v>
      </c>
      <c r="J1054" s="5" t="s">
        <v>105</v>
      </c>
      <c r="K1054" s="5" t="s">
        <v>105</v>
      </c>
      <c r="L1054" s="3"/>
      <c r="M1054" s="5">
        <v>8.0</v>
      </c>
      <c r="N1054" s="5">
        <v>19.0</v>
      </c>
      <c r="O1054" s="3"/>
      <c r="P1054" s="3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</row>
    <row r="1055" ht="15.75" customHeight="1">
      <c r="A1055" s="3" t="s">
        <v>610</v>
      </c>
      <c r="B1055" s="3" t="s">
        <v>611</v>
      </c>
      <c r="C1055" s="3" t="s">
        <v>80</v>
      </c>
      <c r="D1055" s="3" t="s">
        <v>632</v>
      </c>
      <c r="E1055" s="3" t="s">
        <v>657</v>
      </c>
      <c r="F1055" s="3">
        <v>8.0</v>
      </c>
      <c r="G1055" s="22">
        <v>-27.74695</v>
      </c>
      <c r="H1055" s="22">
        <v>-48.52309</v>
      </c>
      <c r="I1055" s="5">
        <v>18.0</v>
      </c>
      <c r="J1055" s="5" t="s">
        <v>658</v>
      </c>
      <c r="K1055" s="5" t="s">
        <v>659</v>
      </c>
      <c r="L1055" s="3"/>
      <c r="M1055" s="5">
        <v>8.0</v>
      </c>
      <c r="N1055" s="5">
        <v>69.0</v>
      </c>
      <c r="O1055" s="3"/>
      <c r="P1055" s="3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</row>
    <row r="1056" ht="15.75" customHeight="1">
      <c r="A1056" s="3" t="s">
        <v>610</v>
      </c>
      <c r="B1056" s="3" t="s">
        <v>611</v>
      </c>
      <c r="C1056" s="3" t="s">
        <v>80</v>
      </c>
      <c r="D1056" s="3" t="s">
        <v>632</v>
      </c>
      <c r="E1056" s="3" t="s">
        <v>657</v>
      </c>
      <c r="F1056" s="3">
        <v>8.0</v>
      </c>
      <c r="G1056" s="22">
        <v>-27.74695</v>
      </c>
      <c r="H1056" s="22">
        <v>-48.52309</v>
      </c>
      <c r="I1056" s="5">
        <v>19.0</v>
      </c>
      <c r="J1056" s="5" t="s">
        <v>191</v>
      </c>
      <c r="K1056" s="5" t="s">
        <v>191</v>
      </c>
      <c r="L1056" s="3"/>
      <c r="M1056" s="5">
        <v>9.0</v>
      </c>
      <c r="N1056" s="5">
        <v>21.0</v>
      </c>
      <c r="O1056" s="3"/>
      <c r="P1056" s="3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</row>
    <row r="1057" ht="15.75" customHeight="1">
      <c r="A1057" s="3" t="s">
        <v>610</v>
      </c>
      <c r="B1057" s="3" t="s">
        <v>611</v>
      </c>
      <c r="C1057" s="3" t="s">
        <v>80</v>
      </c>
      <c r="D1057" s="3" t="s">
        <v>632</v>
      </c>
      <c r="E1057" s="3" t="s">
        <v>657</v>
      </c>
      <c r="F1057" s="3">
        <v>8.0</v>
      </c>
      <c r="G1057" s="22">
        <v>-27.74695</v>
      </c>
      <c r="H1057" s="22">
        <v>-48.52309</v>
      </c>
      <c r="I1057" s="5">
        <v>20.0</v>
      </c>
      <c r="J1057" s="5" t="s">
        <v>86</v>
      </c>
      <c r="K1057" s="5" t="s">
        <v>86</v>
      </c>
      <c r="L1057" s="3"/>
      <c r="M1057" s="5">
        <v>12.0</v>
      </c>
      <c r="N1057" s="5">
        <v>70.0</v>
      </c>
      <c r="O1057" s="3"/>
      <c r="P1057" s="3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</row>
    <row r="1058" ht="15.75" customHeight="1">
      <c r="A1058" s="3" t="s">
        <v>610</v>
      </c>
      <c r="B1058" s="3" t="s">
        <v>611</v>
      </c>
      <c r="C1058" s="3" t="s">
        <v>80</v>
      </c>
      <c r="D1058" s="3" t="s">
        <v>632</v>
      </c>
      <c r="E1058" s="3" t="s">
        <v>657</v>
      </c>
      <c r="F1058" s="3">
        <v>8.0</v>
      </c>
      <c r="G1058" s="22">
        <v>-27.74695</v>
      </c>
      <c r="H1058" s="22">
        <v>-48.52309</v>
      </c>
      <c r="I1058" s="5">
        <v>21.0</v>
      </c>
      <c r="J1058" s="5" t="s">
        <v>191</v>
      </c>
      <c r="K1058" s="5" t="s">
        <v>191</v>
      </c>
      <c r="L1058" s="3"/>
      <c r="M1058" s="5">
        <v>3.0</v>
      </c>
      <c r="N1058" s="5">
        <v>15.5</v>
      </c>
      <c r="O1058" s="3"/>
      <c r="P1058" s="3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</row>
    <row r="1059" ht="15.75" customHeight="1">
      <c r="A1059" s="3" t="s">
        <v>610</v>
      </c>
      <c r="B1059" s="3" t="s">
        <v>611</v>
      </c>
      <c r="C1059" s="3" t="s">
        <v>80</v>
      </c>
      <c r="D1059" s="3" t="s">
        <v>632</v>
      </c>
      <c r="E1059" s="3" t="s">
        <v>657</v>
      </c>
      <c r="F1059" s="3">
        <v>8.0</v>
      </c>
      <c r="G1059" s="22">
        <v>-27.74695</v>
      </c>
      <c r="H1059" s="22">
        <v>-48.52309</v>
      </c>
      <c r="I1059" s="5">
        <v>22.0</v>
      </c>
      <c r="J1059" s="5" t="s">
        <v>104</v>
      </c>
      <c r="K1059" s="5" t="s">
        <v>104</v>
      </c>
      <c r="L1059" s="3"/>
      <c r="M1059" s="5">
        <v>7.0</v>
      </c>
      <c r="N1059" s="5">
        <v>15.0</v>
      </c>
      <c r="O1059" s="3"/>
      <c r="P1059" s="3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</row>
    <row r="1060" ht="15.75" customHeight="1">
      <c r="A1060" s="3" t="s">
        <v>610</v>
      </c>
      <c r="B1060" s="3" t="s">
        <v>611</v>
      </c>
      <c r="C1060" s="3" t="s">
        <v>80</v>
      </c>
      <c r="D1060" s="3" t="s">
        <v>632</v>
      </c>
      <c r="E1060" s="3" t="s">
        <v>657</v>
      </c>
      <c r="F1060" s="3">
        <v>8.0</v>
      </c>
      <c r="G1060" s="22">
        <v>-27.74695</v>
      </c>
      <c r="H1060" s="22">
        <v>-48.52309</v>
      </c>
      <c r="I1060" s="5">
        <v>23.0</v>
      </c>
      <c r="J1060" s="5" t="s">
        <v>105</v>
      </c>
      <c r="K1060" s="5" t="s">
        <v>105</v>
      </c>
      <c r="L1060" s="3"/>
      <c r="M1060" s="5">
        <v>6.0</v>
      </c>
      <c r="N1060" s="5">
        <v>17.0</v>
      </c>
      <c r="O1060" s="3"/>
      <c r="P1060" s="3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</row>
    <row r="1061" ht="15.75" customHeight="1">
      <c r="A1061" s="3" t="s">
        <v>610</v>
      </c>
      <c r="B1061" s="3" t="s">
        <v>611</v>
      </c>
      <c r="C1061" s="3" t="s">
        <v>80</v>
      </c>
      <c r="D1061" s="3" t="s">
        <v>632</v>
      </c>
      <c r="E1061" s="3" t="s">
        <v>657</v>
      </c>
      <c r="F1061" s="3">
        <v>8.0</v>
      </c>
      <c r="G1061" s="22">
        <v>-27.74695</v>
      </c>
      <c r="H1061" s="22">
        <v>-48.52309</v>
      </c>
      <c r="I1061" s="5">
        <v>24.0</v>
      </c>
      <c r="J1061" s="5" t="s">
        <v>658</v>
      </c>
      <c r="K1061" s="5" t="s">
        <v>659</v>
      </c>
      <c r="L1061" s="3"/>
      <c r="M1061" s="5">
        <v>8.0</v>
      </c>
      <c r="N1061" s="5">
        <v>27.0</v>
      </c>
      <c r="O1061" s="3"/>
      <c r="P1061" s="3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</row>
    <row r="1062" ht="15.75" customHeight="1">
      <c r="A1062" s="3" t="s">
        <v>660</v>
      </c>
      <c r="B1062" s="3" t="s">
        <v>661</v>
      </c>
      <c r="C1062" s="3" t="s">
        <v>19</v>
      </c>
      <c r="D1062" s="3" t="s">
        <v>662</v>
      </c>
      <c r="E1062" s="3" t="s">
        <v>663</v>
      </c>
      <c r="F1062" s="3">
        <v>1.0</v>
      </c>
      <c r="G1062" s="22">
        <v>-27.72002</v>
      </c>
      <c r="H1062" s="22">
        <v>-48.56261</v>
      </c>
      <c r="I1062" s="5">
        <v>1.0</v>
      </c>
      <c r="J1062" s="5" t="s">
        <v>664</v>
      </c>
      <c r="K1062" s="5" t="s">
        <v>665</v>
      </c>
      <c r="L1062" s="3"/>
      <c r="M1062" s="5">
        <v>9.0</v>
      </c>
      <c r="N1062" s="5" t="s">
        <v>666</v>
      </c>
      <c r="O1062" s="5" t="s">
        <v>667</v>
      </c>
      <c r="P1062" s="3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</row>
    <row r="1063" ht="15.75" customHeight="1">
      <c r="A1063" s="3" t="s">
        <v>660</v>
      </c>
      <c r="B1063" s="3" t="s">
        <v>661</v>
      </c>
      <c r="C1063" s="3" t="s">
        <v>19</v>
      </c>
      <c r="D1063" s="3" t="s">
        <v>662</v>
      </c>
      <c r="E1063" s="3" t="s">
        <v>663</v>
      </c>
      <c r="F1063" s="3">
        <v>1.0</v>
      </c>
      <c r="G1063" s="22">
        <v>-27.72002</v>
      </c>
      <c r="H1063" s="22">
        <v>-48.56261</v>
      </c>
      <c r="I1063" s="5">
        <v>2.0</v>
      </c>
      <c r="J1063" s="5" t="s">
        <v>668</v>
      </c>
      <c r="K1063" s="5" t="s">
        <v>669</v>
      </c>
      <c r="L1063" s="3"/>
      <c r="M1063" s="5">
        <v>7.0</v>
      </c>
      <c r="N1063" s="5" t="s">
        <v>670</v>
      </c>
      <c r="O1063" s="5" t="s">
        <v>671</v>
      </c>
      <c r="P1063" s="3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</row>
    <row r="1064" ht="15.75" customHeight="1">
      <c r="A1064" s="3" t="s">
        <v>660</v>
      </c>
      <c r="B1064" s="3" t="s">
        <v>661</v>
      </c>
      <c r="C1064" s="3" t="s">
        <v>19</v>
      </c>
      <c r="D1064" s="3" t="s">
        <v>662</v>
      </c>
      <c r="E1064" s="3" t="s">
        <v>663</v>
      </c>
      <c r="F1064" s="3">
        <v>1.0</v>
      </c>
      <c r="G1064" s="22">
        <v>-27.72002</v>
      </c>
      <c r="H1064" s="22">
        <v>-48.56261</v>
      </c>
      <c r="I1064" s="5">
        <v>3.0</v>
      </c>
      <c r="J1064" s="5" t="s">
        <v>664</v>
      </c>
      <c r="K1064" s="5" t="s">
        <v>665</v>
      </c>
      <c r="L1064" s="3"/>
      <c r="M1064" s="5">
        <v>6.0</v>
      </c>
      <c r="N1064" s="5">
        <v>85.0</v>
      </c>
      <c r="O1064" s="5"/>
      <c r="P1064" s="3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</row>
    <row r="1065" ht="15.75" customHeight="1">
      <c r="A1065" s="3" t="s">
        <v>660</v>
      </c>
      <c r="B1065" s="3" t="s">
        <v>661</v>
      </c>
      <c r="C1065" s="3" t="s">
        <v>19</v>
      </c>
      <c r="D1065" s="3" t="s">
        <v>662</v>
      </c>
      <c r="E1065" s="3" t="s">
        <v>663</v>
      </c>
      <c r="F1065" s="3">
        <v>1.0</v>
      </c>
      <c r="G1065" s="22">
        <v>-27.72002</v>
      </c>
      <c r="H1065" s="22">
        <v>-48.56261</v>
      </c>
      <c r="I1065" s="5">
        <v>4.0</v>
      </c>
      <c r="J1065" s="5" t="s">
        <v>98</v>
      </c>
      <c r="K1065" s="5" t="s">
        <v>98</v>
      </c>
      <c r="L1065" s="3"/>
      <c r="M1065" s="5">
        <v>8.5</v>
      </c>
      <c r="N1065" s="5">
        <v>34.5</v>
      </c>
      <c r="O1065" s="5"/>
      <c r="P1065" s="3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</row>
    <row r="1066" ht="15.75" customHeight="1">
      <c r="A1066" s="3" t="s">
        <v>660</v>
      </c>
      <c r="B1066" s="3" t="s">
        <v>661</v>
      </c>
      <c r="C1066" s="3" t="s">
        <v>19</v>
      </c>
      <c r="D1066" s="3" t="s">
        <v>662</v>
      </c>
      <c r="E1066" s="3" t="s">
        <v>663</v>
      </c>
      <c r="F1066" s="3">
        <v>1.0</v>
      </c>
      <c r="G1066" s="22">
        <v>-27.72002</v>
      </c>
      <c r="H1066" s="22">
        <v>-48.56261</v>
      </c>
      <c r="I1066" s="5">
        <v>5.0</v>
      </c>
      <c r="J1066" s="5" t="s">
        <v>50</v>
      </c>
      <c r="K1066" s="5" t="s">
        <v>50</v>
      </c>
      <c r="L1066" s="3"/>
      <c r="M1066" s="5">
        <v>11.0</v>
      </c>
      <c r="N1066" s="5">
        <v>112.0</v>
      </c>
      <c r="O1066" s="5"/>
      <c r="P1066" s="3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</row>
    <row r="1067" ht="15.75" customHeight="1">
      <c r="A1067" s="3" t="s">
        <v>660</v>
      </c>
      <c r="B1067" s="3" t="s">
        <v>661</v>
      </c>
      <c r="C1067" s="3" t="s">
        <v>19</v>
      </c>
      <c r="D1067" s="3" t="s">
        <v>662</v>
      </c>
      <c r="E1067" s="3" t="s">
        <v>663</v>
      </c>
      <c r="F1067" s="3">
        <v>1.0</v>
      </c>
      <c r="G1067" s="22">
        <v>-27.72002</v>
      </c>
      <c r="H1067" s="22">
        <v>-48.56261</v>
      </c>
      <c r="I1067" s="5">
        <v>6.0</v>
      </c>
      <c r="J1067" s="5" t="s">
        <v>108</v>
      </c>
      <c r="K1067" s="5" t="s">
        <v>108</v>
      </c>
      <c r="L1067" s="3"/>
      <c r="M1067" s="5">
        <v>5.5</v>
      </c>
      <c r="N1067" s="5">
        <v>49.0</v>
      </c>
      <c r="O1067" s="5"/>
      <c r="P1067" s="3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</row>
    <row r="1068" ht="15.75" customHeight="1">
      <c r="A1068" s="3" t="s">
        <v>660</v>
      </c>
      <c r="B1068" s="3" t="s">
        <v>661</v>
      </c>
      <c r="C1068" s="3" t="s">
        <v>19</v>
      </c>
      <c r="D1068" s="3" t="s">
        <v>662</v>
      </c>
      <c r="E1068" s="3" t="s">
        <v>663</v>
      </c>
      <c r="F1068" s="3">
        <v>1.0</v>
      </c>
      <c r="G1068" s="22">
        <v>-27.72002</v>
      </c>
      <c r="H1068" s="22">
        <v>-48.56261</v>
      </c>
      <c r="I1068" s="5">
        <v>7.0</v>
      </c>
      <c r="J1068" s="5" t="s">
        <v>672</v>
      </c>
      <c r="K1068" s="5" t="s">
        <v>672</v>
      </c>
      <c r="L1068" s="3"/>
      <c r="M1068" s="5">
        <v>3.0</v>
      </c>
      <c r="N1068" s="5">
        <v>20.5</v>
      </c>
      <c r="O1068" s="5"/>
      <c r="P1068" s="3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</row>
    <row r="1069" ht="15.75" customHeight="1">
      <c r="A1069" s="3" t="s">
        <v>660</v>
      </c>
      <c r="B1069" s="3" t="s">
        <v>661</v>
      </c>
      <c r="C1069" s="3" t="s">
        <v>19</v>
      </c>
      <c r="D1069" s="3" t="s">
        <v>662</v>
      </c>
      <c r="E1069" s="3" t="s">
        <v>663</v>
      </c>
      <c r="F1069" s="3">
        <v>1.0</v>
      </c>
      <c r="G1069" s="22">
        <v>-27.72002</v>
      </c>
      <c r="H1069" s="22">
        <v>-48.56261</v>
      </c>
      <c r="I1069" s="5">
        <v>8.0</v>
      </c>
      <c r="J1069" s="5" t="s">
        <v>108</v>
      </c>
      <c r="K1069" s="5" t="s">
        <v>108</v>
      </c>
      <c r="L1069" s="3"/>
      <c r="M1069" s="5">
        <v>8.0</v>
      </c>
      <c r="N1069" s="5">
        <v>35.5</v>
      </c>
      <c r="O1069" s="5"/>
      <c r="P1069" s="3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</row>
    <row r="1070" ht="15.75" customHeight="1">
      <c r="A1070" s="3" t="s">
        <v>660</v>
      </c>
      <c r="B1070" s="3" t="s">
        <v>661</v>
      </c>
      <c r="C1070" s="3" t="s">
        <v>19</v>
      </c>
      <c r="D1070" s="3" t="s">
        <v>662</v>
      </c>
      <c r="E1070" s="3" t="s">
        <v>663</v>
      </c>
      <c r="F1070" s="3">
        <v>1.0</v>
      </c>
      <c r="G1070" s="22">
        <v>-27.72002</v>
      </c>
      <c r="H1070" s="22">
        <v>-48.56261</v>
      </c>
      <c r="I1070" s="5">
        <v>9.0</v>
      </c>
      <c r="J1070" s="5" t="s">
        <v>673</v>
      </c>
      <c r="K1070" s="5" t="s">
        <v>372</v>
      </c>
      <c r="L1070" s="3"/>
      <c r="M1070" s="5">
        <v>4.0</v>
      </c>
      <c r="N1070" s="5">
        <v>20.0</v>
      </c>
      <c r="O1070" s="5" t="s">
        <v>674</v>
      </c>
      <c r="P1070" s="3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</row>
    <row r="1071" ht="15.75" customHeight="1">
      <c r="A1071" s="3" t="s">
        <v>660</v>
      </c>
      <c r="B1071" s="3" t="s">
        <v>661</v>
      </c>
      <c r="C1071" s="3" t="s">
        <v>19</v>
      </c>
      <c r="D1071" s="3" t="s">
        <v>662</v>
      </c>
      <c r="E1071" s="3" t="s">
        <v>663</v>
      </c>
      <c r="F1071" s="3">
        <v>1.0</v>
      </c>
      <c r="G1071" s="22">
        <v>-27.72002</v>
      </c>
      <c r="H1071" s="22">
        <v>-48.56261</v>
      </c>
      <c r="I1071" s="5">
        <v>10.0</v>
      </c>
      <c r="J1071" s="5" t="s">
        <v>673</v>
      </c>
      <c r="K1071" s="5" t="s">
        <v>372</v>
      </c>
      <c r="L1071" s="3"/>
      <c r="M1071" s="5">
        <v>7.0</v>
      </c>
      <c r="N1071" s="5">
        <v>17.0</v>
      </c>
      <c r="O1071" s="5"/>
      <c r="P1071" s="3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</row>
    <row r="1072" ht="15.75" customHeight="1">
      <c r="A1072" s="3" t="s">
        <v>660</v>
      </c>
      <c r="B1072" s="3" t="s">
        <v>661</v>
      </c>
      <c r="C1072" s="3" t="s">
        <v>19</v>
      </c>
      <c r="D1072" s="3" t="s">
        <v>662</v>
      </c>
      <c r="E1072" s="3" t="s">
        <v>663</v>
      </c>
      <c r="F1072" s="3">
        <v>1.0</v>
      </c>
      <c r="G1072" s="22">
        <v>-27.72002</v>
      </c>
      <c r="H1072" s="22">
        <v>-48.56261</v>
      </c>
      <c r="I1072" s="5">
        <v>11.0</v>
      </c>
      <c r="J1072" s="5" t="s">
        <v>504</v>
      </c>
      <c r="K1072" s="5" t="s">
        <v>504</v>
      </c>
      <c r="L1072" s="3"/>
      <c r="M1072" s="5">
        <v>6.0</v>
      </c>
      <c r="N1072" s="5">
        <v>66.0</v>
      </c>
      <c r="O1072" s="5" t="s">
        <v>675</v>
      </c>
      <c r="P1072" s="3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</row>
    <row r="1073" ht="15.75" customHeight="1">
      <c r="A1073" s="3" t="s">
        <v>660</v>
      </c>
      <c r="B1073" s="3" t="s">
        <v>661</v>
      </c>
      <c r="C1073" s="3" t="s">
        <v>19</v>
      </c>
      <c r="D1073" s="3" t="s">
        <v>662</v>
      </c>
      <c r="E1073" s="3" t="s">
        <v>663</v>
      </c>
      <c r="F1073" s="3">
        <v>1.0</v>
      </c>
      <c r="G1073" s="22">
        <v>-27.72002</v>
      </c>
      <c r="H1073" s="22">
        <v>-48.56261</v>
      </c>
      <c r="I1073" s="5">
        <v>12.0</v>
      </c>
      <c r="J1073" s="5" t="s">
        <v>95</v>
      </c>
      <c r="K1073" s="5" t="s">
        <v>95</v>
      </c>
      <c r="L1073" s="3"/>
      <c r="M1073" s="5">
        <v>7.0</v>
      </c>
      <c r="N1073" s="5" t="s">
        <v>676</v>
      </c>
      <c r="O1073" s="5"/>
      <c r="P1073" s="3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</row>
    <row r="1074" ht="15.75" customHeight="1">
      <c r="A1074" s="3" t="s">
        <v>660</v>
      </c>
      <c r="B1074" s="3" t="s">
        <v>661</v>
      </c>
      <c r="C1074" s="3" t="s">
        <v>19</v>
      </c>
      <c r="D1074" s="3" t="s">
        <v>662</v>
      </c>
      <c r="E1074" s="3" t="s">
        <v>677</v>
      </c>
      <c r="F1074" s="3">
        <v>2.0</v>
      </c>
      <c r="G1074" s="22">
        <v>-27.7198</v>
      </c>
      <c r="H1074" s="22">
        <v>-48.56266</v>
      </c>
      <c r="I1074" s="5">
        <v>1.0</v>
      </c>
      <c r="J1074" s="5" t="s">
        <v>111</v>
      </c>
      <c r="K1074" s="5" t="s">
        <v>111</v>
      </c>
      <c r="L1074" s="3"/>
      <c r="M1074" s="5">
        <v>7.0</v>
      </c>
      <c r="N1074" s="5">
        <v>31.0</v>
      </c>
      <c r="O1074" s="3"/>
      <c r="P1074" s="3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</row>
    <row r="1075" ht="15.75" customHeight="1">
      <c r="A1075" s="3" t="s">
        <v>660</v>
      </c>
      <c r="B1075" s="3" t="s">
        <v>661</v>
      </c>
      <c r="C1075" s="3" t="s">
        <v>19</v>
      </c>
      <c r="D1075" s="3" t="s">
        <v>662</v>
      </c>
      <c r="E1075" s="3" t="s">
        <v>677</v>
      </c>
      <c r="F1075" s="3">
        <v>2.0</v>
      </c>
      <c r="G1075" s="22">
        <v>-27.7198</v>
      </c>
      <c r="H1075" s="22">
        <v>-48.56266</v>
      </c>
      <c r="I1075" s="5">
        <v>2.0</v>
      </c>
      <c r="J1075" s="5" t="s">
        <v>504</v>
      </c>
      <c r="K1075" s="5" t="s">
        <v>504</v>
      </c>
      <c r="L1075" s="3"/>
      <c r="M1075" s="5">
        <v>7.0</v>
      </c>
      <c r="N1075" s="5">
        <v>31.0</v>
      </c>
      <c r="O1075" s="3"/>
      <c r="P1075" s="3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</row>
    <row r="1076" ht="15.75" customHeight="1">
      <c r="A1076" s="3" t="s">
        <v>660</v>
      </c>
      <c r="B1076" s="3" t="s">
        <v>661</v>
      </c>
      <c r="C1076" s="3" t="s">
        <v>19</v>
      </c>
      <c r="D1076" s="3" t="s">
        <v>662</v>
      </c>
      <c r="E1076" s="3" t="s">
        <v>677</v>
      </c>
      <c r="F1076" s="3">
        <v>2.0</v>
      </c>
      <c r="G1076" s="22">
        <v>-27.7198</v>
      </c>
      <c r="H1076" s="22">
        <v>-48.56266</v>
      </c>
      <c r="I1076" s="5">
        <v>3.0</v>
      </c>
      <c r="J1076" s="5" t="s">
        <v>111</v>
      </c>
      <c r="K1076" s="5" t="s">
        <v>111</v>
      </c>
      <c r="L1076" s="3"/>
      <c r="M1076" s="5">
        <v>4.5</v>
      </c>
      <c r="N1076" s="5">
        <v>15.5</v>
      </c>
      <c r="O1076" s="3"/>
      <c r="P1076" s="3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</row>
    <row r="1077" ht="15.75" customHeight="1">
      <c r="A1077" s="3" t="s">
        <v>660</v>
      </c>
      <c r="B1077" s="3" t="s">
        <v>661</v>
      </c>
      <c r="C1077" s="3" t="s">
        <v>19</v>
      </c>
      <c r="D1077" s="3" t="s">
        <v>662</v>
      </c>
      <c r="E1077" s="3" t="s">
        <v>677</v>
      </c>
      <c r="F1077" s="3">
        <v>2.0</v>
      </c>
      <c r="G1077" s="22">
        <v>-27.7198</v>
      </c>
      <c r="H1077" s="22">
        <v>-48.56266</v>
      </c>
      <c r="I1077" s="5">
        <v>4.0</v>
      </c>
      <c r="J1077" s="5" t="s">
        <v>95</v>
      </c>
      <c r="K1077" s="5" t="s">
        <v>95</v>
      </c>
      <c r="L1077" s="3"/>
      <c r="M1077" s="5">
        <v>3.0</v>
      </c>
      <c r="N1077" s="5" t="s">
        <v>678</v>
      </c>
      <c r="O1077" s="3"/>
      <c r="P1077" s="3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</row>
    <row r="1078" ht="15.75" customHeight="1">
      <c r="A1078" s="3" t="s">
        <v>660</v>
      </c>
      <c r="B1078" s="3" t="s">
        <v>661</v>
      </c>
      <c r="C1078" s="3" t="s">
        <v>19</v>
      </c>
      <c r="D1078" s="3" t="s">
        <v>662</v>
      </c>
      <c r="E1078" s="3" t="s">
        <v>677</v>
      </c>
      <c r="F1078" s="3">
        <v>2.0</v>
      </c>
      <c r="G1078" s="22">
        <v>-27.7198</v>
      </c>
      <c r="H1078" s="22">
        <v>-48.56266</v>
      </c>
      <c r="I1078" s="5">
        <v>5.0</v>
      </c>
      <c r="J1078" s="5" t="s">
        <v>679</v>
      </c>
      <c r="K1078" s="5" t="s">
        <v>680</v>
      </c>
      <c r="L1078" s="3"/>
      <c r="M1078" s="5">
        <v>10.0</v>
      </c>
      <c r="N1078" s="5">
        <v>39.0</v>
      </c>
      <c r="O1078" s="3"/>
      <c r="P1078" s="3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</row>
    <row r="1079" ht="15.75" customHeight="1">
      <c r="A1079" s="3" t="s">
        <v>660</v>
      </c>
      <c r="B1079" s="3" t="s">
        <v>661</v>
      </c>
      <c r="C1079" s="3" t="s">
        <v>19</v>
      </c>
      <c r="D1079" s="3" t="s">
        <v>662</v>
      </c>
      <c r="E1079" s="3" t="s">
        <v>677</v>
      </c>
      <c r="F1079" s="3">
        <v>2.0</v>
      </c>
      <c r="G1079" s="22">
        <v>-27.7198</v>
      </c>
      <c r="H1079" s="22">
        <v>-48.56266</v>
      </c>
      <c r="I1079" s="5">
        <v>6.0</v>
      </c>
      <c r="J1079" s="5" t="s">
        <v>86</v>
      </c>
      <c r="K1079" s="5" t="s">
        <v>86</v>
      </c>
      <c r="L1079" s="3"/>
      <c r="M1079" s="5">
        <v>12.0</v>
      </c>
      <c r="N1079" s="5">
        <v>102.0</v>
      </c>
      <c r="O1079" s="3"/>
      <c r="P1079" s="3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</row>
    <row r="1080" ht="15.75" customHeight="1">
      <c r="A1080" s="3" t="s">
        <v>660</v>
      </c>
      <c r="B1080" s="3" t="s">
        <v>661</v>
      </c>
      <c r="C1080" s="3" t="s">
        <v>19</v>
      </c>
      <c r="D1080" s="3" t="s">
        <v>662</v>
      </c>
      <c r="E1080" s="3" t="s">
        <v>677</v>
      </c>
      <c r="F1080" s="3">
        <v>2.0</v>
      </c>
      <c r="G1080" s="22">
        <v>-27.7198</v>
      </c>
      <c r="H1080" s="22">
        <v>-48.56266</v>
      </c>
      <c r="I1080" s="5">
        <v>7.0</v>
      </c>
      <c r="J1080" s="5" t="s">
        <v>30</v>
      </c>
      <c r="K1080" s="5" t="s">
        <v>30</v>
      </c>
      <c r="L1080" s="3"/>
      <c r="M1080" s="5">
        <v>10.0</v>
      </c>
      <c r="N1080" s="5">
        <v>77.0</v>
      </c>
      <c r="O1080" s="3"/>
      <c r="P1080" s="3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</row>
    <row r="1081" ht="15.75" customHeight="1">
      <c r="A1081" s="3" t="s">
        <v>660</v>
      </c>
      <c r="B1081" s="3" t="s">
        <v>661</v>
      </c>
      <c r="C1081" s="3" t="s">
        <v>19</v>
      </c>
      <c r="D1081" s="3" t="s">
        <v>662</v>
      </c>
      <c r="E1081" s="3" t="s">
        <v>681</v>
      </c>
      <c r="F1081" s="3">
        <v>3.0</v>
      </c>
      <c r="G1081" s="4">
        <v>-27.72001</v>
      </c>
      <c r="H1081" s="22">
        <v>-48.56227</v>
      </c>
      <c r="I1081" s="5">
        <v>1.0</v>
      </c>
      <c r="J1081" s="5" t="s">
        <v>112</v>
      </c>
      <c r="K1081" s="5" t="s">
        <v>112</v>
      </c>
      <c r="L1081" s="3"/>
      <c r="M1081" s="5">
        <v>7.0</v>
      </c>
      <c r="N1081" s="5" t="s">
        <v>682</v>
      </c>
      <c r="O1081" s="5" t="s">
        <v>683</v>
      </c>
      <c r="P1081" s="3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</row>
    <row r="1082" ht="15.75" customHeight="1">
      <c r="A1082" s="3" t="s">
        <v>660</v>
      </c>
      <c r="B1082" s="3" t="s">
        <v>661</v>
      </c>
      <c r="C1082" s="3" t="s">
        <v>19</v>
      </c>
      <c r="D1082" s="3" t="s">
        <v>662</v>
      </c>
      <c r="E1082" s="3" t="s">
        <v>681</v>
      </c>
      <c r="F1082" s="3">
        <v>3.0</v>
      </c>
      <c r="G1082" s="4">
        <v>-27.72001</v>
      </c>
      <c r="H1082" s="22">
        <v>-48.56227</v>
      </c>
      <c r="I1082" s="5">
        <v>2.0</v>
      </c>
      <c r="J1082" s="5" t="s">
        <v>273</v>
      </c>
      <c r="K1082" s="5" t="s">
        <v>273</v>
      </c>
      <c r="L1082" s="3"/>
      <c r="M1082" s="5">
        <v>5.0</v>
      </c>
      <c r="N1082" s="5">
        <v>18.5</v>
      </c>
      <c r="O1082" s="5"/>
      <c r="P1082" s="3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</row>
    <row r="1083" ht="15.75" customHeight="1">
      <c r="A1083" s="3" t="s">
        <v>660</v>
      </c>
      <c r="B1083" s="3" t="s">
        <v>661</v>
      </c>
      <c r="C1083" s="3" t="s">
        <v>19</v>
      </c>
      <c r="D1083" s="3" t="s">
        <v>662</v>
      </c>
      <c r="E1083" s="3" t="s">
        <v>681</v>
      </c>
      <c r="F1083" s="3">
        <v>3.0</v>
      </c>
      <c r="G1083" s="4">
        <v>-27.72001</v>
      </c>
      <c r="H1083" s="22">
        <v>-48.56227</v>
      </c>
      <c r="I1083" s="5">
        <v>3.0</v>
      </c>
      <c r="J1083" s="5" t="s">
        <v>684</v>
      </c>
      <c r="K1083" s="5" t="s">
        <v>63</v>
      </c>
      <c r="L1083" s="3"/>
      <c r="M1083" s="5">
        <v>10.0</v>
      </c>
      <c r="N1083" s="5">
        <v>86.5</v>
      </c>
      <c r="O1083" s="5" t="s">
        <v>685</v>
      </c>
      <c r="P1083" s="3" t="s">
        <v>686</v>
      </c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</row>
    <row r="1084" ht="15.75" customHeight="1">
      <c r="A1084" s="3" t="s">
        <v>660</v>
      </c>
      <c r="B1084" s="3" t="s">
        <v>661</v>
      </c>
      <c r="C1084" s="3" t="s">
        <v>19</v>
      </c>
      <c r="D1084" s="3" t="s">
        <v>662</v>
      </c>
      <c r="E1084" s="3" t="s">
        <v>681</v>
      </c>
      <c r="F1084" s="3">
        <v>3.0</v>
      </c>
      <c r="G1084" s="4">
        <v>-27.72001</v>
      </c>
      <c r="H1084" s="22">
        <v>-48.56227</v>
      </c>
      <c r="I1084" s="5">
        <v>4.0</v>
      </c>
      <c r="J1084" s="5" t="s">
        <v>679</v>
      </c>
      <c r="K1084" s="5" t="s">
        <v>680</v>
      </c>
      <c r="L1084" s="3"/>
      <c r="M1084" s="5">
        <v>8.0</v>
      </c>
      <c r="N1084" s="5" t="s">
        <v>687</v>
      </c>
      <c r="O1084" s="5"/>
      <c r="P1084" s="3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</row>
    <row r="1085" ht="15.75" customHeight="1">
      <c r="A1085" s="3" t="s">
        <v>660</v>
      </c>
      <c r="B1085" s="3" t="s">
        <v>661</v>
      </c>
      <c r="C1085" s="3" t="s">
        <v>19</v>
      </c>
      <c r="D1085" s="3" t="s">
        <v>662</v>
      </c>
      <c r="E1085" s="3" t="s">
        <v>681</v>
      </c>
      <c r="F1085" s="3">
        <v>3.0</v>
      </c>
      <c r="G1085" s="4">
        <v>-27.72001</v>
      </c>
      <c r="H1085" s="22">
        <v>-48.56227</v>
      </c>
      <c r="I1085" s="5">
        <v>5.0</v>
      </c>
      <c r="J1085" s="5" t="s">
        <v>372</v>
      </c>
      <c r="K1085" s="5" t="s">
        <v>372</v>
      </c>
      <c r="L1085" s="3"/>
      <c r="M1085" s="5">
        <v>9.0</v>
      </c>
      <c r="N1085" s="5">
        <v>15.0</v>
      </c>
      <c r="O1085" s="5"/>
      <c r="P1085" s="3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</row>
    <row r="1086" ht="15.75" customHeight="1">
      <c r="A1086" s="3" t="s">
        <v>660</v>
      </c>
      <c r="B1086" s="3" t="s">
        <v>661</v>
      </c>
      <c r="C1086" s="3" t="s">
        <v>19</v>
      </c>
      <c r="D1086" s="3" t="s">
        <v>662</v>
      </c>
      <c r="E1086" s="3" t="s">
        <v>681</v>
      </c>
      <c r="F1086" s="3">
        <v>3.0</v>
      </c>
      <c r="G1086" s="4">
        <v>-27.72001</v>
      </c>
      <c r="H1086" s="22">
        <v>-48.56227</v>
      </c>
      <c r="I1086" s="5">
        <v>6.0</v>
      </c>
      <c r="J1086" s="5" t="s">
        <v>50</v>
      </c>
      <c r="K1086" s="5" t="s">
        <v>50</v>
      </c>
      <c r="L1086" s="3"/>
      <c r="M1086" s="5">
        <v>9.5</v>
      </c>
      <c r="N1086" s="5">
        <v>30.5</v>
      </c>
      <c r="O1086" s="5"/>
      <c r="P1086" s="3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</row>
    <row r="1087" ht="15.75" customHeight="1">
      <c r="A1087" s="3" t="s">
        <v>660</v>
      </c>
      <c r="B1087" s="3" t="s">
        <v>661</v>
      </c>
      <c r="C1087" s="3" t="s">
        <v>19</v>
      </c>
      <c r="D1087" s="3" t="s">
        <v>662</v>
      </c>
      <c r="E1087" s="3" t="s">
        <v>681</v>
      </c>
      <c r="F1087" s="3">
        <v>3.0</v>
      </c>
      <c r="G1087" s="4">
        <v>-27.72001</v>
      </c>
      <c r="H1087" s="22">
        <v>-48.56227</v>
      </c>
      <c r="I1087" s="5">
        <v>7.0</v>
      </c>
      <c r="J1087" s="5" t="s">
        <v>108</v>
      </c>
      <c r="K1087" s="5" t="s">
        <v>108</v>
      </c>
      <c r="L1087" s="3"/>
      <c r="M1087" s="5">
        <v>10.0</v>
      </c>
      <c r="N1087" s="5">
        <v>89.0</v>
      </c>
      <c r="O1087" s="5"/>
      <c r="P1087" s="3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</row>
    <row r="1088" ht="15.75" customHeight="1">
      <c r="A1088" s="3" t="s">
        <v>660</v>
      </c>
      <c r="B1088" s="3" t="s">
        <v>661</v>
      </c>
      <c r="C1088" s="3" t="s">
        <v>19</v>
      </c>
      <c r="D1088" s="3" t="s">
        <v>662</v>
      </c>
      <c r="E1088" s="3" t="s">
        <v>681</v>
      </c>
      <c r="F1088" s="3">
        <v>3.0</v>
      </c>
      <c r="G1088" s="4">
        <v>-27.72001</v>
      </c>
      <c r="H1088" s="22">
        <v>-48.56227</v>
      </c>
      <c r="I1088" s="5">
        <v>8.0</v>
      </c>
      <c r="J1088" s="5" t="s">
        <v>688</v>
      </c>
      <c r="K1088" s="5" t="s">
        <v>689</v>
      </c>
      <c r="L1088" s="3"/>
      <c r="M1088" s="5">
        <v>7.0</v>
      </c>
      <c r="N1088" s="5">
        <v>16.0</v>
      </c>
      <c r="O1088" s="5"/>
      <c r="P1088" s="3" t="s">
        <v>77</v>
      </c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</row>
    <row r="1089" ht="15.75" customHeight="1">
      <c r="A1089" s="3" t="s">
        <v>660</v>
      </c>
      <c r="B1089" s="3" t="s">
        <v>661</v>
      </c>
      <c r="C1089" s="3" t="s">
        <v>19</v>
      </c>
      <c r="D1089" s="3" t="s">
        <v>662</v>
      </c>
      <c r="E1089" s="3" t="s">
        <v>690</v>
      </c>
      <c r="F1089" s="3">
        <v>4.0</v>
      </c>
      <c r="G1089" s="22">
        <v>-27.71992</v>
      </c>
      <c r="H1089" s="22">
        <v>-48.56215</v>
      </c>
      <c r="I1089" s="5">
        <v>1.0</v>
      </c>
      <c r="J1089" s="5" t="s">
        <v>691</v>
      </c>
      <c r="K1089" s="5" t="s">
        <v>504</v>
      </c>
      <c r="L1089" s="3"/>
      <c r="M1089" s="5">
        <v>5.0</v>
      </c>
      <c r="N1089" s="5">
        <v>17.0</v>
      </c>
      <c r="O1089" s="5" t="s">
        <v>692</v>
      </c>
      <c r="P1089" s="3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</row>
    <row r="1090" ht="15.75" customHeight="1">
      <c r="A1090" s="3" t="s">
        <v>660</v>
      </c>
      <c r="B1090" s="3" t="s">
        <v>661</v>
      </c>
      <c r="C1090" s="3" t="s">
        <v>19</v>
      </c>
      <c r="D1090" s="3" t="s">
        <v>662</v>
      </c>
      <c r="E1090" s="3" t="s">
        <v>690</v>
      </c>
      <c r="F1090" s="3">
        <v>4.0</v>
      </c>
      <c r="G1090" s="22">
        <v>-27.71992</v>
      </c>
      <c r="H1090" s="22">
        <v>-48.56215</v>
      </c>
      <c r="I1090" s="5">
        <v>2.0</v>
      </c>
      <c r="J1090" s="5" t="s">
        <v>693</v>
      </c>
      <c r="K1090" s="5" t="s">
        <v>693</v>
      </c>
      <c r="L1090" s="3"/>
      <c r="M1090" s="5">
        <v>7.0</v>
      </c>
      <c r="N1090" s="5">
        <v>31.5</v>
      </c>
      <c r="O1090" s="5"/>
      <c r="P1090" s="3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</row>
    <row r="1091" ht="15.75" customHeight="1">
      <c r="A1091" s="3" t="s">
        <v>660</v>
      </c>
      <c r="B1091" s="3" t="s">
        <v>661</v>
      </c>
      <c r="C1091" s="3" t="s">
        <v>19</v>
      </c>
      <c r="D1091" s="3" t="s">
        <v>662</v>
      </c>
      <c r="E1091" s="3" t="s">
        <v>690</v>
      </c>
      <c r="F1091" s="3">
        <v>4.0</v>
      </c>
      <c r="G1091" s="22">
        <v>-27.71992</v>
      </c>
      <c r="H1091" s="22">
        <v>-48.56215</v>
      </c>
      <c r="I1091" s="5">
        <v>3.0</v>
      </c>
      <c r="J1091" s="5" t="s">
        <v>24</v>
      </c>
      <c r="K1091" s="5" t="s">
        <v>24</v>
      </c>
      <c r="L1091" s="3"/>
      <c r="M1091" s="5">
        <v>6.0</v>
      </c>
      <c r="N1091" s="5">
        <v>23.0</v>
      </c>
      <c r="O1091" s="5"/>
      <c r="P1091" s="3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</row>
    <row r="1092" ht="15.75" customHeight="1">
      <c r="A1092" s="3" t="s">
        <v>660</v>
      </c>
      <c r="B1092" s="3" t="s">
        <v>661</v>
      </c>
      <c r="C1092" s="3" t="s">
        <v>19</v>
      </c>
      <c r="D1092" s="3" t="s">
        <v>662</v>
      </c>
      <c r="E1092" s="3" t="s">
        <v>690</v>
      </c>
      <c r="F1092" s="3">
        <v>4.0</v>
      </c>
      <c r="G1092" s="22">
        <v>-27.71992</v>
      </c>
      <c r="H1092" s="22">
        <v>-48.56215</v>
      </c>
      <c r="I1092" s="5">
        <v>4.0</v>
      </c>
      <c r="J1092" s="5" t="s">
        <v>694</v>
      </c>
      <c r="K1092" s="5" t="s">
        <v>694</v>
      </c>
      <c r="L1092" s="3"/>
      <c r="M1092" s="5">
        <v>14.0</v>
      </c>
      <c r="N1092" s="5">
        <v>144.0</v>
      </c>
      <c r="O1092" s="5"/>
      <c r="P1092" s="3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</row>
    <row r="1093" ht="15.75" customHeight="1">
      <c r="A1093" s="3" t="s">
        <v>660</v>
      </c>
      <c r="B1093" s="3" t="s">
        <v>661</v>
      </c>
      <c r="C1093" s="3" t="s">
        <v>19</v>
      </c>
      <c r="D1093" s="3" t="s">
        <v>662</v>
      </c>
      <c r="E1093" s="3" t="s">
        <v>690</v>
      </c>
      <c r="F1093" s="3">
        <v>4.0</v>
      </c>
      <c r="G1093" s="22">
        <v>-27.71992</v>
      </c>
      <c r="H1093" s="22">
        <v>-48.56215</v>
      </c>
      <c r="I1093" s="5">
        <v>5.0</v>
      </c>
      <c r="J1093" s="5" t="s">
        <v>273</v>
      </c>
      <c r="K1093" s="5" t="s">
        <v>273</v>
      </c>
      <c r="L1093" s="3"/>
      <c r="M1093" s="5">
        <v>7.0</v>
      </c>
      <c r="N1093" s="5">
        <v>22.0</v>
      </c>
      <c r="O1093" s="5"/>
      <c r="P1093" s="3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</row>
    <row r="1094" ht="15.75" customHeight="1">
      <c r="A1094" s="3" t="s">
        <v>660</v>
      </c>
      <c r="B1094" s="3" t="s">
        <v>661</v>
      </c>
      <c r="C1094" s="3" t="s">
        <v>19</v>
      </c>
      <c r="D1094" s="3" t="s">
        <v>662</v>
      </c>
      <c r="E1094" s="3" t="s">
        <v>690</v>
      </c>
      <c r="F1094" s="3">
        <v>4.0</v>
      </c>
      <c r="G1094" s="22">
        <v>-27.71992</v>
      </c>
      <c r="H1094" s="22">
        <v>-48.56215</v>
      </c>
      <c r="I1094" s="5">
        <v>6.0</v>
      </c>
      <c r="J1094" s="5" t="s">
        <v>679</v>
      </c>
      <c r="K1094" s="5" t="s">
        <v>680</v>
      </c>
      <c r="L1094" s="3"/>
      <c r="M1094" s="5">
        <v>6.0</v>
      </c>
      <c r="N1094" s="5">
        <v>22.0</v>
      </c>
      <c r="O1094" s="11"/>
      <c r="P1094" s="5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</row>
    <row r="1095" ht="15.75" customHeight="1">
      <c r="A1095" s="3" t="s">
        <v>660</v>
      </c>
      <c r="B1095" s="3" t="s">
        <v>661</v>
      </c>
      <c r="C1095" s="3" t="s">
        <v>19</v>
      </c>
      <c r="D1095" s="3" t="s">
        <v>662</v>
      </c>
      <c r="E1095" s="3" t="s">
        <v>690</v>
      </c>
      <c r="F1095" s="3">
        <v>4.0</v>
      </c>
      <c r="G1095" s="22">
        <v>-27.71992</v>
      </c>
      <c r="H1095" s="22">
        <v>-48.56215</v>
      </c>
      <c r="I1095" s="5">
        <v>7.0</v>
      </c>
      <c r="J1095" s="5" t="s">
        <v>468</v>
      </c>
      <c r="K1095" s="5" t="s">
        <v>468</v>
      </c>
      <c r="L1095" s="3"/>
      <c r="M1095" s="5">
        <v>9.0</v>
      </c>
      <c r="N1095" s="5">
        <v>34.0</v>
      </c>
      <c r="O1095" s="5"/>
      <c r="P1095" s="3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</row>
    <row r="1096" ht="15.75" customHeight="1">
      <c r="A1096" s="3" t="s">
        <v>660</v>
      </c>
      <c r="B1096" s="3" t="s">
        <v>661</v>
      </c>
      <c r="C1096" s="3" t="s">
        <v>19</v>
      </c>
      <c r="D1096" s="3" t="s">
        <v>662</v>
      </c>
      <c r="E1096" s="3" t="s">
        <v>690</v>
      </c>
      <c r="F1096" s="3">
        <v>4.0</v>
      </c>
      <c r="G1096" s="22">
        <v>-27.71992</v>
      </c>
      <c r="H1096" s="22">
        <v>-48.56215</v>
      </c>
      <c r="I1096" s="5">
        <v>8.0</v>
      </c>
      <c r="J1096" s="5" t="s">
        <v>468</v>
      </c>
      <c r="K1096" s="5" t="s">
        <v>468</v>
      </c>
      <c r="L1096" s="3"/>
      <c r="M1096" s="5">
        <v>10.0</v>
      </c>
      <c r="N1096" s="5">
        <v>47.0</v>
      </c>
      <c r="O1096" s="5"/>
      <c r="P1096" s="3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</row>
    <row r="1097" ht="15.75" customHeight="1">
      <c r="A1097" s="3" t="s">
        <v>660</v>
      </c>
      <c r="B1097" s="3" t="s">
        <v>661</v>
      </c>
      <c r="C1097" s="3" t="s">
        <v>19</v>
      </c>
      <c r="D1097" s="3" t="s">
        <v>662</v>
      </c>
      <c r="E1097" s="3" t="s">
        <v>690</v>
      </c>
      <c r="F1097" s="3">
        <v>4.0</v>
      </c>
      <c r="G1097" s="22">
        <v>-27.71992</v>
      </c>
      <c r="H1097" s="22">
        <v>-48.56215</v>
      </c>
      <c r="I1097" s="5">
        <v>9.0</v>
      </c>
      <c r="J1097" s="5" t="s">
        <v>468</v>
      </c>
      <c r="K1097" s="5" t="s">
        <v>468</v>
      </c>
      <c r="L1097" s="3"/>
      <c r="M1097" s="5">
        <v>7.0</v>
      </c>
      <c r="N1097" s="5">
        <v>18.0</v>
      </c>
      <c r="O1097" s="5"/>
      <c r="P1097" s="3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</row>
    <row r="1098" ht="15.75" customHeight="1">
      <c r="A1098" s="3" t="s">
        <v>660</v>
      </c>
      <c r="B1098" s="3" t="s">
        <v>661</v>
      </c>
      <c r="C1098" s="3" t="s">
        <v>19</v>
      </c>
      <c r="D1098" s="3" t="s">
        <v>662</v>
      </c>
      <c r="E1098" s="3" t="s">
        <v>690</v>
      </c>
      <c r="F1098" s="3">
        <v>4.0</v>
      </c>
      <c r="G1098" s="22">
        <v>-27.71992</v>
      </c>
      <c r="H1098" s="22">
        <v>-48.56215</v>
      </c>
      <c r="I1098" s="5">
        <v>10.0</v>
      </c>
      <c r="J1098" s="5" t="s">
        <v>468</v>
      </c>
      <c r="K1098" s="5" t="s">
        <v>468</v>
      </c>
      <c r="L1098" s="3"/>
      <c r="M1098" s="5">
        <v>15.0</v>
      </c>
      <c r="N1098" s="5">
        <v>60.0</v>
      </c>
      <c r="O1098" s="5"/>
      <c r="P1098" s="3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</row>
    <row r="1099" ht="15.75" customHeight="1">
      <c r="A1099" s="3" t="s">
        <v>660</v>
      </c>
      <c r="B1099" s="3" t="s">
        <v>661</v>
      </c>
      <c r="C1099" s="3" t="s">
        <v>19</v>
      </c>
      <c r="D1099" s="3" t="s">
        <v>662</v>
      </c>
      <c r="E1099" s="3" t="s">
        <v>690</v>
      </c>
      <c r="F1099" s="3">
        <v>4.0</v>
      </c>
      <c r="G1099" s="22">
        <v>-27.71992</v>
      </c>
      <c r="H1099" s="22">
        <v>-48.56215</v>
      </c>
      <c r="I1099" s="5">
        <v>11.0</v>
      </c>
      <c r="J1099" s="5" t="s">
        <v>95</v>
      </c>
      <c r="K1099" s="5" t="s">
        <v>95</v>
      </c>
      <c r="L1099" s="3"/>
      <c r="M1099" s="5">
        <v>5.5</v>
      </c>
      <c r="N1099" s="5" t="s">
        <v>695</v>
      </c>
      <c r="O1099" s="5"/>
      <c r="P1099" s="3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</row>
    <row r="1100" ht="15.75" customHeight="1">
      <c r="A1100" s="3" t="s">
        <v>660</v>
      </c>
      <c r="B1100" s="3" t="s">
        <v>661</v>
      </c>
      <c r="C1100" s="3" t="s">
        <v>19</v>
      </c>
      <c r="D1100" s="3" t="s">
        <v>662</v>
      </c>
      <c r="E1100" s="3" t="s">
        <v>690</v>
      </c>
      <c r="F1100" s="3">
        <v>4.0</v>
      </c>
      <c r="G1100" s="22">
        <v>-27.71992</v>
      </c>
      <c r="H1100" s="22">
        <v>-48.56215</v>
      </c>
      <c r="I1100" s="5">
        <v>12.0</v>
      </c>
      <c r="J1100" s="5" t="s">
        <v>86</v>
      </c>
      <c r="K1100" s="5" t="s">
        <v>86</v>
      </c>
      <c r="L1100" s="3"/>
      <c r="M1100" s="5">
        <v>5.0</v>
      </c>
      <c r="N1100" s="5">
        <v>16.0</v>
      </c>
      <c r="O1100" s="5"/>
      <c r="P1100" s="3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</row>
    <row r="1101" ht="15.75" customHeight="1">
      <c r="A1101" s="3" t="s">
        <v>660</v>
      </c>
      <c r="B1101" s="3" t="s">
        <v>661</v>
      </c>
      <c r="C1101" s="3" t="s">
        <v>19</v>
      </c>
      <c r="D1101" s="3" t="s">
        <v>662</v>
      </c>
      <c r="E1101" s="3" t="s">
        <v>690</v>
      </c>
      <c r="F1101" s="3">
        <v>4.0</v>
      </c>
      <c r="G1101" s="22">
        <v>-27.71992</v>
      </c>
      <c r="H1101" s="22">
        <v>-48.56215</v>
      </c>
      <c r="I1101" s="5">
        <v>13.0</v>
      </c>
      <c r="J1101" s="5" t="s">
        <v>696</v>
      </c>
      <c r="K1101" s="5" t="s">
        <v>696</v>
      </c>
      <c r="L1101" s="3"/>
      <c r="M1101" s="5">
        <v>10.0</v>
      </c>
      <c r="N1101" s="5">
        <v>120.0</v>
      </c>
      <c r="O1101" s="5"/>
      <c r="P1101" s="3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</row>
    <row r="1102" ht="15.75" customHeight="1">
      <c r="A1102" s="3" t="s">
        <v>660</v>
      </c>
      <c r="B1102" s="3" t="s">
        <v>661</v>
      </c>
      <c r="C1102" s="3" t="s">
        <v>80</v>
      </c>
      <c r="D1102" s="3" t="s">
        <v>697</v>
      </c>
      <c r="E1102" s="3" t="s">
        <v>698</v>
      </c>
      <c r="F1102" s="3">
        <v>5.0</v>
      </c>
      <c r="G1102" s="22">
        <v>-27.72063</v>
      </c>
      <c r="H1102" s="22">
        <v>-48.56049</v>
      </c>
      <c r="I1102" s="5">
        <v>1.0</v>
      </c>
      <c r="J1102" s="5" t="s">
        <v>699</v>
      </c>
      <c r="K1102" s="5" t="s">
        <v>699</v>
      </c>
      <c r="L1102" s="3"/>
      <c r="M1102" s="5">
        <v>12.0</v>
      </c>
      <c r="N1102" s="5">
        <v>80.5</v>
      </c>
      <c r="O1102" s="5"/>
      <c r="P1102" s="3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</row>
    <row r="1103" ht="15.75" customHeight="1">
      <c r="A1103" s="3" t="s">
        <v>660</v>
      </c>
      <c r="B1103" s="3" t="s">
        <v>661</v>
      </c>
      <c r="C1103" s="3" t="s">
        <v>80</v>
      </c>
      <c r="D1103" s="3" t="s">
        <v>697</v>
      </c>
      <c r="E1103" s="3" t="s">
        <v>698</v>
      </c>
      <c r="F1103" s="3">
        <v>5.0</v>
      </c>
      <c r="G1103" s="22">
        <v>-27.72063</v>
      </c>
      <c r="H1103" s="22">
        <v>-48.56049</v>
      </c>
      <c r="I1103" s="5">
        <v>2.0</v>
      </c>
      <c r="J1103" s="5" t="s">
        <v>700</v>
      </c>
      <c r="K1103" s="5" t="s">
        <v>372</v>
      </c>
      <c r="L1103" s="3"/>
      <c r="M1103" s="5">
        <v>8.0</v>
      </c>
      <c r="N1103" s="5">
        <v>19.0</v>
      </c>
      <c r="O1103" s="5" t="s">
        <v>701</v>
      </c>
      <c r="P1103" s="3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</row>
    <row r="1104" ht="15.75" customHeight="1">
      <c r="A1104" s="3" t="s">
        <v>660</v>
      </c>
      <c r="B1104" s="3" t="s">
        <v>661</v>
      </c>
      <c r="C1104" s="3" t="s">
        <v>80</v>
      </c>
      <c r="D1104" s="3" t="s">
        <v>697</v>
      </c>
      <c r="E1104" s="3" t="s">
        <v>698</v>
      </c>
      <c r="F1104" s="3">
        <v>5.0</v>
      </c>
      <c r="G1104" s="22">
        <v>-27.72063</v>
      </c>
      <c r="H1104" s="22">
        <v>-48.56049</v>
      </c>
      <c r="I1104" s="5">
        <v>3.0</v>
      </c>
      <c r="J1104" s="5" t="s">
        <v>41</v>
      </c>
      <c r="K1104" s="5" t="s">
        <v>41</v>
      </c>
      <c r="L1104" s="3"/>
      <c r="M1104" s="5">
        <v>9.0</v>
      </c>
      <c r="N1104" s="5">
        <v>32.5</v>
      </c>
      <c r="O1104" s="5"/>
      <c r="P1104" s="3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</row>
    <row r="1105" ht="15.75" customHeight="1">
      <c r="A1105" s="3" t="s">
        <v>660</v>
      </c>
      <c r="B1105" s="3" t="s">
        <v>661</v>
      </c>
      <c r="C1105" s="3" t="s">
        <v>80</v>
      </c>
      <c r="D1105" s="3" t="s">
        <v>697</v>
      </c>
      <c r="E1105" s="3" t="s">
        <v>698</v>
      </c>
      <c r="F1105" s="3">
        <v>5.0</v>
      </c>
      <c r="G1105" s="22">
        <v>-27.72063</v>
      </c>
      <c r="H1105" s="22">
        <v>-48.56049</v>
      </c>
      <c r="I1105" s="5">
        <v>4.0</v>
      </c>
      <c r="J1105" s="5" t="s">
        <v>31</v>
      </c>
      <c r="K1105" s="5" t="s">
        <v>31</v>
      </c>
      <c r="L1105" s="3"/>
      <c r="M1105" s="5">
        <v>6.0</v>
      </c>
      <c r="N1105" s="5">
        <v>39.0</v>
      </c>
      <c r="O1105" s="5" t="s">
        <v>702</v>
      </c>
      <c r="P1105" s="3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</row>
    <row r="1106" ht="15.75" customHeight="1">
      <c r="A1106" s="3" t="s">
        <v>660</v>
      </c>
      <c r="B1106" s="3" t="s">
        <v>661</v>
      </c>
      <c r="C1106" s="3" t="s">
        <v>80</v>
      </c>
      <c r="D1106" s="3" t="s">
        <v>697</v>
      </c>
      <c r="E1106" s="3" t="s">
        <v>698</v>
      </c>
      <c r="F1106" s="3">
        <v>5.0</v>
      </c>
      <c r="G1106" s="22">
        <v>-27.72063</v>
      </c>
      <c r="H1106" s="22">
        <v>-48.56049</v>
      </c>
      <c r="I1106" s="5">
        <v>5.0</v>
      </c>
      <c r="J1106" s="5" t="s">
        <v>31</v>
      </c>
      <c r="K1106" s="5" t="s">
        <v>31</v>
      </c>
      <c r="L1106" s="3"/>
      <c r="M1106" s="5">
        <v>7.0</v>
      </c>
      <c r="N1106" s="5">
        <v>49.0</v>
      </c>
      <c r="O1106" s="5"/>
      <c r="P1106" s="3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</row>
    <row r="1107" ht="15.75" customHeight="1">
      <c r="A1107" s="3" t="s">
        <v>660</v>
      </c>
      <c r="B1107" s="3" t="s">
        <v>661</v>
      </c>
      <c r="C1107" s="3" t="s">
        <v>80</v>
      </c>
      <c r="D1107" s="3" t="s">
        <v>697</v>
      </c>
      <c r="E1107" s="3" t="s">
        <v>698</v>
      </c>
      <c r="F1107" s="3">
        <v>5.0</v>
      </c>
      <c r="G1107" s="22">
        <v>-27.72063</v>
      </c>
      <c r="H1107" s="22">
        <v>-48.56049</v>
      </c>
      <c r="I1107" s="5">
        <v>6.0</v>
      </c>
      <c r="J1107" s="5" t="s">
        <v>24</v>
      </c>
      <c r="K1107" s="5" t="s">
        <v>24</v>
      </c>
      <c r="L1107" s="3"/>
      <c r="M1107" s="5">
        <v>10.0</v>
      </c>
      <c r="N1107" s="5">
        <v>36.0</v>
      </c>
      <c r="O1107" s="5"/>
      <c r="P1107" s="3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</row>
    <row r="1108" ht="15.75" customHeight="1">
      <c r="A1108" s="3" t="s">
        <v>660</v>
      </c>
      <c r="B1108" s="3" t="s">
        <v>661</v>
      </c>
      <c r="C1108" s="3" t="s">
        <v>80</v>
      </c>
      <c r="D1108" s="3" t="s">
        <v>697</v>
      </c>
      <c r="E1108" s="3" t="s">
        <v>698</v>
      </c>
      <c r="F1108" s="3">
        <v>5.0</v>
      </c>
      <c r="G1108" s="22">
        <v>-27.72063</v>
      </c>
      <c r="H1108" s="22">
        <v>-48.56049</v>
      </c>
      <c r="I1108" s="5">
        <v>7.0</v>
      </c>
      <c r="J1108" s="5" t="s">
        <v>98</v>
      </c>
      <c r="K1108" s="5" t="s">
        <v>98</v>
      </c>
      <c r="L1108" s="3"/>
      <c r="M1108" s="5">
        <v>12.0</v>
      </c>
      <c r="N1108" s="5">
        <v>39.5</v>
      </c>
      <c r="O1108" s="5"/>
      <c r="P1108" s="3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</row>
    <row r="1109" ht="15.75" customHeight="1">
      <c r="A1109" s="3" t="s">
        <v>660</v>
      </c>
      <c r="B1109" s="3" t="s">
        <v>661</v>
      </c>
      <c r="C1109" s="3" t="s">
        <v>80</v>
      </c>
      <c r="D1109" s="3" t="s">
        <v>697</v>
      </c>
      <c r="E1109" s="3" t="s">
        <v>698</v>
      </c>
      <c r="F1109" s="3">
        <v>5.0</v>
      </c>
      <c r="G1109" s="22">
        <v>-27.72063</v>
      </c>
      <c r="H1109" s="22">
        <v>-48.56049</v>
      </c>
      <c r="I1109" s="5">
        <v>8.0</v>
      </c>
      <c r="J1109" s="5" t="s">
        <v>323</v>
      </c>
      <c r="K1109" s="5" t="s">
        <v>323</v>
      </c>
      <c r="L1109" s="3"/>
      <c r="M1109" s="5">
        <v>6.5</v>
      </c>
      <c r="N1109" s="5">
        <v>16.0</v>
      </c>
      <c r="O1109" s="5"/>
      <c r="P1109" s="3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</row>
    <row r="1110" ht="15.75" customHeight="1">
      <c r="A1110" s="3" t="s">
        <v>660</v>
      </c>
      <c r="B1110" s="3" t="s">
        <v>661</v>
      </c>
      <c r="C1110" s="3" t="s">
        <v>80</v>
      </c>
      <c r="D1110" s="3" t="s">
        <v>697</v>
      </c>
      <c r="E1110" s="3" t="s">
        <v>698</v>
      </c>
      <c r="F1110" s="3">
        <v>5.0</v>
      </c>
      <c r="G1110" s="22">
        <v>-27.72063</v>
      </c>
      <c r="H1110" s="22">
        <v>-48.56049</v>
      </c>
      <c r="I1110" s="5">
        <v>9.0</v>
      </c>
      <c r="J1110" s="5" t="s">
        <v>703</v>
      </c>
      <c r="K1110" s="5" t="s">
        <v>703</v>
      </c>
      <c r="L1110" s="3"/>
      <c r="M1110" s="5">
        <v>7.0</v>
      </c>
      <c r="N1110" s="5">
        <v>16.5</v>
      </c>
      <c r="O1110" s="5" t="s">
        <v>704</v>
      </c>
      <c r="P1110" s="3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</row>
    <row r="1111" ht="15.75" customHeight="1">
      <c r="A1111" s="3" t="s">
        <v>660</v>
      </c>
      <c r="B1111" s="3" t="s">
        <v>661</v>
      </c>
      <c r="C1111" s="3" t="s">
        <v>80</v>
      </c>
      <c r="D1111" s="3" t="s">
        <v>697</v>
      </c>
      <c r="E1111" s="3" t="s">
        <v>698</v>
      </c>
      <c r="F1111" s="3">
        <v>5.0</v>
      </c>
      <c r="G1111" s="22">
        <v>-27.72063</v>
      </c>
      <c r="H1111" s="22">
        <v>-48.56049</v>
      </c>
      <c r="I1111" s="5">
        <v>10.0</v>
      </c>
      <c r="J1111" s="5" t="s">
        <v>323</v>
      </c>
      <c r="K1111" s="5" t="s">
        <v>323</v>
      </c>
      <c r="L1111" s="3"/>
      <c r="M1111" s="5">
        <v>6.0</v>
      </c>
      <c r="N1111" s="5">
        <v>17.0</v>
      </c>
      <c r="O1111" s="5"/>
      <c r="P1111" s="3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</row>
    <row r="1112" ht="15.75" customHeight="1">
      <c r="A1112" s="3" t="s">
        <v>660</v>
      </c>
      <c r="B1112" s="3" t="s">
        <v>661</v>
      </c>
      <c r="C1112" s="3" t="s">
        <v>80</v>
      </c>
      <c r="D1112" s="3" t="s">
        <v>697</v>
      </c>
      <c r="E1112" s="3" t="s">
        <v>698</v>
      </c>
      <c r="F1112" s="3">
        <v>5.0</v>
      </c>
      <c r="G1112" s="22">
        <v>-27.72063</v>
      </c>
      <c r="H1112" s="22">
        <v>-48.56049</v>
      </c>
      <c r="I1112" s="5">
        <v>11.0</v>
      </c>
      <c r="J1112" s="5" t="s">
        <v>705</v>
      </c>
      <c r="K1112" s="5" t="s">
        <v>706</v>
      </c>
      <c r="L1112" s="3"/>
      <c r="M1112" s="5">
        <v>7.0</v>
      </c>
      <c r="N1112" s="5">
        <v>16.5</v>
      </c>
      <c r="O1112" s="5" t="s">
        <v>707</v>
      </c>
      <c r="P1112" s="3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</row>
    <row r="1113" ht="15.75" customHeight="1">
      <c r="A1113" s="3" t="s">
        <v>660</v>
      </c>
      <c r="B1113" s="3" t="s">
        <v>661</v>
      </c>
      <c r="C1113" s="3" t="s">
        <v>80</v>
      </c>
      <c r="D1113" s="3" t="s">
        <v>697</v>
      </c>
      <c r="E1113" s="3" t="s">
        <v>698</v>
      </c>
      <c r="F1113" s="3">
        <v>5.0</v>
      </c>
      <c r="G1113" s="22">
        <v>-27.72063</v>
      </c>
      <c r="H1113" s="22">
        <v>-48.56049</v>
      </c>
      <c r="I1113" s="5">
        <v>12.0</v>
      </c>
      <c r="J1113" s="5" t="s">
        <v>708</v>
      </c>
      <c r="K1113" s="5" t="s">
        <v>709</v>
      </c>
      <c r="L1113" s="3"/>
      <c r="M1113" s="5">
        <v>15.0</v>
      </c>
      <c r="N1113" s="5">
        <v>222.0</v>
      </c>
      <c r="O1113" s="5" t="s">
        <v>710</v>
      </c>
      <c r="P1113" s="3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</row>
    <row r="1114" ht="15.75" customHeight="1">
      <c r="A1114" s="3" t="s">
        <v>660</v>
      </c>
      <c r="B1114" s="3" t="s">
        <v>661</v>
      </c>
      <c r="C1114" s="3" t="s">
        <v>80</v>
      </c>
      <c r="D1114" s="3" t="s">
        <v>697</v>
      </c>
      <c r="E1114" s="3" t="s">
        <v>698</v>
      </c>
      <c r="F1114" s="3">
        <v>5.0</v>
      </c>
      <c r="G1114" s="22">
        <v>-27.72063</v>
      </c>
      <c r="H1114" s="22">
        <v>-48.56049</v>
      </c>
      <c r="I1114" s="5">
        <v>13.0</v>
      </c>
      <c r="J1114" s="5" t="s">
        <v>711</v>
      </c>
      <c r="K1114" s="5" t="s">
        <v>49</v>
      </c>
      <c r="L1114" s="3"/>
      <c r="M1114" s="5">
        <v>6.0</v>
      </c>
      <c r="N1114" s="5">
        <v>29.5</v>
      </c>
      <c r="O1114" s="5" t="s">
        <v>712</v>
      </c>
      <c r="P1114" s="3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</row>
    <row r="1115" ht="15.75" customHeight="1">
      <c r="A1115" s="3" t="s">
        <v>660</v>
      </c>
      <c r="B1115" s="3" t="s">
        <v>661</v>
      </c>
      <c r="C1115" s="3" t="s">
        <v>80</v>
      </c>
      <c r="D1115" s="3" t="s">
        <v>697</v>
      </c>
      <c r="E1115" s="3" t="s">
        <v>698</v>
      </c>
      <c r="F1115" s="3">
        <v>5.0</v>
      </c>
      <c r="G1115" s="22">
        <v>-27.72063</v>
      </c>
      <c r="H1115" s="22">
        <v>-48.56049</v>
      </c>
      <c r="I1115" s="5">
        <v>14.0</v>
      </c>
      <c r="J1115" s="5" t="s">
        <v>52</v>
      </c>
      <c r="K1115" s="5" t="s">
        <v>52</v>
      </c>
      <c r="L1115" s="3"/>
      <c r="M1115" s="5">
        <v>7.0</v>
      </c>
      <c r="N1115" s="5">
        <v>37.0</v>
      </c>
      <c r="O1115" s="5" t="s">
        <v>713</v>
      </c>
      <c r="P1115" s="3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</row>
    <row r="1116" ht="15.75" customHeight="1">
      <c r="A1116" s="3" t="s">
        <v>660</v>
      </c>
      <c r="B1116" s="3" t="s">
        <v>661</v>
      </c>
      <c r="C1116" s="3" t="s">
        <v>80</v>
      </c>
      <c r="D1116" s="3" t="s">
        <v>697</v>
      </c>
      <c r="E1116" s="3" t="s">
        <v>698</v>
      </c>
      <c r="F1116" s="3">
        <v>5.0</v>
      </c>
      <c r="G1116" s="22">
        <v>-27.72063</v>
      </c>
      <c r="H1116" s="22">
        <v>-48.56049</v>
      </c>
      <c r="I1116" s="5">
        <v>15.0</v>
      </c>
      <c r="J1116" s="5" t="s">
        <v>714</v>
      </c>
      <c r="K1116" s="5" t="s">
        <v>122</v>
      </c>
      <c r="L1116" s="3"/>
      <c r="M1116" s="5">
        <v>8.0</v>
      </c>
      <c r="N1116" s="5">
        <v>29.0</v>
      </c>
      <c r="O1116" s="5" t="s">
        <v>715</v>
      </c>
      <c r="P1116" s="3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</row>
    <row r="1117" ht="15.75" customHeight="1">
      <c r="A1117" s="3" t="s">
        <v>660</v>
      </c>
      <c r="B1117" s="3" t="s">
        <v>661</v>
      </c>
      <c r="C1117" s="3" t="s">
        <v>80</v>
      </c>
      <c r="D1117" s="3" t="s">
        <v>697</v>
      </c>
      <c r="E1117" s="3" t="s">
        <v>698</v>
      </c>
      <c r="F1117" s="3">
        <v>5.0</v>
      </c>
      <c r="G1117" s="22">
        <v>-27.72063</v>
      </c>
      <c r="H1117" s="22">
        <v>-48.56049</v>
      </c>
      <c r="I1117" s="5">
        <v>16.0</v>
      </c>
      <c r="J1117" s="5" t="s">
        <v>372</v>
      </c>
      <c r="K1117" s="5" t="s">
        <v>372</v>
      </c>
      <c r="L1117" s="3"/>
      <c r="M1117" s="5">
        <v>6.0</v>
      </c>
      <c r="N1117" s="5">
        <v>27.0</v>
      </c>
      <c r="O1117" s="5"/>
      <c r="P1117" s="3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</row>
    <row r="1118" ht="15.75" customHeight="1">
      <c r="A1118" s="3" t="s">
        <v>660</v>
      </c>
      <c r="B1118" s="3" t="s">
        <v>661</v>
      </c>
      <c r="C1118" s="3" t="s">
        <v>80</v>
      </c>
      <c r="D1118" s="3" t="s">
        <v>697</v>
      </c>
      <c r="E1118" s="3" t="s">
        <v>716</v>
      </c>
      <c r="F1118" s="3">
        <v>6.0</v>
      </c>
      <c r="G1118" s="22">
        <v>-27.72046</v>
      </c>
      <c r="H1118" s="22">
        <v>-48.56033</v>
      </c>
      <c r="I1118" s="5">
        <v>1.0</v>
      </c>
      <c r="J1118" s="5" t="s">
        <v>41</v>
      </c>
      <c r="K1118" s="5" t="s">
        <v>41</v>
      </c>
      <c r="L1118" s="3"/>
      <c r="M1118" s="5">
        <v>10.0</v>
      </c>
      <c r="N1118" s="5">
        <v>47.0</v>
      </c>
      <c r="O1118" s="5"/>
      <c r="P1118" s="3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</row>
    <row r="1119" ht="15.75" customHeight="1">
      <c r="A1119" s="3" t="s">
        <v>660</v>
      </c>
      <c r="B1119" s="3" t="s">
        <v>661</v>
      </c>
      <c r="C1119" s="3" t="s">
        <v>80</v>
      </c>
      <c r="D1119" s="3" t="s">
        <v>697</v>
      </c>
      <c r="E1119" s="3" t="s">
        <v>716</v>
      </c>
      <c r="F1119" s="3">
        <v>6.0</v>
      </c>
      <c r="G1119" s="22">
        <v>-27.72046</v>
      </c>
      <c r="H1119" s="22">
        <v>-48.56033</v>
      </c>
      <c r="I1119" s="5">
        <v>2.0</v>
      </c>
      <c r="J1119" s="5" t="s">
        <v>52</v>
      </c>
      <c r="K1119" s="5" t="s">
        <v>52</v>
      </c>
      <c r="L1119" s="3"/>
      <c r="M1119" s="5">
        <v>8.0</v>
      </c>
      <c r="N1119" s="5">
        <v>23.0</v>
      </c>
      <c r="O1119" s="5"/>
      <c r="P1119" s="3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</row>
    <row r="1120" ht="15.75" customHeight="1">
      <c r="A1120" s="3" t="s">
        <v>660</v>
      </c>
      <c r="B1120" s="3" t="s">
        <v>661</v>
      </c>
      <c r="C1120" s="3" t="s">
        <v>80</v>
      </c>
      <c r="D1120" s="3" t="s">
        <v>697</v>
      </c>
      <c r="E1120" s="3" t="s">
        <v>716</v>
      </c>
      <c r="F1120" s="3">
        <v>6.0</v>
      </c>
      <c r="G1120" s="22">
        <v>-27.72046</v>
      </c>
      <c r="H1120" s="22">
        <v>-48.56033</v>
      </c>
      <c r="I1120" s="5">
        <v>3.0</v>
      </c>
      <c r="J1120" s="5" t="s">
        <v>717</v>
      </c>
      <c r="K1120" s="5" t="s">
        <v>63</v>
      </c>
      <c r="L1120" s="3"/>
      <c r="M1120" s="5">
        <v>10.5</v>
      </c>
      <c r="N1120" s="5">
        <v>62.0</v>
      </c>
      <c r="O1120" s="5" t="s">
        <v>718</v>
      </c>
      <c r="P1120" s="3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</row>
    <row r="1121" ht="15.75" customHeight="1">
      <c r="A1121" s="3" t="s">
        <v>660</v>
      </c>
      <c r="B1121" s="3" t="s">
        <v>661</v>
      </c>
      <c r="C1121" s="3" t="s">
        <v>80</v>
      </c>
      <c r="D1121" s="3" t="s">
        <v>697</v>
      </c>
      <c r="E1121" s="3" t="s">
        <v>716</v>
      </c>
      <c r="F1121" s="3">
        <v>6.0</v>
      </c>
      <c r="G1121" s="22">
        <v>-27.72046</v>
      </c>
      <c r="H1121" s="22">
        <v>-48.56033</v>
      </c>
      <c r="I1121" s="5">
        <v>4.0</v>
      </c>
      <c r="J1121" s="5" t="s">
        <v>24</v>
      </c>
      <c r="K1121" s="5" t="s">
        <v>24</v>
      </c>
      <c r="L1121" s="3"/>
      <c r="M1121" s="5">
        <v>7.0</v>
      </c>
      <c r="N1121" s="5">
        <v>34.0</v>
      </c>
      <c r="O1121" s="5"/>
      <c r="P1121" s="3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</row>
    <row r="1122" ht="15.75" customHeight="1">
      <c r="A1122" s="3" t="s">
        <v>660</v>
      </c>
      <c r="B1122" s="3" t="s">
        <v>661</v>
      </c>
      <c r="C1122" s="3" t="s">
        <v>80</v>
      </c>
      <c r="D1122" s="3" t="s">
        <v>697</v>
      </c>
      <c r="E1122" s="3" t="s">
        <v>716</v>
      </c>
      <c r="F1122" s="3">
        <v>6.0</v>
      </c>
      <c r="G1122" s="22">
        <v>-27.72046</v>
      </c>
      <c r="H1122" s="22">
        <v>-48.56033</v>
      </c>
      <c r="I1122" s="5">
        <v>5.0</v>
      </c>
      <c r="J1122" s="5" t="s">
        <v>24</v>
      </c>
      <c r="K1122" s="5" t="s">
        <v>24</v>
      </c>
      <c r="L1122" s="3"/>
      <c r="M1122" s="5">
        <v>8.0</v>
      </c>
      <c r="N1122" s="5">
        <v>32.5</v>
      </c>
      <c r="O1122" s="5"/>
      <c r="P1122" s="3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</row>
    <row r="1123" ht="15.75" customHeight="1">
      <c r="A1123" s="3" t="s">
        <v>660</v>
      </c>
      <c r="B1123" s="3" t="s">
        <v>661</v>
      </c>
      <c r="C1123" s="3" t="s">
        <v>80</v>
      </c>
      <c r="D1123" s="3" t="s">
        <v>697</v>
      </c>
      <c r="E1123" s="3" t="s">
        <v>716</v>
      </c>
      <c r="F1123" s="3">
        <v>6.0</v>
      </c>
      <c r="G1123" s="22">
        <v>-27.72046</v>
      </c>
      <c r="H1123" s="22">
        <v>-48.56033</v>
      </c>
      <c r="I1123" s="5">
        <v>6.0</v>
      </c>
      <c r="J1123" s="5" t="s">
        <v>358</v>
      </c>
      <c r="K1123" s="5" t="s">
        <v>358</v>
      </c>
      <c r="L1123" s="3"/>
      <c r="M1123" s="5">
        <v>13.0</v>
      </c>
      <c r="N1123" s="5">
        <v>74.0</v>
      </c>
      <c r="O1123" s="5" t="s">
        <v>719</v>
      </c>
      <c r="P1123" s="3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</row>
    <row r="1124" ht="15.75" customHeight="1">
      <c r="A1124" s="3" t="s">
        <v>660</v>
      </c>
      <c r="B1124" s="3" t="s">
        <v>661</v>
      </c>
      <c r="C1124" s="3" t="s">
        <v>80</v>
      </c>
      <c r="D1124" s="3" t="s">
        <v>697</v>
      </c>
      <c r="E1124" s="3" t="s">
        <v>716</v>
      </c>
      <c r="F1124" s="3">
        <v>6.0</v>
      </c>
      <c r="G1124" s="22">
        <v>-27.72046</v>
      </c>
      <c r="H1124" s="22">
        <v>-48.56033</v>
      </c>
      <c r="I1124" s="5">
        <v>7.0</v>
      </c>
      <c r="J1124" s="5" t="s">
        <v>67</v>
      </c>
      <c r="K1124" s="5" t="s">
        <v>67</v>
      </c>
      <c r="L1124" s="3"/>
      <c r="M1124" s="5">
        <v>5.0</v>
      </c>
      <c r="N1124" s="5">
        <v>20.0</v>
      </c>
      <c r="O1124" s="5" t="s">
        <v>720</v>
      </c>
      <c r="P1124" s="3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</row>
    <row r="1125" ht="15.75" customHeight="1">
      <c r="A1125" s="3" t="s">
        <v>660</v>
      </c>
      <c r="B1125" s="3" t="s">
        <v>661</v>
      </c>
      <c r="C1125" s="3" t="s">
        <v>80</v>
      </c>
      <c r="D1125" s="3" t="s">
        <v>697</v>
      </c>
      <c r="E1125" s="3" t="s">
        <v>716</v>
      </c>
      <c r="F1125" s="3">
        <v>6.0</v>
      </c>
      <c r="G1125" s="22">
        <v>-27.72046</v>
      </c>
      <c r="H1125" s="22">
        <v>-48.56033</v>
      </c>
      <c r="I1125" s="5">
        <v>8.0</v>
      </c>
      <c r="J1125" s="5" t="s">
        <v>30</v>
      </c>
      <c r="K1125" s="5" t="s">
        <v>30</v>
      </c>
      <c r="L1125" s="3"/>
      <c r="M1125" s="5">
        <v>6.5</v>
      </c>
      <c r="N1125" s="5">
        <v>17.0</v>
      </c>
      <c r="O1125" s="5"/>
      <c r="P1125" s="3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</row>
    <row r="1126" ht="15.75" customHeight="1">
      <c r="A1126" s="3" t="s">
        <v>660</v>
      </c>
      <c r="B1126" s="3" t="s">
        <v>661</v>
      </c>
      <c r="C1126" s="3" t="s">
        <v>80</v>
      </c>
      <c r="D1126" s="3" t="s">
        <v>697</v>
      </c>
      <c r="E1126" s="3" t="s">
        <v>716</v>
      </c>
      <c r="F1126" s="3">
        <v>6.0</v>
      </c>
      <c r="G1126" s="22">
        <v>-27.72046</v>
      </c>
      <c r="H1126" s="22">
        <v>-48.56033</v>
      </c>
      <c r="I1126" s="5">
        <v>9.0</v>
      </c>
      <c r="J1126" s="5" t="s">
        <v>98</v>
      </c>
      <c r="K1126" s="5" t="s">
        <v>98</v>
      </c>
      <c r="L1126" s="3"/>
      <c r="M1126" s="5">
        <v>15.0</v>
      </c>
      <c r="N1126" s="5">
        <v>41.0</v>
      </c>
      <c r="O1126" s="5"/>
      <c r="P1126" s="3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</row>
    <row r="1127" ht="15.75" customHeight="1">
      <c r="A1127" s="3" t="s">
        <v>660</v>
      </c>
      <c r="B1127" s="3" t="s">
        <v>661</v>
      </c>
      <c r="C1127" s="3" t="s">
        <v>80</v>
      </c>
      <c r="D1127" s="3" t="s">
        <v>697</v>
      </c>
      <c r="E1127" s="3" t="s">
        <v>716</v>
      </c>
      <c r="F1127" s="3">
        <v>6.0</v>
      </c>
      <c r="G1127" s="22">
        <v>-27.72046</v>
      </c>
      <c r="H1127" s="22">
        <v>-48.56033</v>
      </c>
      <c r="I1127" s="5">
        <v>10.0</v>
      </c>
      <c r="J1127" s="5" t="s">
        <v>705</v>
      </c>
      <c r="K1127" s="5" t="s">
        <v>706</v>
      </c>
      <c r="L1127" s="3"/>
      <c r="M1127" s="5">
        <v>9.0</v>
      </c>
      <c r="N1127" s="5">
        <v>33.0</v>
      </c>
      <c r="O1127" s="11"/>
      <c r="P1127" s="5" t="s">
        <v>77</v>
      </c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</row>
    <row r="1128" ht="15.75" customHeight="1">
      <c r="A1128" s="3" t="s">
        <v>660</v>
      </c>
      <c r="B1128" s="3" t="s">
        <v>661</v>
      </c>
      <c r="C1128" s="3" t="s">
        <v>80</v>
      </c>
      <c r="D1128" s="3" t="s">
        <v>697</v>
      </c>
      <c r="E1128" s="3" t="s">
        <v>716</v>
      </c>
      <c r="F1128" s="3">
        <v>6.0</v>
      </c>
      <c r="G1128" s="22">
        <v>-27.72046</v>
      </c>
      <c r="H1128" s="22">
        <v>-48.56033</v>
      </c>
      <c r="I1128" s="5">
        <v>11.0</v>
      </c>
      <c r="J1128" s="5" t="s">
        <v>100</v>
      </c>
      <c r="K1128" s="5" t="s">
        <v>100</v>
      </c>
      <c r="L1128" s="3"/>
      <c r="M1128" s="5">
        <v>12.0</v>
      </c>
      <c r="N1128" s="5">
        <v>62.0</v>
      </c>
      <c r="O1128" s="5"/>
      <c r="P1128" s="3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</row>
    <row r="1129" ht="15.75" customHeight="1">
      <c r="A1129" s="3" t="s">
        <v>660</v>
      </c>
      <c r="B1129" s="3" t="s">
        <v>661</v>
      </c>
      <c r="C1129" s="3" t="s">
        <v>80</v>
      </c>
      <c r="D1129" s="3" t="s">
        <v>697</v>
      </c>
      <c r="E1129" s="3" t="s">
        <v>716</v>
      </c>
      <c r="F1129" s="3">
        <v>6.0</v>
      </c>
      <c r="G1129" s="22">
        <v>-27.72046</v>
      </c>
      <c r="H1129" s="22">
        <v>-48.56033</v>
      </c>
      <c r="I1129" s="5">
        <v>12.0</v>
      </c>
      <c r="J1129" s="5" t="s">
        <v>24</v>
      </c>
      <c r="K1129" s="5" t="s">
        <v>24</v>
      </c>
      <c r="L1129" s="3"/>
      <c r="M1129" s="5">
        <v>10.0</v>
      </c>
      <c r="N1129" s="5">
        <v>27.5</v>
      </c>
      <c r="O1129" s="5"/>
      <c r="P1129" s="3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</row>
    <row r="1130" ht="15.75" customHeight="1">
      <c r="A1130" s="3" t="s">
        <v>660</v>
      </c>
      <c r="B1130" s="3" t="s">
        <v>661</v>
      </c>
      <c r="C1130" s="3" t="s">
        <v>80</v>
      </c>
      <c r="D1130" s="3" t="s">
        <v>697</v>
      </c>
      <c r="E1130" s="3" t="s">
        <v>716</v>
      </c>
      <c r="F1130" s="3">
        <v>6.0</v>
      </c>
      <c r="G1130" s="22">
        <v>-27.72046</v>
      </c>
      <c r="H1130" s="22">
        <v>-48.56033</v>
      </c>
      <c r="I1130" s="5">
        <v>13.0</v>
      </c>
      <c r="J1130" s="5" t="s">
        <v>705</v>
      </c>
      <c r="K1130" s="5" t="s">
        <v>706</v>
      </c>
      <c r="L1130" s="3"/>
      <c r="M1130" s="5">
        <v>8.0</v>
      </c>
      <c r="N1130" s="5">
        <v>19.0</v>
      </c>
      <c r="O1130" s="5"/>
      <c r="P1130" s="3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</row>
    <row r="1131" ht="15.75" customHeight="1">
      <c r="A1131" s="3" t="s">
        <v>660</v>
      </c>
      <c r="B1131" s="3" t="s">
        <v>661</v>
      </c>
      <c r="C1131" s="3" t="s">
        <v>80</v>
      </c>
      <c r="D1131" s="3" t="s">
        <v>697</v>
      </c>
      <c r="E1131" s="3" t="s">
        <v>716</v>
      </c>
      <c r="F1131" s="3">
        <v>6.0</v>
      </c>
      <c r="G1131" s="22">
        <v>-27.72046</v>
      </c>
      <c r="H1131" s="22">
        <v>-48.56033</v>
      </c>
      <c r="I1131" s="5">
        <v>14.0</v>
      </c>
      <c r="J1131" s="5" t="s">
        <v>705</v>
      </c>
      <c r="K1131" s="5" t="s">
        <v>706</v>
      </c>
      <c r="L1131" s="3"/>
      <c r="M1131" s="5">
        <v>8.0</v>
      </c>
      <c r="N1131" s="5">
        <v>31.5</v>
      </c>
      <c r="O1131" s="5" t="s">
        <v>721</v>
      </c>
      <c r="P1131" s="3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</row>
    <row r="1132" ht="15.75" customHeight="1">
      <c r="A1132" s="3" t="s">
        <v>660</v>
      </c>
      <c r="B1132" s="3" t="s">
        <v>661</v>
      </c>
      <c r="C1132" s="3" t="s">
        <v>80</v>
      </c>
      <c r="D1132" s="3" t="s">
        <v>697</v>
      </c>
      <c r="E1132" s="3" t="s">
        <v>716</v>
      </c>
      <c r="F1132" s="3">
        <v>6.0</v>
      </c>
      <c r="G1132" s="22">
        <v>-27.72046</v>
      </c>
      <c r="H1132" s="22">
        <v>-48.56033</v>
      </c>
      <c r="I1132" s="5">
        <v>15.0</v>
      </c>
      <c r="J1132" s="5" t="s">
        <v>684</v>
      </c>
      <c r="K1132" s="5" t="s">
        <v>63</v>
      </c>
      <c r="L1132" s="3"/>
      <c r="M1132" s="5">
        <v>8.0</v>
      </c>
      <c r="N1132" s="5">
        <v>59.0</v>
      </c>
      <c r="O1132" s="5" t="s">
        <v>722</v>
      </c>
      <c r="P1132" s="3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</row>
    <row r="1133" ht="15.75" customHeight="1">
      <c r="A1133" s="3" t="s">
        <v>660</v>
      </c>
      <c r="B1133" s="3" t="s">
        <v>661</v>
      </c>
      <c r="C1133" s="3" t="s">
        <v>80</v>
      </c>
      <c r="D1133" s="3" t="s">
        <v>697</v>
      </c>
      <c r="E1133" s="3" t="s">
        <v>723</v>
      </c>
      <c r="F1133" s="3">
        <v>7.0</v>
      </c>
      <c r="G1133" s="22">
        <v>-27.72031</v>
      </c>
      <c r="H1133" s="4">
        <v>-48.56035</v>
      </c>
      <c r="I1133" s="5">
        <v>1.0</v>
      </c>
      <c r="J1133" s="5" t="s">
        <v>724</v>
      </c>
      <c r="K1133" s="5" t="s">
        <v>724</v>
      </c>
      <c r="L1133" s="3"/>
      <c r="M1133" s="5">
        <v>8.0</v>
      </c>
      <c r="N1133" s="5">
        <v>37.0</v>
      </c>
      <c r="O1133" s="5"/>
      <c r="P1133" s="3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</row>
    <row r="1134" ht="15.75" customHeight="1">
      <c r="A1134" s="3" t="s">
        <v>660</v>
      </c>
      <c r="B1134" s="3" t="s">
        <v>661</v>
      </c>
      <c r="C1134" s="3" t="s">
        <v>80</v>
      </c>
      <c r="D1134" s="3" t="s">
        <v>697</v>
      </c>
      <c r="E1134" s="3" t="s">
        <v>723</v>
      </c>
      <c r="F1134" s="3">
        <v>7.0</v>
      </c>
      <c r="G1134" s="22">
        <v>-27.72031</v>
      </c>
      <c r="H1134" s="4">
        <v>-48.56035</v>
      </c>
      <c r="I1134" s="5">
        <v>2.0</v>
      </c>
      <c r="J1134" s="5" t="s">
        <v>724</v>
      </c>
      <c r="K1134" s="5" t="s">
        <v>724</v>
      </c>
      <c r="L1134" s="3"/>
      <c r="M1134" s="5">
        <v>16.0</v>
      </c>
      <c r="N1134" s="5" t="s">
        <v>725</v>
      </c>
      <c r="O1134" s="5"/>
      <c r="P1134" s="3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</row>
    <row r="1135" ht="15.75" customHeight="1">
      <c r="A1135" s="3" t="s">
        <v>660</v>
      </c>
      <c r="B1135" s="3" t="s">
        <v>661</v>
      </c>
      <c r="C1135" s="3" t="s">
        <v>80</v>
      </c>
      <c r="D1135" s="3" t="s">
        <v>697</v>
      </c>
      <c r="E1135" s="3" t="s">
        <v>723</v>
      </c>
      <c r="F1135" s="3">
        <v>7.0</v>
      </c>
      <c r="G1135" s="22">
        <v>-27.72031</v>
      </c>
      <c r="H1135" s="4">
        <v>-48.56035</v>
      </c>
      <c r="I1135" s="5">
        <v>3.0</v>
      </c>
      <c r="J1135" s="5" t="s">
        <v>724</v>
      </c>
      <c r="K1135" s="5" t="s">
        <v>724</v>
      </c>
      <c r="L1135" s="3"/>
      <c r="M1135" s="5">
        <v>15.0</v>
      </c>
      <c r="N1135" s="5">
        <v>70.0</v>
      </c>
      <c r="O1135" s="5"/>
      <c r="P1135" s="3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</row>
    <row r="1136" ht="15.75" customHeight="1">
      <c r="A1136" s="3" t="s">
        <v>660</v>
      </c>
      <c r="B1136" s="3" t="s">
        <v>661</v>
      </c>
      <c r="C1136" s="3" t="s">
        <v>80</v>
      </c>
      <c r="D1136" s="3" t="s">
        <v>697</v>
      </c>
      <c r="E1136" s="3" t="s">
        <v>723</v>
      </c>
      <c r="F1136" s="3">
        <v>7.0</v>
      </c>
      <c r="G1136" s="22">
        <v>-27.72031</v>
      </c>
      <c r="H1136" s="4">
        <v>-48.56035</v>
      </c>
      <c r="I1136" s="5">
        <v>4.0</v>
      </c>
      <c r="J1136" s="5" t="s">
        <v>30</v>
      </c>
      <c r="K1136" s="5" t="s">
        <v>30</v>
      </c>
      <c r="L1136" s="3"/>
      <c r="M1136" s="5">
        <v>5.0</v>
      </c>
      <c r="N1136" s="5">
        <v>17.0</v>
      </c>
      <c r="O1136" s="5"/>
      <c r="P1136" s="3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</row>
    <row r="1137" ht="15.75" customHeight="1">
      <c r="A1137" s="3" t="s">
        <v>660</v>
      </c>
      <c r="B1137" s="3" t="s">
        <v>661</v>
      </c>
      <c r="C1137" s="3" t="s">
        <v>80</v>
      </c>
      <c r="D1137" s="3" t="s">
        <v>697</v>
      </c>
      <c r="E1137" s="3" t="s">
        <v>723</v>
      </c>
      <c r="F1137" s="3">
        <v>7.0</v>
      </c>
      <c r="G1137" s="22">
        <v>-27.72031</v>
      </c>
      <c r="H1137" s="4">
        <v>-48.56035</v>
      </c>
      <c r="I1137" s="5">
        <v>5.0</v>
      </c>
      <c r="J1137" s="5" t="s">
        <v>724</v>
      </c>
      <c r="K1137" s="5" t="s">
        <v>724</v>
      </c>
      <c r="L1137" s="3"/>
      <c r="M1137" s="5">
        <v>16.0</v>
      </c>
      <c r="N1137" s="5" t="s">
        <v>726</v>
      </c>
      <c r="O1137" s="5"/>
      <c r="P1137" s="3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</row>
    <row r="1138" ht="15.75" customHeight="1">
      <c r="A1138" s="3" t="s">
        <v>660</v>
      </c>
      <c r="B1138" s="3" t="s">
        <v>661</v>
      </c>
      <c r="C1138" s="3" t="s">
        <v>80</v>
      </c>
      <c r="D1138" s="3" t="s">
        <v>697</v>
      </c>
      <c r="E1138" s="3" t="s">
        <v>723</v>
      </c>
      <c r="F1138" s="3">
        <v>7.0</v>
      </c>
      <c r="G1138" s="22">
        <v>-27.72031</v>
      </c>
      <c r="H1138" s="4">
        <v>-48.56035</v>
      </c>
      <c r="I1138" s="5">
        <v>6.0</v>
      </c>
      <c r="J1138" s="5" t="s">
        <v>727</v>
      </c>
      <c r="K1138" s="5" t="s">
        <v>37</v>
      </c>
      <c r="L1138" s="3"/>
      <c r="M1138" s="5">
        <v>13.0</v>
      </c>
      <c r="N1138" s="5">
        <v>51.5</v>
      </c>
      <c r="O1138" s="5" t="s">
        <v>728</v>
      </c>
      <c r="P1138" s="3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</row>
    <row r="1139" ht="15.75" customHeight="1">
      <c r="A1139" s="3" t="s">
        <v>660</v>
      </c>
      <c r="B1139" s="3" t="s">
        <v>661</v>
      </c>
      <c r="C1139" s="3" t="s">
        <v>80</v>
      </c>
      <c r="D1139" s="3" t="s">
        <v>697</v>
      </c>
      <c r="E1139" s="3" t="s">
        <v>723</v>
      </c>
      <c r="F1139" s="3">
        <v>7.0</v>
      </c>
      <c r="G1139" s="22">
        <v>-27.72031</v>
      </c>
      <c r="H1139" s="4">
        <v>-48.56035</v>
      </c>
      <c r="I1139" s="5">
        <v>7.0</v>
      </c>
      <c r="J1139" s="5" t="s">
        <v>55</v>
      </c>
      <c r="K1139" s="5" t="s">
        <v>55</v>
      </c>
      <c r="L1139" s="3"/>
      <c r="M1139" s="5">
        <v>5.0</v>
      </c>
      <c r="N1139" s="5">
        <v>16.5</v>
      </c>
      <c r="O1139" s="5"/>
      <c r="P1139" s="3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</row>
    <row r="1140" ht="15.75" customHeight="1">
      <c r="A1140" s="3" t="s">
        <v>660</v>
      </c>
      <c r="B1140" s="3" t="s">
        <v>661</v>
      </c>
      <c r="C1140" s="3" t="s">
        <v>80</v>
      </c>
      <c r="D1140" s="3" t="s">
        <v>697</v>
      </c>
      <c r="E1140" s="3" t="s">
        <v>723</v>
      </c>
      <c r="F1140" s="3">
        <v>7.0</v>
      </c>
      <c r="G1140" s="22">
        <v>-27.72031</v>
      </c>
      <c r="H1140" s="4">
        <v>-48.56035</v>
      </c>
      <c r="I1140" s="5">
        <v>8.0</v>
      </c>
      <c r="J1140" s="5" t="s">
        <v>55</v>
      </c>
      <c r="K1140" s="5" t="s">
        <v>55</v>
      </c>
      <c r="L1140" s="3"/>
      <c r="M1140" s="5">
        <v>5.0</v>
      </c>
      <c r="N1140" s="5">
        <v>17.5</v>
      </c>
      <c r="O1140" s="5"/>
      <c r="P1140" s="3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</row>
    <row r="1141" ht="15.75" customHeight="1">
      <c r="A1141" s="3" t="s">
        <v>660</v>
      </c>
      <c r="B1141" s="3" t="s">
        <v>661</v>
      </c>
      <c r="C1141" s="3" t="s">
        <v>80</v>
      </c>
      <c r="D1141" s="3" t="s">
        <v>697</v>
      </c>
      <c r="E1141" s="3" t="s">
        <v>723</v>
      </c>
      <c r="F1141" s="3">
        <v>7.0</v>
      </c>
      <c r="G1141" s="22">
        <v>-27.72031</v>
      </c>
      <c r="H1141" s="4">
        <v>-48.56035</v>
      </c>
      <c r="I1141" s="5">
        <v>9.0</v>
      </c>
      <c r="J1141" s="5" t="s">
        <v>55</v>
      </c>
      <c r="K1141" s="5" t="s">
        <v>55</v>
      </c>
      <c r="L1141" s="3"/>
      <c r="M1141" s="5">
        <v>5.5</v>
      </c>
      <c r="N1141" s="5">
        <v>17.0</v>
      </c>
      <c r="O1141" s="5"/>
      <c r="P1141" s="3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</row>
    <row r="1142" ht="15.75" customHeight="1">
      <c r="A1142" s="3" t="s">
        <v>660</v>
      </c>
      <c r="B1142" s="3" t="s">
        <v>661</v>
      </c>
      <c r="C1142" s="3" t="s">
        <v>80</v>
      </c>
      <c r="D1142" s="3" t="s">
        <v>697</v>
      </c>
      <c r="E1142" s="3" t="s">
        <v>723</v>
      </c>
      <c r="F1142" s="3">
        <v>7.0</v>
      </c>
      <c r="G1142" s="22">
        <v>-27.72031</v>
      </c>
      <c r="H1142" s="4">
        <v>-48.56035</v>
      </c>
      <c r="I1142" s="5">
        <v>10.0</v>
      </c>
      <c r="J1142" s="5" t="s">
        <v>55</v>
      </c>
      <c r="K1142" s="5" t="s">
        <v>55</v>
      </c>
      <c r="L1142" s="3"/>
      <c r="M1142" s="5">
        <v>6.0</v>
      </c>
      <c r="N1142" s="5">
        <v>22.0</v>
      </c>
      <c r="O1142" s="5" t="s">
        <v>729</v>
      </c>
      <c r="P1142" s="3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</row>
    <row r="1143" ht="15.75" customHeight="1">
      <c r="A1143" s="3" t="s">
        <v>660</v>
      </c>
      <c r="B1143" s="3" t="s">
        <v>661</v>
      </c>
      <c r="C1143" s="3" t="s">
        <v>80</v>
      </c>
      <c r="D1143" s="3" t="s">
        <v>697</v>
      </c>
      <c r="E1143" s="3" t="s">
        <v>723</v>
      </c>
      <c r="F1143" s="3">
        <v>7.0</v>
      </c>
      <c r="G1143" s="22">
        <v>-27.72031</v>
      </c>
      <c r="H1143" s="4">
        <v>-48.56035</v>
      </c>
      <c r="I1143" s="5">
        <v>11.0</v>
      </c>
      <c r="J1143" s="5" t="s">
        <v>55</v>
      </c>
      <c r="K1143" s="5" t="s">
        <v>55</v>
      </c>
      <c r="L1143" s="3"/>
      <c r="M1143" s="5">
        <v>6.0</v>
      </c>
      <c r="N1143" s="5">
        <v>20.5</v>
      </c>
      <c r="O1143" s="5"/>
      <c r="P1143" s="3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</row>
    <row r="1144" ht="15.75" customHeight="1">
      <c r="A1144" s="3" t="s">
        <v>660</v>
      </c>
      <c r="B1144" s="3" t="s">
        <v>661</v>
      </c>
      <c r="C1144" s="3" t="s">
        <v>80</v>
      </c>
      <c r="D1144" s="3" t="s">
        <v>697</v>
      </c>
      <c r="E1144" s="3" t="s">
        <v>723</v>
      </c>
      <c r="F1144" s="3">
        <v>7.0</v>
      </c>
      <c r="G1144" s="22">
        <v>-27.72031</v>
      </c>
      <c r="H1144" s="4">
        <v>-48.56035</v>
      </c>
      <c r="I1144" s="5">
        <v>12.0</v>
      </c>
      <c r="J1144" s="5" t="s">
        <v>98</v>
      </c>
      <c r="K1144" s="5" t="s">
        <v>98</v>
      </c>
      <c r="L1144" s="3"/>
      <c r="M1144" s="5">
        <v>11.0</v>
      </c>
      <c r="N1144" s="5">
        <v>25.0</v>
      </c>
      <c r="O1144" s="5"/>
      <c r="P1144" s="3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</row>
    <row r="1145" ht="15.75" customHeight="1">
      <c r="A1145" s="3" t="s">
        <v>660</v>
      </c>
      <c r="B1145" s="3" t="s">
        <v>661</v>
      </c>
      <c r="C1145" s="3" t="s">
        <v>80</v>
      </c>
      <c r="D1145" s="3" t="s">
        <v>697</v>
      </c>
      <c r="E1145" s="3" t="s">
        <v>723</v>
      </c>
      <c r="F1145" s="3">
        <v>7.0</v>
      </c>
      <c r="G1145" s="22">
        <v>-27.72031</v>
      </c>
      <c r="H1145" s="4">
        <v>-48.56035</v>
      </c>
      <c r="I1145" s="5">
        <v>13.0</v>
      </c>
      <c r="J1145" s="5" t="s">
        <v>323</v>
      </c>
      <c r="K1145" s="5" t="s">
        <v>323</v>
      </c>
      <c r="L1145" s="3"/>
      <c r="M1145" s="5">
        <v>9.0</v>
      </c>
      <c r="N1145" s="5">
        <v>21.5</v>
      </c>
      <c r="O1145" s="5"/>
      <c r="P1145" s="3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</row>
    <row r="1146" ht="15.75" customHeight="1">
      <c r="A1146" s="3" t="s">
        <v>660</v>
      </c>
      <c r="B1146" s="3" t="s">
        <v>661</v>
      </c>
      <c r="C1146" s="3" t="s">
        <v>80</v>
      </c>
      <c r="D1146" s="3" t="s">
        <v>697</v>
      </c>
      <c r="E1146" s="3" t="s">
        <v>723</v>
      </c>
      <c r="F1146" s="3">
        <v>7.0</v>
      </c>
      <c r="G1146" s="22">
        <v>-27.72031</v>
      </c>
      <c r="H1146" s="4">
        <v>-48.56035</v>
      </c>
      <c r="I1146" s="5">
        <v>14.0</v>
      </c>
      <c r="J1146" s="5" t="s">
        <v>55</v>
      </c>
      <c r="K1146" s="5" t="s">
        <v>55</v>
      </c>
      <c r="L1146" s="3"/>
      <c r="M1146" s="5">
        <v>5.5</v>
      </c>
      <c r="N1146" s="5">
        <v>17.5</v>
      </c>
      <c r="O1146" s="5"/>
      <c r="P1146" s="3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</row>
    <row r="1147" ht="15.75" customHeight="1">
      <c r="A1147" s="3" t="s">
        <v>660</v>
      </c>
      <c r="B1147" s="3" t="s">
        <v>661</v>
      </c>
      <c r="C1147" s="3" t="s">
        <v>80</v>
      </c>
      <c r="D1147" s="3" t="s">
        <v>697</v>
      </c>
      <c r="E1147" s="3" t="s">
        <v>723</v>
      </c>
      <c r="F1147" s="3">
        <v>7.0</v>
      </c>
      <c r="G1147" s="22">
        <v>-27.72031</v>
      </c>
      <c r="H1147" s="4">
        <v>-48.56035</v>
      </c>
      <c r="I1147" s="5">
        <v>15.0</v>
      </c>
      <c r="J1147" s="5" t="s">
        <v>323</v>
      </c>
      <c r="K1147" s="5" t="s">
        <v>323</v>
      </c>
      <c r="L1147" s="3"/>
      <c r="M1147" s="5">
        <v>7.0</v>
      </c>
      <c r="N1147" s="5">
        <v>17.0</v>
      </c>
      <c r="O1147" s="5"/>
      <c r="P1147" s="3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</row>
    <row r="1148" ht="15.75" customHeight="1">
      <c r="A1148" s="3" t="s">
        <v>660</v>
      </c>
      <c r="B1148" s="3" t="s">
        <v>661</v>
      </c>
      <c r="C1148" s="3" t="s">
        <v>80</v>
      </c>
      <c r="D1148" s="3" t="s">
        <v>697</v>
      </c>
      <c r="E1148" s="3" t="s">
        <v>723</v>
      </c>
      <c r="F1148" s="3">
        <v>7.0</v>
      </c>
      <c r="G1148" s="22">
        <v>-27.72031</v>
      </c>
      <c r="H1148" s="4">
        <v>-48.56035</v>
      </c>
      <c r="I1148" s="5">
        <v>16.0</v>
      </c>
      <c r="J1148" s="5" t="s">
        <v>703</v>
      </c>
      <c r="K1148" s="5" t="s">
        <v>703</v>
      </c>
      <c r="L1148" s="3"/>
      <c r="M1148" s="5">
        <v>5.0</v>
      </c>
      <c r="N1148" s="5">
        <v>17.5</v>
      </c>
      <c r="O1148" s="5"/>
      <c r="P1148" s="3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</row>
    <row r="1149" ht="15.75" customHeight="1">
      <c r="A1149" s="3" t="s">
        <v>660</v>
      </c>
      <c r="B1149" s="3" t="s">
        <v>661</v>
      </c>
      <c r="C1149" s="3" t="s">
        <v>80</v>
      </c>
      <c r="D1149" s="3" t="s">
        <v>697</v>
      </c>
      <c r="E1149" s="3" t="s">
        <v>723</v>
      </c>
      <c r="F1149" s="3">
        <v>7.0</v>
      </c>
      <c r="G1149" s="22">
        <v>-27.72031</v>
      </c>
      <c r="H1149" s="4">
        <v>-48.56035</v>
      </c>
      <c r="I1149" s="5">
        <v>17.0</v>
      </c>
      <c r="J1149" s="5" t="s">
        <v>730</v>
      </c>
      <c r="K1149" s="5" t="s">
        <v>731</v>
      </c>
      <c r="L1149" s="3"/>
      <c r="M1149" s="5">
        <v>12.0</v>
      </c>
      <c r="N1149" s="5">
        <v>79.0</v>
      </c>
      <c r="O1149" s="5" t="s">
        <v>732</v>
      </c>
      <c r="P1149" s="3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</row>
    <row r="1150" ht="15.75" customHeight="1">
      <c r="A1150" s="3" t="s">
        <v>660</v>
      </c>
      <c r="B1150" s="3" t="s">
        <v>661</v>
      </c>
      <c r="C1150" s="3" t="s">
        <v>80</v>
      </c>
      <c r="D1150" s="3" t="s">
        <v>697</v>
      </c>
      <c r="E1150" s="3" t="s">
        <v>723</v>
      </c>
      <c r="F1150" s="3">
        <v>7.0</v>
      </c>
      <c r="G1150" s="22">
        <v>-27.72031</v>
      </c>
      <c r="H1150" s="4">
        <v>-48.56035</v>
      </c>
      <c r="I1150" s="5">
        <v>18.0</v>
      </c>
      <c r="J1150" s="5" t="s">
        <v>55</v>
      </c>
      <c r="K1150" s="5" t="s">
        <v>55</v>
      </c>
      <c r="L1150" s="3"/>
      <c r="M1150" s="5">
        <v>19.0</v>
      </c>
      <c r="N1150" s="5">
        <v>6.5</v>
      </c>
      <c r="O1150" s="5"/>
      <c r="P1150" s="3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</row>
    <row r="1151" ht="15.75" customHeight="1">
      <c r="A1151" s="3" t="s">
        <v>660</v>
      </c>
      <c r="B1151" s="3" t="s">
        <v>661</v>
      </c>
      <c r="C1151" s="3" t="s">
        <v>80</v>
      </c>
      <c r="D1151" s="3" t="s">
        <v>697</v>
      </c>
      <c r="E1151" s="3" t="s">
        <v>723</v>
      </c>
      <c r="F1151" s="3">
        <v>7.0</v>
      </c>
      <c r="G1151" s="22">
        <v>-27.72031</v>
      </c>
      <c r="H1151" s="4">
        <v>-48.56035</v>
      </c>
      <c r="I1151" s="5">
        <v>19.0</v>
      </c>
      <c r="J1151" s="5" t="s">
        <v>97</v>
      </c>
      <c r="K1151" s="5" t="s">
        <v>97</v>
      </c>
      <c r="L1151" s="3"/>
      <c r="M1151" s="5">
        <v>10.0</v>
      </c>
      <c r="N1151" s="5">
        <v>51.5</v>
      </c>
      <c r="O1151" s="5"/>
      <c r="P1151" s="3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</row>
    <row r="1152" ht="15.75" customHeight="1">
      <c r="A1152" s="3" t="s">
        <v>660</v>
      </c>
      <c r="B1152" s="3" t="s">
        <v>661</v>
      </c>
      <c r="C1152" s="3" t="s">
        <v>80</v>
      </c>
      <c r="D1152" s="3" t="s">
        <v>697</v>
      </c>
      <c r="E1152" s="3" t="s">
        <v>723</v>
      </c>
      <c r="F1152" s="3">
        <v>7.0</v>
      </c>
      <c r="G1152" s="22">
        <v>-27.72031</v>
      </c>
      <c r="H1152" s="4">
        <v>-48.56035</v>
      </c>
      <c r="I1152" s="5">
        <v>20.0</v>
      </c>
      <c r="J1152" s="5" t="s">
        <v>105</v>
      </c>
      <c r="K1152" s="5" t="s">
        <v>105</v>
      </c>
      <c r="L1152" s="3"/>
      <c r="M1152" s="5">
        <v>5.0</v>
      </c>
      <c r="N1152" s="5">
        <v>25.0</v>
      </c>
      <c r="O1152" s="5"/>
      <c r="P1152" s="3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</row>
    <row r="1153" ht="15.75" customHeight="1">
      <c r="A1153" s="3" t="s">
        <v>660</v>
      </c>
      <c r="B1153" s="3" t="s">
        <v>661</v>
      </c>
      <c r="C1153" s="3" t="s">
        <v>80</v>
      </c>
      <c r="D1153" s="3" t="s">
        <v>697</v>
      </c>
      <c r="E1153" s="3" t="s">
        <v>723</v>
      </c>
      <c r="F1153" s="3">
        <v>7.0</v>
      </c>
      <c r="G1153" s="22">
        <v>-27.72031</v>
      </c>
      <c r="H1153" s="4">
        <v>-48.56035</v>
      </c>
      <c r="I1153" s="5">
        <v>21.0</v>
      </c>
      <c r="J1153" s="5" t="s">
        <v>55</v>
      </c>
      <c r="K1153" s="5" t="s">
        <v>55</v>
      </c>
      <c r="L1153" s="3"/>
      <c r="M1153" s="5">
        <v>5.5</v>
      </c>
      <c r="N1153" s="5">
        <v>15.0</v>
      </c>
      <c r="O1153" s="5"/>
      <c r="P1153" s="3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</row>
    <row r="1154" ht="15.75" customHeight="1">
      <c r="A1154" s="3" t="s">
        <v>660</v>
      </c>
      <c r="B1154" s="3" t="s">
        <v>661</v>
      </c>
      <c r="C1154" s="3" t="s">
        <v>80</v>
      </c>
      <c r="D1154" s="3" t="s">
        <v>697</v>
      </c>
      <c r="E1154" s="3" t="s">
        <v>723</v>
      </c>
      <c r="F1154" s="3">
        <v>7.0</v>
      </c>
      <c r="G1154" s="22">
        <v>-27.72031</v>
      </c>
      <c r="H1154" s="4">
        <v>-48.56035</v>
      </c>
      <c r="I1154" s="5">
        <v>22.0</v>
      </c>
      <c r="J1154" s="5" t="s">
        <v>146</v>
      </c>
      <c r="K1154" s="5" t="s">
        <v>146</v>
      </c>
      <c r="L1154" s="3"/>
      <c r="M1154" s="5">
        <v>7.0</v>
      </c>
      <c r="N1154" s="5">
        <v>16.0</v>
      </c>
      <c r="O1154" s="5"/>
      <c r="P1154" s="3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</row>
    <row r="1155" ht="15.75" customHeight="1">
      <c r="A1155" s="3" t="s">
        <v>660</v>
      </c>
      <c r="B1155" s="3" t="s">
        <v>661</v>
      </c>
      <c r="C1155" s="3" t="s">
        <v>80</v>
      </c>
      <c r="D1155" s="3" t="s">
        <v>697</v>
      </c>
      <c r="E1155" s="3" t="s">
        <v>723</v>
      </c>
      <c r="F1155" s="3">
        <v>7.0</v>
      </c>
      <c r="G1155" s="22">
        <v>-27.72031</v>
      </c>
      <c r="H1155" s="4">
        <v>-48.56035</v>
      </c>
      <c r="I1155" s="5">
        <v>23.0</v>
      </c>
      <c r="J1155" s="5" t="s">
        <v>55</v>
      </c>
      <c r="K1155" s="5" t="s">
        <v>55</v>
      </c>
      <c r="L1155" s="3"/>
      <c r="M1155" s="5">
        <v>6.0</v>
      </c>
      <c r="N1155" s="5">
        <v>18.0</v>
      </c>
      <c r="O1155" s="5"/>
      <c r="P1155" s="3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</row>
    <row r="1156" ht="15.75" customHeight="1">
      <c r="A1156" s="3" t="s">
        <v>660</v>
      </c>
      <c r="B1156" s="3" t="s">
        <v>661</v>
      </c>
      <c r="C1156" s="3" t="s">
        <v>80</v>
      </c>
      <c r="D1156" s="3" t="s">
        <v>697</v>
      </c>
      <c r="E1156" s="3" t="s">
        <v>723</v>
      </c>
      <c r="F1156" s="3">
        <v>7.0</v>
      </c>
      <c r="G1156" s="22">
        <v>-27.72031</v>
      </c>
      <c r="H1156" s="4">
        <v>-48.56035</v>
      </c>
      <c r="I1156" s="5">
        <v>24.0</v>
      </c>
      <c r="J1156" s="5" t="s">
        <v>98</v>
      </c>
      <c r="K1156" s="5" t="s">
        <v>98</v>
      </c>
      <c r="L1156" s="3"/>
      <c r="M1156" s="5">
        <v>15.0</v>
      </c>
      <c r="N1156" s="5" t="s">
        <v>733</v>
      </c>
      <c r="O1156" s="5"/>
      <c r="P1156" s="3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</row>
    <row r="1157" ht="15.75" customHeight="1">
      <c r="A1157" s="3" t="s">
        <v>660</v>
      </c>
      <c r="B1157" s="3" t="s">
        <v>661</v>
      </c>
      <c r="C1157" s="3" t="s">
        <v>80</v>
      </c>
      <c r="D1157" s="3" t="s">
        <v>697</v>
      </c>
      <c r="E1157" s="3" t="s">
        <v>723</v>
      </c>
      <c r="F1157" s="3">
        <v>7.0</v>
      </c>
      <c r="G1157" s="22">
        <v>-27.72031</v>
      </c>
      <c r="H1157" s="4">
        <v>-48.56035</v>
      </c>
      <c r="I1157" s="5">
        <v>25.0</v>
      </c>
      <c r="J1157" s="5" t="s">
        <v>104</v>
      </c>
      <c r="K1157" s="5" t="s">
        <v>104</v>
      </c>
      <c r="L1157" s="3"/>
      <c r="M1157" s="5">
        <v>6.0</v>
      </c>
      <c r="N1157" s="5">
        <v>17.0</v>
      </c>
      <c r="O1157" s="5"/>
      <c r="P1157" s="3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</row>
    <row r="1158" ht="15.75" customHeight="1">
      <c r="A1158" s="3" t="s">
        <v>660</v>
      </c>
      <c r="B1158" s="3" t="s">
        <v>661</v>
      </c>
      <c r="C1158" s="3" t="s">
        <v>80</v>
      </c>
      <c r="D1158" s="3" t="s">
        <v>697</v>
      </c>
      <c r="E1158" s="3" t="s">
        <v>723</v>
      </c>
      <c r="F1158" s="3">
        <v>7.0</v>
      </c>
      <c r="G1158" s="22">
        <v>-27.72031</v>
      </c>
      <c r="H1158" s="4">
        <v>-48.56035</v>
      </c>
      <c r="I1158" s="5">
        <v>26.0</v>
      </c>
      <c r="J1158" s="5" t="s">
        <v>24</v>
      </c>
      <c r="K1158" s="5" t="s">
        <v>24</v>
      </c>
      <c r="L1158" s="3"/>
      <c r="M1158" s="5">
        <v>8.0</v>
      </c>
      <c r="N1158" s="5" t="s">
        <v>734</v>
      </c>
      <c r="O1158" s="5"/>
      <c r="P1158" s="3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</row>
    <row r="1159" ht="15.75" customHeight="1">
      <c r="A1159" s="3" t="s">
        <v>660</v>
      </c>
      <c r="B1159" s="3" t="s">
        <v>661</v>
      </c>
      <c r="C1159" s="3" t="s">
        <v>80</v>
      </c>
      <c r="D1159" s="3" t="s">
        <v>697</v>
      </c>
      <c r="E1159" s="3" t="s">
        <v>723</v>
      </c>
      <c r="F1159" s="3">
        <v>7.0</v>
      </c>
      <c r="G1159" s="22">
        <v>-27.72031</v>
      </c>
      <c r="H1159" s="4">
        <v>-48.56035</v>
      </c>
      <c r="I1159" s="5">
        <v>27.0</v>
      </c>
      <c r="J1159" s="5" t="s">
        <v>329</v>
      </c>
      <c r="K1159" s="5" t="s">
        <v>329</v>
      </c>
      <c r="L1159" s="3"/>
      <c r="M1159" s="5">
        <v>8.0</v>
      </c>
      <c r="N1159" s="5">
        <v>16.0</v>
      </c>
      <c r="O1159" s="5"/>
      <c r="P1159" s="3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</row>
    <row r="1160" ht="15.75" customHeight="1">
      <c r="A1160" s="3" t="s">
        <v>660</v>
      </c>
      <c r="B1160" s="3" t="s">
        <v>661</v>
      </c>
      <c r="C1160" s="3" t="s">
        <v>80</v>
      </c>
      <c r="D1160" s="3" t="s">
        <v>697</v>
      </c>
      <c r="E1160" s="3" t="s">
        <v>735</v>
      </c>
      <c r="F1160" s="3">
        <v>8.0</v>
      </c>
      <c r="G1160" s="22">
        <v>-27.72017</v>
      </c>
      <c r="H1160" s="4">
        <v>-48.56015</v>
      </c>
      <c r="I1160" s="5">
        <v>1.0</v>
      </c>
      <c r="J1160" s="3" t="s">
        <v>736</v>
      </c>
      <c r="K1160" s="3" t="s">
        <v>737</v>
      </c>
      <c r="L1160" s="3"/>
      <c r="M1160" s="5">
        <v>8.0</v>
      </c>
      <c r="N1160" s="5">
        <v>44.0</v>
      </c>
      <c r="O1160" s="5" t="s">
        <v>738</v>
      </c>
      <c r="P1160" s="3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</row>
    <row r="1161" ht="15.75" customHeight="1">
      <c r="A1161" s="3" t="s">
        <v>660</v>
      </c>
      <c r="B1161" s="3" t="s">
        <v>661</v>
      </c>
      <c r="C1161" s="3" t="s">
        <v>80</v>
      </c>
      <c r="D1161" s="3" t="s">
        <v>697</v>
      </c>
      <c r="E1161" s="3" t="s">
        <v>735</v>
      </c>
      <c r="F1161" s="3">
        <v>8.0</v>
      </c>
      <c r="G1161" s="22">
        <v>-27.72017</v>
      </c>
      <c r="H1161" s="4">
        <v>-48.56015</v>
      </c>
      <c r="I1161" s="5">
        <v>2.0</v>
      </c>
      <c r="J1161" s="5" t="s">
        <v>83</v>
      </c>
      <c r="K1161" s="5" t="s">
        <v>83</v>
      </c>
      <c r="L1161" s="3"/>
      <c r="M1161" s="5">
        <v>7.0</v>
      </c>
      <c r="N1161" s="5">
        <v>61.0</v>
      </c>
      <c r="O1161" s="5"/>
      <c r="P1161" s="3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</row>
    <row r="1162" ht="15.75" customHeight="1">
      <c r="A1162" s="3" t="s">
        <v>660</v>
      </c>
      <c r="B1162" s="3" t="s">
        <v>661</v>
      </c>
      <c r="C1162" s="3" t="s">
        <v>80</v>
      </c>
      <c r="D1162" s="3" t="s">
        <v>697</v>
      </c>
      <c r="E1162" s="3" t="s">
        <v>735</v>
      </c>
      <c r="F1162" s="3">
        <v>8.0</v>
      </c>
      <c r="G1162" s="22">
        <v>-27.72017</v>
      </c>
      <c r="H1162" s="4">
        <v>-48.56015</v>
      </c>
      <c r="I1162" s="5">
        <v>3.0</v>
      </c>
      <c r="J1162" s="5" t="s">
        <v>104</v>
      </c>
      <c r="K1162" s="5" t="s">
        <v>104</v>
      </c>
      <c r="L1162" s="3"/>
      <c r="M1162" s="5">
        <v>7.0</v>
      </c>
      <c r="N1162" s="5" t="s">
        <v>739</v>
      </c>
      <c r="O1162" s="5"/>
      <c r="P1162" s="3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</row>
    <row r="1163" ht="15.75" customHeight="1">
      <c r="A1163" s="3" t="s">
        <v>660</v>
      </c>
      <c r="B1163" s="3" t="s">
        <v>661</v>
      </c>
      <c r="C1163" s="3" t="s">
        <v>80</v>
      </c>
      <c r="D1163" s="3" t="s">
        <v>697</v>
      </c>
      <c r="E1163" s="3" t="s">
        <v>735</v>
      </c>
      <c r="F1163" s="3">
        <v>8.0</v>
      </c>
      <c r="G1163" s="22">
        <v>-27.72017</v>
      </c>
      <c r="H1163" s="4">
        <v>-48.56015</v>
      </c>
      <c r="I1163" s="5">
        <v>4.0</v>
      </c>
      <c r="J1163" s="5" t="s">
        <v>98</v>
      </c>
      <c r="K1163" s="5" t="s">
        <v>98</v>
      </c>
      <c r="L1163" s="3"/>
      <c r="M1163" s="5">
        <v>6.0</v>
      </c>
      <c r="N1163" s="5">
        <v>15.0</v>
      </c>
      <c r="O1163" s="5"/>
      <c r="P1163" s="3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</row>
    <row r="1164" ht="15.75" customHeight="1">
      <c r="A1164" s="3" t="s">
        <v>660</v>
      </c>
      <c r="B1164" s="3" t="s">
        <v>661</v>
      </c>
      <c r="C1164" s="3" t="s">
        <v>80</v>
      </c>
      <c r="D1164" s="3" t="s">
        <v>697</v>
      </c>
      <c r="E1164" s="3" t="s">
        <v>735</v>
      </c>
      <c r="F1164" s="3">
        <v>8.0</v>
      </c>
      <c r="G1164" s="22">
        <v>-27.72017</v>
      </c>
      <c r="H1164" s="4">
        <v>-48.56015</v>
      </c>
      <c r="I1164" s="5">
        <v>5.0</v>
      </c>
      <c r="J1164" s="5" t="s">
        <v>24</v>
      </c>
      <c r="K1164" s="5" t="s">
        <v>24</v>
      </c>
      <c r="L1164" s="3"/>
      <c r="M1164" s="5">
        <v>8.0</v>
      </c>
      <c r="N1164" s="5">
        <v>67.5</v>
      </c>
      <c r="O1164" s="5"/>
      <c r="P1164" s="3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</row>
    <row r="1165" ht="15.75" customHeight="1">
      <c r="A1165" s="3" t="s">
        <v>660</v>
      </c>
      <c r="B1165" s="3" t="s">
        <v>661</v>
      </c>
      <c r="C1165" s="3" t="s">
        <v>80</v>
      </c>
      <c r="D1165" s="3" t="s">
        <v>697</v>
      </c>
      <c r="E1165" s="3" t="s">
        <v>735</v>
      </c>
      <c r="F1165" s="3">
        <v>8.0</v>
      </c>
      <c r="G1165" s="22">
        <v>-27.72017</v>
      </c>
      <c r="H1165" s="4">
        <v>-48.56015</v>
      </c>
      <c r="I1165" s="5">
        <v>6.0</v>
      </c>
      <c r="J1165" s="5" t="s">
        <v>335</v>
      </c>
      <c r="K1165" s="5" t="s">
        <v>335</v>
      </c>
      <c r="L1165" s="3"/>
      <c r="M1165" s="5">
        <v>5.0</v>
      </c>
      <c r="N1165" s="5">
        <v>17.0</v>
      </c>
      <c r="O1165" s="5" t="s">
        <v>740</v>
      </c>
      <c r="P1165" s="3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</row>
    <row r="1166" ht="15.75" customHeight="1">
      <c r="A1166" s="3" t="s">
        <v>660</v>
      </c>
      <c r="B1166" s="3" t="s">
        <v>661</v>
      </c>
      <c r="C1166" s="3" t="s">
        <v>80</v>
      </c>
      <c r="D1166" s="3" t="s">
        <v>697</v>
      </c>
      <c r="E1166" s="3" t="s">
        <v>735</v>
      </c>
      <c r="F1166" s="3">
        <v>8.0</v>
      </c>
      <c r="G1166" s="22">
        <v>-27.72017</v>
      </c>
      <c r="H1166" s="4">
        <v>-48.56015</v>
      </c>
      <c r="I1166" s="5">
        <v>7.0</v>
      </c>
      <c r="J1166" s="5" t="s">
        <v>741</v>
      </c>
      <c r="K1166" s="5" t="s">
        <v>741</v>
      </c>
      <c r="L1166" s="3"/>
      <c r="M1166" s="5">
        <v>5.0</v>
      </c>
      <c r="N1166" s="5">
        <v>16.0</v>
      </c>
      <c r="O1166" s="5" t="s">
        <v>742</v>
      </c>
      <c r="P1166" s="3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</row>
    <row r="1167" ht="15.75" customHeight="1">
      <c r="A1167" s="3" t="s">
        <v>660</v>
      </c>
      <c r="B1167" s="3" t="s">
        <v>661</v>
      </c>
      <c r="C1167" s="3" t="s">
        <v>80</v>
      </c>
      <c r="D1167" s="3" t="s">
        <v>697</v>
      </c>
      <c r="E1167" s="3" t="s">
        <v>735</v>
      </c>
      <c r="F1167" s="3">
        <v>8.0</v>
      </c>
      <c r="G1167" s="22">
        <v>-27.72017</v>
      </c>
      <c r="H1167" s="4">
        <v>-48.56015</v>
      </c>
      <c r="I1167" s="5">
        <v>8.0</v>
      </c>
      <c r="J1167" s="5" t="s">
        <v>55</v>
      </c>
      <c r="K1167" s="5" t="s">
        <v>55</v>
      </c>
      <c r="L1167" s="3"/>
      <c r="M1167" s="5">
        <v>3.0</v>
      </c>
      <c r="N1167" s="5">
        <v>17.0</v>
      </c>
      <c r="O1167" s="5"/>
      <c r="P1167" s="3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</row>
    <row r="1168" ht="15.75" customHeight="1">
      <c r="A1168" s="3" t="s">
        <v>660</v>
      </c>
      <c r="B1168" s="3" t="s">
        <v>661</v>
      </c>
      <c r="C1168" s="3" t="s">
        <v>80</v>
      </c>
      <c r="D1168" s="3" t="s">
        <v>697</v>
      </c>
      <c r="E1168" s="3" t="s">
        <v>735</v>
      </c>
      <c r="F1168" s="3">
        <v>8.0</v>
      </c>
      <c r="G1168" s="22">
        <v>-27.72017</v>
      </c>
      <c r="H1168" s="4">
        <v>-48.56015</v>
      </c>
      <c r="I1168" s="5">
        <v>9.0</v>
      </c>
      <c r="J1168" s="5" t="s">
        <v>55</v>
      </c>
      <c r="K1168" s="5" t="s">
        <v>55</v>
      </c>
      <c r="L1168" s="3"/>
      <c r="M1168" s="5">
        <v>3.0</v>
      </c>
      <c r="N1168" s="5">
        <v>17.0</v>
      </c>
      <c r="O1168" s="5"/>
      <c r="P1168" s="3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</row>
    <row r="1169" ht="15.75" customHeight="1">
      <c r="A1169" s="3" t="s">
        <v>660</v>
      </c>
      <c r="B1169" s="3" t="s">
        <v>661</v>
      </c>
      <c r="C1169" s="3" t="s">
        <v>80</v>
      </c>
      <c r="D1169" s="3" t="s">
        <v>697</v>
      </c>
      <c r="E1169" s="3" t="s">
        <v>735</v>
      </c>
      <c r="F1169" s="3">
        <v>8.0</v>
      </c>
      <c r="G1169" s="22">
        <v>-27.72017</v>
      </c>
      <c r="H1169" s="4">
        <v>-48.56015</v>
      </c>
      <c r="I1169" s="5">
        <v>10.0</v>
      </c>
      <c r="J1169" s="5" t="s">
        <v>335</v>
      </c>
      <c r="K1169" s="5" t="s">
        <v>335</v>
      </c>
      <c r="L1169" s="3"/>
      <c r="M1169" s="5">
        <v>7.0</v>
      </c>
      <c r="N1169" s="5">
        <v>32.0</v>
      </c>
      <c r="O1169" s="5" t="s">
        <v>743</v>
      </c>
      <c r="P1169" s="3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</row>
    <row r="1170" ht="15.75" customHeight="1">
      <c r="A1170" s="3" t="s">
        <v>660</v>
      </c>
      <c r="B1170" s="3" t="s">
        <v>661</v>
      </c>
      <c r="C1170" s="3" t="s">
        <v>80</v>
      </c>
      <c r="D1170" s="3" t="s">
        <v>697</v>
      </c>
      <c r="E1170" s="3" t="s">
        <v>735</v>
      </c>
      <c r="F1170" s="3">
        <v>8.0</v>
      </c>
      <c r="G1170" s="22">
        <v>-27.72017</v>
      </c>
      <c r="H1170" s="4">
        <v>-48.56015</v>
      </c>
      <c r="I1170" s="5">
        <v>11.0</v>
      </c>
      <c r="J1170" s="5" t="s">
        <v>335</v>
      </c>
      <c r="K1170" s="5" t="s">
        <v>335</v>
      </c>
      <c r="L1170" s="3"/>
      <c r="M1170" s="5">
        <v>11.0</v>
      </c>
      <c r="N1170" s="5">
        <v>69.0</v>
      </c>
      <c r="O1170" s="5"/>
      <c r="P1170" s="3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</row>
    <row r="1171" ht="15.75" customHeight="1">
      <c r="A1171" s="3" t="s">
        <v>660</v>
      </c>
      <c r="B1171" s="3" t="s">
        <v>661</v>
      </c>
      <c r="C1171" s="3" t="s">
        <v>80</v>
      </c>
      <c r="D1171" s="3" t="s">
        <v>697</v>
      </c>
      <c r="E1171" s="3" t="s">
        <v>735</v>
      </c>
      <c r="F1171" s="3">
        <v>8.0</v>
      </c>
      <c r="G1171" s="22">
        <v>-27.72017</v>
      </c>
      <c r="H1171" s="4">
        <v>-48.56015</v>
      </c>
      <c r="I1171" s="5">
        <v>12.0</v>
      </c>
      <c r="J1171" s="5" t="s">
        <v>24</v>
      </c>
      <c r="K1171" s="5" t="s">
        <v>24</v>
      </c>
      <c r="L1171" s="3"/>
      <c r="M1171" s="5">
        <v>8.0</v>
      </c>
      <c r="N1171" s="5">
        <v>57.5</v>
      </c>
      <c r="O1171" s="5"/>
      <c r="P1171" s="3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</row>
    <row r="1172" ht="15.75" customHeight="1">
      <c r="A1172" s="3" t="s">
        <v>660</v>
      </c>
      <c r="B1172" s="3" t="s">
        <v>661</v>
      </c>
      <c r="C1172" s="3" t="s">
        <v>80</v>
      </c>
      <c r="D1172" s="3" t="s">
        <v>697</v>
      </c>
      <c r="E1172" s="3" t="s">
        <v>735</v>
      </c>
      <c r="F1172" s="3">
        <v>8.0</v>
      </c>
      <c r="G1172" s="22">
        <v>-27.72017</v>
      </c>
      <c r="H1172" s="4">
        <v>-48.56015</v>
      </c>
      <c r="I1172" s="5">
        <v>13.0</v>
      </c>
      <c r="J1172" s="5" t="s">
        <v>24</v>
      </c>
      <c r="K1172" s="5" t="s">
        <v>24</v>
      </c>
      <c r="L1172" s="3"/>
      <c r="M1172" s="5">
        <v>9.0</v>
      </c>
      <c r="N1172" s="5">
        <v>71.0</v>
      </c>
      <c r="O1172" s="5"/>
      <c r="P1172" s="3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</row>
    <row r="1173" ht="15.75" customHeight="1">
      <c r="A1173" s="3" t="s">
        <v>660</v>
      </c>
      <c r="B1173" s="3" t="s">
        <v>661</v>
      </c>
      <c r="C1173" s="3" t="s">
        <v>80</v>
      </c>
      <c r="D1173" s="3" t="s">
        <v>697</v>
      </c>
      <c r="E1173" s="3" t="s">
        <v>735</v>
      </c>
      <c r="F1173" s="3">
        <v>8.0</v>
      </c>
      <c r="G1173" s="22">
        <v>-27.72017</v>
      </c>
      <c r="H1173" s="4">
        <v>-48.56015</v>
      </c>
      <c r="I1173" s="5">
        <v>14.0</v>
      </c>
      <c r="J1173" s="5" t="s">
        <v>335</v>
      </c>
      <c r="K1173" s="5" t="s">
        <v>335</v>
      </c>
      <c r="L1173" s="3"/>
      <c r="M1173" s="5">
        <v>12.0</v>
      </c>
      <c r="N1173" s="5">
        <v>43.0</v>
      </c>
      <c r="O1173" s="5"/>
      <c r="P1173" s="3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</row>
    <row r="1174" ht="15.75" customHeight="1">
      <c r="A1174" s="3" t="s">
        <v>660</v>
      </c>
      <c r="B1174" s="3" t="s">
        <v>661</v>
      </c>
      <c r="C1174" s="3" t="s">
        <v>80</v>
      </c>
      <c r="D1174" s="3" t="s">
        <v>697</v>
      </c>
      <c r="E1174" s="3" t="s">
        <v>735</v>
      </c>
      <c r="F1174" s="3">
        <v>8.0</v>
      </c>
      <c r="G1174" s="22">
        <v>-27.72017</v>
      </c>
      <c r="H1174" s="4">
        <v>-48.56015</v>
      </c>
      <c r="I1174" s="5">
        <v>15.0</v>
      </c>
      <c r="J1174" s="5" t="s">
        <v>55</v>
      </c>
      <c r="K1174" s="5" t="s">
        <v>55</v>
      </c>
      <c r="L1174" s="3"/>
      <c r="M1174" s="5">
        <v>6.0</v>
      </c>
      <c r="N1174" s="5">
        <v>16.0</v>
      </c>
      <c r="O1174" s="5"/>
      <c r="P1174" s="3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</row>
    <row r="1175" ht="15.75" customHeight="1">
      <c r="A1175" s="3" t="s">
        <v>660</v>
      </c>
      <c r="B1175" s="3" t="s">
        <v>661</v>
      </c>
      <c r="C1175" s="3" t="s">
        <v>80</v>
      </c>
      <c r="D1175" s="3" t="s">
        <v>697</v>
      </c>
      <c r="E1175" s="3" t="s">
        <v>735</v>
      </c>
      <c r="F1175" s="3">
        <v>8.0</v>
      </c>
      <c r="G1175" s="22">
        <v>-27.72017</v>
      </c>
      <c r="H1175" s="4">
        <v>-48.56015</v>
      </c>
      <c r="I1175" s="5">
        <v>16.0</v>
      </c>
      <c r="J1175" s="5" t="s">
        <v>744</v>
      </c>
      <c r="K1175" s="5" t="s">
        <v>60</v>
      </c>
      <c r="L1175" s="3"/>
      <c r="M1175" s="5">
        <v>6.0</v>
      </c>
      <c r="N1175" s="5">
        <v>31.0</v>
      </c>
      <c r="O1175" s="5" t="s">
        <v>745</v>
      </c>
      <c r="P1175" s="3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</row>
    <row r="1176" ht="15.75" customHeight="1">
      <c r="A1176" s="3" t="s">
        <v>660</v>
      </c>
      <c r="B1176" s="3" t="s">
        <v>661</v>
      </c>
      <c r="C1176" s="3" t="s">
        <v>80</v>
      </c>
      <c r="D1176" s="3" t="s">
        <v>697</v>
      </c>
      <c r="E1176" s="3" t="s">
        <v>735</v>
      </c>
      <c r="F1176" s="3">
        <v>8.0</v>
      </c>
      <c r="G1176" s="22">
        <v>-27.72017</v>
      </c>
      <c r="H1176" s="4">
        <v>-48.56015</v>
      </c>
      <c r="I1176" s="5">
        <v>17.0</v>
      </c>
      <c r="J1176" s="5" t="s">
        <v>104</v>
      </c>
      <c r="K1176" s="5" t="s">
        <v>104</v>
      </c>
      <c r="L1176" s="3"/>
      <c r="M1176" s="5">
        <v>8.0</v>
      </c>
      <c r="N1176" s="5">
        <v>33.0</v>
      </c>
      <c r="O1176" s="5"/>
      <c r="P1176" s="3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</row>
    <row r="1177" ht="15.75" customHeight="1">
      <c r="A1177" s="3" t="s">
        <v>660</v>
      </c>
      <c r="B1177" s="3" t="s">
        <v>661</v>
      </c>
      <c r="C1177" s="3" t="s">
        <v>80</v>
      </c>
      <c r="D1177" s="3" t="s">
        <v>697</v>
      </c>
      <c r="E1177" s="3" t="s">
        <v>735</v>
      </c>
      <c r="F1177" s="3">
        <v>8.0</v>
      </c>
      <c r="G1177" s="22">
        <v>-27.72017</v>
      </c>
      <c r="H1177" s="4">
        <v>-48.56015</v>
      </c>
      <c r="I1177" s="5">
        <v>18.0</v>
      </c>
      <c r="J1177" s="5" t="s">
        <v>98</v>
      </c>
      <c r="K1177" s="5" t="s">
        <v>98</v>
      </c>
      <c r="L1177" s="3"/>
      <c r="M1177" s="5">
        <v>12.0</v>
      </c>
      <c r="N1177" s="5">
        <v>67.0</v>
      </c>
      <c r="O1177" s="5"/>
      <c r="P1177" s="3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</row>
    <row r="1178" ht="15.75" customHeight="1">
      <c r="A1178" s="3" t="s">
        <v>660</v>
      </c>
      <c r="B1178" s="3" t="s">
        <v>661</v>
      </c>
      <c r="C1178" s="3" t="s">
        <v>80</v>
      </c>
      <c r="D1178" s="3" t="s">
        <v>697</v>
      </c>
      <c r="E1178" s="3" t="s">
        <v>735</v>
      </c>
      <c r="F1178" s="3">
        <v>8.0</v>
      </c>
      <c r="G1178" s="22">
        <v>-27.72017</v>
      </c>
      <c r="H1178" s="4">
        <v>-48.56015</v>
      </c>
      <c r="I1178" s="5">
        <v>19.0</v>
      </c>
      <c r="J1178" s="5" t="s">
        <v>329</v>
      </c>
      <c r="K1178" s="5" t="s">
        <v>329</v>
      </c>
      <c r="L1178" s="3"/>
      <c r="M1178" s="5">
        <v>8.0</v>
      </c>
      <c r="N1178" s="5">
        <v>33.0</v>
      </c>
      <c r="O1178" s="5"/>
      <c r="P1178" s="3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</row>
    <row r="1179" ht="15.75" customHeight="1">
      <c r="A1179" s="3" t="s">
        <v>660</v>
      </c>
      <c r="B1179" s="3" t="s">
        <v>661</v>
      </c>
      <c r="C1179" s="3" t="s">
        <v>80</v>
      </c>
      <c r="D1179" s="3" t="s">
        <v>697</v>
      </c>
      <c r="E1179" s="3" t="s">
        <v>735</v>
      </c>
      <c r="F1179" s="3">
        <v>8.0</v>
      </c>
      <c r="G1179" s="22">
        <v>-27.72017</v>
      </c>
      <c r="H1179" s="4">
        <v>-48.56015</v>
      </c>
      <c r="I1179" s="5">
        <v>20.0</v>
      </c>
      <c r="J1179" s="5" t="s">
        <v>335</v>
      </c>
      <c r="K1179" s="5" t="s">
        <v>335</v>
      </c>
      <c r="L1179" s="3"/>
      <c r="M1179" s="5">
        <v>8.0</v>
      </c>
      <c r="N1179" s="5">
        <v>39.0</v>
      </c>
      <c r="O1179" s="5" t="s">
        <v>746</v>
      </c>
      <c r="P1179" s="3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</row>
    <row r="1180" ht="15.75" customHeight="1">
      <c r="A1180" s="3" t="s">
        <v>747</v>
      </c>
      <c r="B1180" s="3" t="s">
        <v>748</v>
      </c>
      <c r="C1180" s="3" t="s">
        <v>19</v>
      </c>
      <c r="D1180" s="3" t="s">
        <v>749</v>
      </c>
      <c r="E1180" s="3" t="s">
        <v>750</v>
      </c>
      <c r="F1180" s="3">
        <v>1.0</v>
      </c>
      <c r="G1180" s="22">
        <v>-27.77875</v>
      </c>
      <c r="H1180" s="22">
        <v>-48.50586</v>
      </c>
      <c r="I1180" s="5">
        <v>1.0</v>
      </c>
      <c r="J1180" s="5" t="s">
        <v>154</v>
      </c>
      <c r="K1180" s="5" t="s">
        <v>154</v>
      </c>
      <c r="L1180" s="3"/>
      <c r="M1180" s="5">
        <v>5.0</v>
      </c>
      <c r="N1180" s="5">
        <v>37.5</v>
      </c>
      <c r="O1180" s="5"/>
      <c r="P1180" s="3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</row>
    <row r="1181" ht="15.75" customHeight="1">
      <c r="A1181" s="3" t="s">
        <v>747</v>
      </c>
      <c r="B1181" s="3" t="s">
        <v>748</v>
      </c>
      <c r="C1181" s="3" t="s">
        <v>19</v>
      </c>
      <c r="D1181" s="3" t="s">
        <v>749</v>
      </c>
      <c r="E1181" s="3" t="s">
        <v>750</v>
      </c>
      <c r="F1181" s="3">
        <v>1.0</v>
      </c>
      <c r="G1181" s="22">
        <v>-27.77875</v>
      </c>
      <c r="H1181" s="22">
        <v>-48.50586</v>
      </c>
      <c r="I1181" s="5">
        <v>2.0</v>
      </c>
      <c r="J1181" s="5" t="s">
        <v>365</v>
      </c>
      <c r="K1181" s="5" t="s">
        <v>365</v>
      </c>
      <c r="L1181" s="3"/>
      <c r="M1181" s="5">
        <v>11.0</v>
      </c>
      <c r="N1181" s="5">
        <v>70.0</v>
      </c>
      <c r="O1181" s="5" t="s">
        <v>751</v>
      </c>
      <c r="P1181" s="3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</row>
    <row r="1182" ht="15.75" customHeight="1">
      <c r="A1182" s="3" t="s">
        <v>747</v>
      </c>
      <c r="B1182" s="3" t="s">
        <v>748</v>
      </c>
      <c r="C1182" s="3" t="s">
        <v>19</v>
      </c>
      <c r="D1182" s="3" t="s">
        <v>749</v>
      </c>
      <c r="E1182" s="3" t="s">
        <v>750</v>
      </c>
      <c r="F1182" s="3">
        <v>1.0</v>
      </c>
      <c r="G1182" s="22">
        <v>-27.77875</v>
      </c>
      <c r="H1182" s="22">
        <v>-48.50586</v>
      </c>
      <c r="I1182" s="5">
        <v>3.0</v>
      </c>
      <c r="J1182" s="5" t="s">
        <v>98</v>
      </c>
      <c r="K1182" s="5" t="s">
        <v>98</v>
      </c>
      <c r="L1182" s="3"/>
      <c r="M1182" s="5">
        <v>9.0</v>
      </c>
      <c r="N1182" s="5">
        <v>29.5</v>
      </c>
      <c r="O1182" s="5"/>
      <c r="P1182" s="3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</row>
    <row r="1183" ht="15.75" customHeight="1">
      <c r="A1183" s="3" t="s">
        <v>747</v>
      </c>
      <c r="B1183" s="3" t="s">
        <v>748</v>
      </c>
      <c r="C1183" s="3" t="s">
        <v>19</v>
      </c>
      <c r="D1183" s="3" t="s">
        <v>749</v>
      </c>
      <c r="E1183" s="3" t="s">
        <v>750</v>
      </c>
      <c r="F1183" s="3">
        <v>1.0</v>
      </c>
      <c r="G1183" s="22">
        <v>-27.77875</v>
      </c>
      <c r="H1183" s="22">
        <v>-48.50586</v>
      </c>
      <c r="I1183" s="5">
        <v>4.0</v>
      </c>
      <c r="J1183" s="5" t="s">
        <v>98</v>
      </c>
      <c r="K1183" s="5" t="s">
        <v>98</v>
      </c>
      <c r="L1183" s="3"/>
      <c r="M1183" s="5">
        <v>11.0</v>
      </c>
      <c r="N1183" s="5">
        <v>44.5</v>
      </c>
      <c r="O1183" s="5"/>
      <c r="P1183" s="3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</row>
    <row r="1184" ht="15.75" customHeight="1">
      <c r="A1184" s="3" t="s">
        <v>747</v>
      </c>
      <c r="B1184" s="3" t="s">
        <v>748</v>
      </c>
      <c r="C1184" s="3" t="s">
        <v>19</v>
      </c>
      <c r="D1184" s="3" t="s">
        <v>749</v>
      </c>
      <c r="E1184" s="3" t="s">
        <v>750</v>
      </c>
      <c r="F1184" s="3">
        <v>1.0</v>
      </c>
      <c r="G1184" s="22">
        <v>-27.77875</v>
      </c>
      <c r="H1184" s="22">
        <v>-48.50586</v>
      </c>
      <c r="I1184" s="5">
        <v>5.0</v>
      </c>
      <c r="J1184" s="5" t="s">
        <v>727</v>
      </c>
      <c r="K1184" s="5" t="s">
        <v>752</v>
      </c>
      <c r="L1184" s="3"/>
      <c r="M1184" s="5">
        <v>6.0</v>
      </c>
      <c r="N1184" s="5">
        <v>26.0</v>
      </c>
      <c r="O1184" s="5" t="s">
        <v>753</v>
      </c>
      <c r="P1184" s="3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</row>
    <row r="1185" ht="15.75" customHeight="1">
      <c r="A1185" s="3" t="s">
        <v>747</v>
      </c>
      <c r="B1185" s="3" t="s">
        <v>748</v>
      </c>
      <c r="C1185" s="3" t="s">
        <v>19</v>
      </c>
      <c r="D1185" s="3" t="s">
        <v>749</v>
      </c>
      <c r="E1185" s="3" t="s">
        <v>750</v>
      </c>
      <c r="F1185" s="3">
        <v>1.0</v>
      </c>
      <c r="G1185" s="22">
        <v>-27.77875</v>
      </c>
      <c r="H1185" s="22">
        <v>-48.50586</v>
      </c>
      <c r="I1185" s="5">
        <v>6.0</v>
      </c>
      <c r="J1185" s="12" t="s">
        <v>754</v>
      </c>
      <c r="K1185" s="12" t="s">
        <v>754</v>
      </c>
      <c r="L1185" s="3"/>
      <c r="M1185" s="5">
        <v>12.0</v>
      </c>
      <c r="N1185" s="5">
        <v>86.0</v>
      </c>
      <c r="O1185" s="5" t="s">
        <v>755</v>
      </c>
      <c r="P1185" s="3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</row>
    <row r="1186" ht="15.75" customHeight="1">
      <c r="A1186" s="3" t="s">
        <v>747</v>
      </c>
      <c r="B1186" s="3" t="s">
        <v>748</v>
      </c>
      <c r="C1186" s="3" t="s">
        <v>19</v>
      </c>
      <c r="D1186" s="3" t="s">
        <v>749</v>
      </c>
      <c r="E1186" s="3" t="s">
        <v>750</v>
      </c>
      <c r="F1186" s="3">
        <v>1.0</v>
      </c>
      <c r="G1186" s="22">
        <v>-27.77875</v>
      </c>
      <c r="H1186" s="22">
        <v>-48.50586</v>
      </c>
      <c r="I1186" s="5">
        <v>7.0</v>
      </c>
      <c r="J1186" s="5" t="s">
        <v>100</v>
      </c>
      <c r="K1186" s="5" t="s">
        <v>100</v>
      </c>
      <c r="L1186" s="3"/>
      <c r="M1186" s="5">
        <v>8.0</v>
      </c>
      <c r="N1186" s="5">
        <v>23.0</v>
      </c>
      <c r="O1186" s="5"/>
      <c r="P1186" s="3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</row>
    <row r="1187" ht="15.75" customHeight="1">
      <c r="A1187" s="3" t="s">
        <v>747</v>
      </c>
      <c r="B1187" s="3" t="s">
        <v>748</v>
      </c>
      <c r="C1187" s="3" t="s">
        <v>19</v>
      </c>
      <c r="D1187" s="3" t="s">
        <v>749</v>
      </c>
      <c r="E1187" s="3" t="s">
        <v>750</v>
      </c>
      <c r="F1187" s="3">
        <v>1.0</v>
      </c>
      <c r="G1187" s="22">
        <v>-27.77875</v>
      </c>
      <c r="H1187" s="22">
        <v>-48.50586</v>
      </c>
      <c r="I1187" s="5">
        <v>8.0</v>
      </c>
      <c r="J1187" s="5" t="s">
        <v>756</v>
      </c>
      <c r="K1187" s="5" t="s">
        <v>752</v>
      </c>
      <c r="L1187" s="3"/>
      <c r="M1187" s="5">
        <v>7.5</v>
      </c>
      <c r="N1187" s="5" t="s">
        <v>757</v>
      </c>
      <c r="O1187" s="5" t="s">
        <v>758</v>
      </c>
      <c r="P1187" s="3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</row>
    <row r="1188" ht="15.75" customHeight="1">
      <c r="A1188" s="3" t="s">
        <v>747</v>
      </c>
      <c r="B1188" s="3" t="s">
        <v>748</v>
      </c>
      <c r="C1188" s="3" t="s">
        <v>19</v>
      </c>
      <c r="D1188" s="3" t="s">
        <v>749</v>
      </c>
      <c r="E1188" s="3" t="s">
        <v>750</v>
      </c>
      <c r="F1188" s="3">
        <v>1.0</v>
      </c>
      <c r="G1188" s="22">
        <v>-27.77875</v>
      </c>
      <c r="H1188" s="22">
        <v>-48.50586</v>
      </c>
      <c r="I1188" s="5">
        <v>9.0</v>
      </c>
      <c r="J1188" s="5" t="s">
        <v>98</v>
      </c>
      <c r="K1188" s="5" t="s">
        <v>98</v>
      </c>
      <c r="L1188" s="3"/>
      <c r="M1188" s="5">
        <v>8.0</v>
      </c>
      <c r="N1188" s="5">
        <v>36.0</v>
      </c>
      <c r="O1188" s="5"/>
      <c r="P1188" s="3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</row>
    <row r="1189" ht="15.75" customHeight="1">
      <c r="A1189" s="3" t="s">
        <v>747</v>
      </c>
      <c r="B1189" s="3" t="s">
        <v>748</v>
      </c>
      <c r="C1189" s="3" t="s">
        <v>19</v>
      </c>
      <c r="D1189" s="3" t="s">
        <v>749</v>
      </c>
      <c r="E1189" s="3" t="s">
        <v>750</v>
      </c>
      <c r="F1189" s="3">
        <v>1.0</v>
      </c>
      <c r="G1189" s="22">
        <v>-27.77875</v>
      </c>
      <c r="H1189" s="22">
        <v>-48.50586</v>
      </c>
      <c r="I1189" s="5">
        <v>10.0</v>
      </c>
      <c r="J1189" s="5" t="s">
        <v>154</v>
      </c>
      <c r="K1189" s="5" t="s">
        <v>154</v>
      </c>
      <c r="L1189" s="3"/>
      <c r="M1189" s="5">
        <v>10.0</v>
      </c>
      <c r="N1189" s="5">
        <v>40.0</v>
      </c>
      <c r="O1189" s="5"/>
      <c r="P1189" s="3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</row>
    <row r="1190" ht="15.75" customHeight="1">
      <c r="A1190" s="3" t="s">
        <v>747</v>
      </c>
      <c r="B1190" s="3" t="s">
        <v>748</v>
      </c>
      <c r="C1190" s="3" t="s">
        <v>19</v>
      </c>
      <c r="D1190" s="3" t="s">
        <v>749</v>
      </c>
      <c r="E1190" s="3" t="s">
        <v>750</v>
      </c>
      <c r="F1190" s="3">
        <v>1.0</v>
      </c>
      <c r="G1190" s="22">
        <v>-27.77875</v>
      </c>
      <c r="H1190" s="22">
        <v>-48.50586</v>
      </c>
      <c r="I1190" s="5">
        <v>11.0</v>
      </c>
      <c r="J1190" s="5" t="s">
        <v>50</v>
      </c>
      <c r="K1190" s="5" t="s">
        <v>50</v>
      </c>
      <c r="L1190" s="3"/>
      <c r="M1190" s="5">
        <v>12.0</v>
      </c>
      <c r="N1190" s="5" t="s">
        <v>759</v>
      </c>
      <c r="O1190" s="5"/>
      <c r="P1190" s="3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</row>
    <row r="1191" ht="15.75" customHeight="1">
      <c r="A1191" s="3" t="s">
        <v>747</v>
      </c>
      <c r="B1191" s="3" t="s">
        <v>748</v>
      </c>
      <c r="C1191" s="3" t="s">
        <v>19</v>
      </c>
      <c r="D1191" s="3" t="s">
        <v>749</v>
      </c>
      <c r="E1191" s="3" t="s">
        <v>750</v>
      </c>
      <c r="F1191" s="3">
        <v>1.0</v>
      </c>
      <c r="G1191" s="22">
        <v>-27.77875</v>
      </c>
      <c r="H1191" s="22">
        <v>-48.50586</v>
      </c>
      <c r="I1191" s="5">
        <v>12.0</v>
      </c>
      <c r="J1191" s="5" t="s">
        <v>24</v>
      </c>
      <c r="K1191" s="5" t="s">
        <v>24</v>
      </c>
      <c r="L1191" s="3"/>
      <c r="M1191" s="5">
        <v>7.0</v>
      </c>
      <c r="N1191" s="5">
        <v>23.0</v>
      </c>
      <c r="O1191" s="5"/>
      <c r="P1191" s="3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</row>
    <row r="1192" ht="15.75" customHeight="1">
      <c r="A1192" s="3" t="s">
        <v>747</v>
      </c>
      <c r="B1192" s="3" t="s">
        <v>748</v>
      </c>
      <c r="C1192" s="3" t="s">
        <v>19</v>
      </c>
      <c r="D1192" s="3" t="s">
        <v>749</v>
      </c>
      <c r="E1192" s="3" t="s">
        <v>750</v>
      </c>
      <c r="F1192" s="3">
        <v>1.0</v>
      </c>
      <c r="G1192" s="22">
        <v>-27.77875</v>
      </c>
      <c r="H1192" s="22">
        <v>-48.50586</v>
      </c>
      <c r="I1192" s="5">
        <v>13.0</v>
      </c>
      <c r="J1192" s="5" t="s">
        <v>98</v>
      </c>
      <c r="K1192" s="5" t="s">
        <v>98</v>
      </c>
      <c r="L1192" s="3"/>
      <c r="M1192" s="5">
        <v>7.0</v>
      </c>
      <c r="N1192" s="5">
        <v>35.0</v>
      </c>
      <c r="O1192" s="5"/>
      <c r="P1192" s="3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</row>
    <row r="1193" ht="15.75" customHeight="1">
      <c r="A1193" s="3" t="s">
        <v>747</v>
      </c>
      <c r="B1193" s="3" t="s">
        <v>748</v>
      </c>
      <c r="C1193" s="3" t="s">
        <v>19</v>
      </c>
      <c r="D1193" s="3" t="s">
        <v>749</v>
      </c>
      <c r="E1193" s="3" t="s">
        <v>760</v>
      </c>
      <c r="F1193" s="3">
        <v>2.0</v>
      </c>
      <c r="G1193" s="4">
        <v>-27.77869</v>
      </c>
      <c r="H1193" s="4">
        <v>-48.5055</v>
      </c>
      <c r="I1193" s="5">
        <v>1.0</v>
      </c>
      <c r="J1193" s="5" t="s">
        <v>761</v>
      </c>
      <c r="K1193" s="5" t="s">
        <v>761</v>
      </c>
      <c r="L1193" s="3"/>
      <c r="M1193" s="5">
        <v>10.0</v>
      </c>
      <c r="N1193" s="5" t="s">
        <v>762</v>
      </c>
      <c r="O1193" s="5"/>
      <c r="P1193" s="3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</row>
    <row r="1194" ht="15.75" customHeight="1">
      <c r="A1194" s="3" t="s">
        <v>747</v>
      </c>
      <c r="B1194" s="3" t="s">
        <v>748</v>
      </c>
      <c r="C1194" s="3" t="s">
        <v>19</v>
      </c>
      <c r="D1194" s="3" t="s">
        <v>749</v>
      </c>
      <c r="E1194" s="3" t="s">
        <v>760</v>
      </c>
      <c r="F1194" s="3">
        <v>2.0</v>
      </c>
      <c r="G1194" s="4">
        <v>-27.77869</v>
      </c>
      <c r="H1194" s="4">
        <v>-48.5055</v>
      </c>
      <c r="I1194" s="5">
        <v>2.0</v>
      </c>
      <c r="J1194" s="5" t="s">
        <v>658</v>
      </c>
      <c r="K1194" s="5" t="s">
        <v>659</v>
      </c>
      <c r="L1194" s="3"/>
      <c r="M1194" s="5">
        <v>8.0</v>
      </c>
      <c r="N1194" s="5">
        <v>38.0</v>
      </c>
      <c r="O1194" s="5" t="s">
        <v>763</v>
      </c>
      <c r="P1194" s="3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</row>
    <row r="1195" ht="15.75" customHeight="1">
      <c r="A1195" s="3" t="s">
        <v>747</v>
      </c>
      <c r="B1195" s="3" t="s">
        <v>748</v>
      </c>
      <c r="C1195" s="3" t="s">
        <v>19</v>
      </c>
      <c r="D1195" s="3" t="s">
        <v>749</v>
      </c>
      <c r="E1195" s="3" t="s">
        <v>760</v>
      </c>
      <c r="F1195" s="3">
        <v>2.0</v>
      </c>
      <c r="G1195" s="4">
        <v>-27.77869</v>
      </c>
      <c r="H1195" s="4">
        <v>-48.5055</v>
      </c>
      <c r="I1195" s="5">
        <v>3.0</v>
      </c>
      <c r="J1195" s="5" t="s">
        <v>78</v>
      </c>
      <c r="K1195" s="5" t="s">
        <v>78</v>
      </c>
      <c r="L1195" s="3"/>
      <c r="M1195" s="5">
        <v>7.0</v>
      </c>
      <c r="N1195" s="5">
        <v>52.0</v>
      </c>
      <c r="O1195" s="5"/>
      <c r="P1195" s="3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</row>
    <row r="1196" ht="15.75" customHeight="1">
      <c r="A1196" s="3" t="s">
        <v>747</v>
      </c>
      <c r="B1196" s="3" t="s">
        <v>748</v>
      </c>
      <c r="C1196" s="3" t="s">
        <v>19</v>
      </c>
      <c r="D1196" s="3" t="s">
        <v>749</v>
      </c>
      <c r="E1196" s="3" t="s">
        <v>760</v>
      </c>
      <c r="F1196" s="3">
        <v>2.0</v>
      </c>
      <c r="G1196" s="4">
        <v>-27.77869</v>
      </c>
      <c r="H1196" s="4">
        <v>-48.5055</v>
      </c>
      <c r="I1196" s="5">
        <v>4.0</v>
      </c>
      <c r="J1196" s="5" t="s">
        <v>764</v>
      </c>
      <c r="K1196" s="5" t="s">
        <v>752</v>
      </c>
      <c r="L1196" s="3"/>
      <c r="M1196" s="5">
        <v>4.0</v>
      </c>
      <c r="N1196" s="5">
        <v>15.0</v>
      </c>
      <c r="O1196" s="5" t="s">
        <v>765</v>
      </c>
      <c r="P1196" s="3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</row>
    <row r="1197" ht="15.75" customHeight="1">
      <c r="A1197" s="3" t="s">
        <v>747</v>
      </c>
      <c r="B1197" s="3" t="s">
        <v>748</v>
      </c>
      <c r="C1197" s="3" t="s">
        <v>19</v>
      </c>
      <c r="D1197" s="3" t="s">
        <v>749</v>
      </c>
      <c r="E1197" s="3" t="s">
        <v>760</v>
      </c>
      <c r="F1197" s="3">
        <v>2.0</v>
      </c>
      <c r="G1197" s="4">
        <v>-27.77869</v>
      </c>
      <c r="H1197" s="4">
        <v>-48.5055</v>
      </c>
      <c r="I1197" s="5">
        <v>5.0</v>
      </c>
      <c r="J1197" s="5" t="s">
        <v>764</v>
      </c>
      <c r="K1197" s="5" t="s">
        <v>752</v>
      </c>
      <c r="L1197" s="3"/>
      <c r="M1197" s="5">
        <v>3.5</v>
      </c>
      <c r="N1197" s="5">
        <v>15.0</v>
      </c>
      <c r="O1197" s="5"/>
      <c r="P1197" s="3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</row>
    <row r="1198" ht="15.75" customHeight="1">
      <c r="A1198" s="3" t="s">
        <v>747</v>
      </c>
      <c r="B1198" s="3" t="s">
        <v>748</v>
      </c>
      <c r="C1198" s="3" t="s">
        <v>19</v>
      </c>
      <c r="D1198" s="3" t="s">
        <v>749</v>
      </c>
      <c r="E1198" s="3" t="s">
        <v>760</v>
      </c>
      <c r="F1198" s="3">
        <v>2.0</v>
      </c>
      <c r="G1198" s="4">
        <v>-27.77869</v>
      </c>
      <c r="H1198" s="4">
        <v>-48.5055</v>
      </c>
      <c r="I1198" s="5">
        <v>6.0</v>
      </c>
      <c r="J1198" s="5" t="s">
        <v>78</v>
      </c>
      <c r="K1198" s="5" t="s">
        <v>78</v>
      </c>
      <c r="L1198" s="3"/>
      <c r="M1198" s="5">
        <v>5.5</v>
      </c>
      <c r="N1198" s="5">
        <v>18.0</v>
      </c>
      <c r="O1198" s="5"/>
      <c r="P1198" s="3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</row>
    <row r="1199" ht="15.75" customHeight="1">
      <c r="A1199" s="3" t="s">
        <v>747</v>
      </c>
      <c r="B1199" s="3" t="s">
        <v>748</v>
      </c>
      <c r="C1199" s="3" t="s">
        <v>19</v>
      </c>
      <c r="D1199" s="3" t="s">
        <v>749</v>
      </c>
      <c r="E1199" s="3" t="s">
        <v>760</v>
      </c>
      <c r="F1199" s="3">
        <v>2.0</v>
      </c>
      <c r="G1199" s="4">
        <v>-27.77869</v>
      </c>
      <c r="H1199" s="4">
        <v>-48.5055</v>
      </c>
      <c r="I1199" s="5">
        <v>7.0</v>
      </c>
      <c r="J1199" s="5" t="s">
        <v>100</v>
      </c>
      <c r="K1199" s="5" t="s">
        <v>100</v>
      </c>
      <c r="L1199" s="3"/>
      <c r="M1199" s="5">
        <v>5.0</v>
      </c>
      <c r="N1199" s="5">
        <v>18.5</v>
      </c>
      <c r="O1199" s="5"/>
      <c r="P1199" s="3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</row>
    <row r="1200" ht="15.75" customHeight="1">
      <c r="A1200" s="3" t="s">
        <v>747</v>
      </c>
      <c r="B1200" s="3" t="s">
        <v>748</v>
      </c>
      <c r="C1200" s="3" t="s">
        <v>19</v>
      </c>
      <c r="D1200" s="3" t="s">
        <v>749</v>
      </c>
      <c r="E1200" s="3" t="s">
        <v>760</v>
      </c>
      <c r="F1200" s="3">
        <v>2.0</v>
      </c>
      <c r="G1200" s="4">
        <v>-27.77869</v>
      </c>
      <c r="H1200" s="4">
        <v>-48.5055</v>
      </c>
      <c r="I1200" s="5">
        <v>8.0</v>
      </c>
      <c r="J1200" s="5" t="s">
        <v>761</v>
      </c>
      <c r="K1200" s="5" t="s">
        <v>761</v>
      </c>
      <c r="L1200" s="3"/>
      <c r="M1200" s="5">
        <v>10.0</v>
      </c>
      <c r="N1200" s="5" t="s">
        <v>766</v>
      </c>
      <c r="O1200" s="5"/>
      <c r="P1200" s="3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</row>
    <row r="1201" ht="15.75" customHeight="1">
      <c r="A1201" s="3" t="s">
        <v>747</v>
      </c>
      <c r="B1201" s="3" t="s">
        <v>748</v>
      </c>
      <c r="C1201" s="3" t="s">
        <v>19</v>
      </c>
      <c r="D1201" s="3" t="s">
        <v>749</v>
      </c>
      <c r="E1201" s="3" t="s">
        <v>760</v>
      </c>
      <c r="F1201" s="3">
        <v>2.0</v>
      </c>
      <c r="G1201" s="4">
        <v>-27.77869</v>
      </c>
      <c r="H1201" s="4">
        <v>-48.5055</v>
      </c>
      <c r="I1201" s="5">
        <v>9.0</v>
      </c>
      <c r="J1201" s="5" t="s">
        <v>767</v>
      </c>
      <c r="K1201" s="5" t="s">
        <v>767</v>
      </c>
      <c r="L1201" s="3"/>
      <c r="M1201" s="5">
        <v>5.5</v>
      </c>
      <c r="N1201" s="5">
        <v>27.0</v>
      </c>
      <c r="O1201" s="5"/>
      <c r="P1201" s="3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</row>
    <row r="1202" ht="15.75" customHeight="1">
      <c r="A1202" s="3" t="s">
        <v>747</v>
      </c>
      <c r="B1202" s="3" t="s">
        <v>748</v>
      </c>
      <c r="C1202" s="3" t="s">
        <v>19</v>
      </c>
      <c r="D1202" s="3" t="s">
        <v>749</v>
      </c>
      <c r="E1202" s="3" t="s">
        <v>760</v>
      </c>
      <c r="F1202" s="3">
        <v>2.0</v>
      </c>
      <c r="G1202" s="4">
        <v>-27.77869</v>
      </c>
      <c r="H1202" s="4">
        <v>-48.5055</v>
      </c>
      <c r="I1202" s="5">
        <v>10.0</v>
      </c>
      <c r="J1202" s="5" t="s">
        <v>767</v>
      </c>
      <c r="K1202" s="5" t="s">
        <v>767</v>
      </c>
      <c r="L1202" s="3"/>
      <c r="M1202" s="5">
        <v>6.0</v>
      </c>
      <c r="N1202" s="5">
        <v>30.0</v>
      </c>
      <c r="O1202" s="5"/>
      <c r="P1202" s="3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</row>
    <row r="1203" ht="15.75" customHeight="1">
      <c r="A1203" s="3" t="s">
        <v>747</v>
      </c>
      <c r="B1203" s="3" t="s">
        <v>748</v>
      </c>
      <c r="C1203" s="3" t="s">
        <v>19</v>
      </c>
      <c r="D1203" s="3" t="s">
        <v>749</v>
      </c>
      <c r="E1203" s="3" t="s">
        <v>760</v>
      </c>
      <c r="F1203" s="3">
        <v>2.0</v>
      </c>
      <c r="G1203" s="4">
        <v>-27.77869</v>
      </c>
      <c r="H1203" s="4">
        <v>-48.5055</v>
      </c>
      <c r="I1203" s="5">
        <v>11.0</v>
      </c>
      <c r="J1203" s="5" t="s">
        <v>767</v>
      </c>
      <c r="K1203" s="5" t="s">
        <v>767</v>
      </c>
      <c r="L1203" s="3"/>
      <c r="M1203" s="5">
        <v>4.5</v>
      </c>
      <c r="N1203" s="5">
        <v>25.5</v>
      </c>
      <c r="O1203" s="5"/>
      <c r="P1203" s="3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</row>
    <row r="1204" ht="15.75" customHeight="1">
      <c r="A1204" s="3" t="s">
        <v>747</v>
      </c>
      <c r="B1204" s="3" t="s">
        <v>748</v>
      </c>
      <c r="C1204" s="3" t="s">
        <v>19</v>
      </c>
      <c r="D1204" s="3" t="s">
        <v>749</v>
      </c>
      <c r="E1204" s="3" t="s">
        <v>760</v>
      </c>
      <c r="F1204" s="3">
        <v>2.0</v>
      </c>
      <c r="G1204" s="4">
        <v>-27.77869</v>
      </c>
      <c r="H1204" s="4">
        <v>-48.5055</v>
      </c>
      <c r="I1204" s="5">
        <v>12.0</v>
      </c>
      <c r="J1204" s="5" t="s">
        <v>767</v>
      </c>
      <c r="K1204" s="5" t="s">
        <v>767</v>
      </c>
      <c r="L1204" s="3"/>
      <c r="M1204" s="5">
        <v>7.0</v>
      </c>
      <c r="N1204" s="5">
        <v>33.0</v>
      </c>
      <c r="O1204" s="5"/>
      <c r="P1204" s="3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</row>
    <row r="1205" ht="15.75" customHeight="1">
      <c r="A1205" s="3" t="s">
        <v>747</v>
      </c>
      <c r="B1205" s="3" t="s">
        <v>748</v>
      </c>
      <c r="C1205" s="3" t="s">
        <v>19</v>
      </c>
      <c r="D1205" s="3" t="s">
        <v>749</v>
      </c>
      <c r="E1205" s="3" t="s">
        <v>760</v>
      </c>
      <c r="F1205" s="3">
        <v>2.0</v>
      </c>
      <c r="G1205" s="4">
        <v>-27.77869</v>
      </c>
      <c r="H1205" s="4">
        <v>-48.5055</v>
      </c>
      <c r="I1205" s="5">
        <v>13.0</v>
      </c>
      <c r="J1205" s="5" t="s">
        <v>767</v>
      </c>
      <c r="K1205" s="5" t="s">
        <v>767</v>
      </c>
      <c r="L1205" s="3"/>
      <c r="M1205" s="5">
        <v>3.0</v>
      </c>
      <c r="N1205" s="5">
        <v>28.5</v>
      </c>
      <c r="O1205" s="5"/>
      <c r="P1205" s="3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</row>
    <row r="1206" ht="15.75" customHeight="1">
      <c r="A1206" s="3" t="s">
        <v>747</v>
      </c>
      <c r="B1206" s="3" t="s">
        <v>748</v>
      </c>
      <c r="C1206" s="3" t="s">
        <v>19</v>
      </c>
      <c r="D1206" s="3" t="s">
        <v>749</v>
      </c>
      <c r="E1206" s="3" t="s">
        <v>760</v>
      </c>
      <c r="F1206" s="3">
        <v>2.0</v>
      </c>
      <c r="G1206" s="4">
        <v>-27.77869</v>
      </c>
      <c r="H1206" s="4">
        <v>-48.5055</v>
      </c>
      <c r="I1206" s="5">
        <v>14.0</v>
      </c>
      <c r="J1206" s="14" t="s">
        <v>768</v>
      </c>
      <c r="K1206" s="14" t="s">
        <v>769</v>
      </c>
      <c r="L1206" s="3"/>
      <c r="M1206" s="5">
        <v>3.0</v>
      </c>
      <c r="N1206" s="5">
        <v>28.5</v>
      </c>
      <c r="O1206" s="5" t="s">
        <v>770</v>
      </c>
      <c r="P1206" s="3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</row>
    <row r="1207" ht="15.75" customHeight="1">
      <c r="A1207" s="3" t="s">
        <v>747</v>
      </c>
      <c r="B1207" s="3" t="s">
        <v>748</v>
      </c>
      <c r="C1207" s="3" t="s">
        <v>19</v>
      </c>
      <c r="D1207" s="3" t="s">
        <v>749</v>
      </c>
      <c r="E1207" s="3" t="s">
        <v>760</v>
      </c>
      <c r="F1207" s="3">
        <v>2.0</v>
      </c>
      <c r="G1207" s="4">
        <v>-27.77869</v>
      </c>
      <c r="H1207" s="4">
        <v>-48.5055</v>
      </c>
      <c r="I1207" s="5">
        <v>15.0</v>
      </c>
      <c r="J1207" s="5" t="s">
        <v>771</v>
      </c>
      <c r="K1207" s="5" t="s">
        <v>326</v>
      </c>
      <c r="L1207" s="3"/>
      <c r="M1207" s="5">
        <v>7.0</v>
      </c>
      <c r="N1207" s="5">
        <v>35.0</v>
      </c>
      <c r="O1207" s="5" t="s">
        <v>772</v>
      </c>
      <c r="P1207" s="3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</row>
    <row r="1208" ht="15.75" customHeight="1">
      <c r="A1208" s="3" t="s">
        <v>747</v>
      </c>
      <c r="B1208" s="3" t="s">
        <v>748</v>
      </c>
      <c r="C1208" s="3" t="s">
        <v>19</v>
      </c>
      <c r="D1208" s="3" t="s">
        <v>749</v>
      </c>
      <c r="E1208" s="3" t="s">
        <v>760</v>
      </c>
      <c r="F1208" s="3">
        <v>2.0</v>
      </c>
      <c r="G1208" s="4">
        <v>-27.77869</v>
      </c>
      <c r="H1208" s="4">
        <v>-48.5055</v>
      </c>
      <c r="I1208" s="5">
        <v>16.0</v>
      </c>
      <c r="J1208" s="5" t="s">
        <v>120</v>
      </c>
      <c r="K1208" s="5" t="s">
        <v>120</v>
      </c>
      <c r="L1208" s="3"/>
      <c r="M1208" s="5">
        <v>6.0</v>
      </c>
      <c r="N1208" s="5">
        <v>18.0</v>
      </c>
      <c r="O1208" s="5"/>
      <c r="P1208" s="3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</row>
    <row r="1209" ht="15.75" customHeight="1">
      <c r="A1209" s="3" t="s">
        <v>747</v>
      </c>
      <c r="B1209" s="3" t="s">
        <v>748</v>
      </c>
      <c r="C1209" s="3" t="s">
        <v>19</v>
      </c>
      <c r="D1209" s="3" t="s">
        <v>749</v>
      </c>
      <c r="E1209" s="3" t="s">
        <v>760</v>
      </c>
      <c r="F1209" s="3">
        <v>2.0</v>
      </c>
      <c r="G1209" s="4">
        <v>-27.77869</v>
      </c>
      <c r="H1209" s="4">
        <v>-48.5055</v>
      </c>
      <c r="I1209" s="5">
        <v>17.0</v>
      </c>
      <c r="J1209" s="5" t="s">
        <v>108</v>
      </c>
      <c r="K1209" s="5" t="s">
        <v>108</v>
      </c>
      <c r="L1209" s="3"/>
      <c r="M1209" s="5">
        <v>8.0</v>
      </c>
      <c r="N1209" s="5">
        <v>55.0</v>
      </c>
      <c r="O1209" s="5"/>
      <c r="P1209" s="3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</row>
    <row r="1210" ht="15.75" customHeight="1">
      <c r="A1210" s="3" t="s">
        <v>747</v>
      </c>
      <c r="B1210" s="3" t="s">
        <v>748</v>
      </c>
      <c r="C1210" s="3" t="s">
        <v>19</v>
      </c>
      <c r="D1210" s="3" t="s">
        <v>749</v>
      </c>
      <c r="E1210" s="3" t="s">
        <v>760</v>
      </c>
      <c r="F1210" s="3">
        <v>2.0</v>
      </c>
      <c r="G1210" s="4">
        <v>-27.77869</v>
      </c>
      <c r="H1210" s="4">
        <v>-48.5055</v>
      </c>
      <c r="I1210" s="5">
        <v>18.0</v>
      </c>
      <c r="J1210" s="5" t="s">
        <v>98</v>
      </c>
      <c r="K1210" s="5" t="s">
        <v>98</v>
      </c>
      <c r="L1210" s="3"/>
      <c r="M1210" s="5">
        <v>8.0</v>
      </c>
      <c r="N1210" s="5">
        <v>38.0</v>
      </c>
      <c r="O1210" s="5"/>
      <c r="P1210" s="3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</row>
    <row r="1211" ht="15.75" customHeight="1">
      <c r="A1211" s="3" t="s">
        <v>747</v>
      </c>
      <c r="B1211" s="3" t="s">
        <v>748</v>
      </c>
      <c r="C1211" s="3" t="s">
        <v>19</v>
      </c>
      <c r="D1211" s="3" t="s">
        <v>749</v>
      </c>
      <c r="E1211" s="3" t="s">
        <v>760</v>
      </c>
      <c r="F1211" s="3">
        <v>2.0</v>
      </c>
      <c r="G1211" s="4">
        <v>-27.77869</v>
      </c>
      <c r="H1211" s="4">
        <v>-48.5055</v>
      </c>
      <c r="I1211" s="5">
        <v>19.0</v>
      </c>
      <c r="J1211" s="5" t="s">
        <v>50</v>
      </c>
      <c r="K1211" s="5" t="s">
        <v>50</v>
      </c>
      <c r="L1211" s="3"/>
      <c r="M1211" s="5">
        <v>10.0</v>
      </c>
      <c r="N1211" s="5">
        <v>51.0</v>
      </c>
      <c r="O1211" s="5"/>
      <c r="P1211" s="3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</row>
    <row r="1212" ht="15.75" customHeight="1">
      <c r="A1212" s="3" t="s">
        <v>747</v>
      </c>
      <c r="B1212" s="3" t="s">
        <v>748</v>
      </c>
      <c r="C1212" s="3" t="s">
        <v>19</v>
      </c>
      <c r="D1212" s="3" t="s">
        <v>749</v>
      </c>
      <c r="E1212" s="3" t="s">
        <v>760</v>
      </c>
      <c r="F1212" s="3">
        <v>2.0</v>
      </c>
      <c r="G1212" s="4">
        <v>-27.77869</v>
      </c>
      <c r="H1212" s="4">
        <v>-48.5055</v>
      </c>
      <c r="I1212" s="5">
        <v>20.0</v>
      </c>
      <c r="J1212" s="5" t="s">
        <v>773</v>
      </c>
      <c r="K1212" s="5" t="s">
        <v>488</v>
      </c>
      <c r="L1212" s="3"/>
      <c r="M1212" s="5">
        <v>8.0</v>
      </c>
      <c r="N1212" s="5">
        <v>21.0</v>
      </c>
      <c r="O1212" s="5" t="s">
        <v>774</v>
      </c>
      <c r="P1212" s="3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</row>
    <row r="1213" ht="15.75" customHeight="1">
      <c r="A1213" s="3" t="s">
        <v>747</v>
      </c>
      <c r="B1213" s="3" t="s">
        <v>748</v>
      </c>
      <c r="C1213" s="3" t="s">
        <v>19</v>
      </c>
      <c r="D1213" s="3" t="s">
        <v>749</v>
      </c>
      <c r="E1213" s="3" t="s">
        <v>760</v>
      </c>
      <c r="F1213" s="3">
        <v>2.0</v>
      </c>
      <c r="G1213" s="4">
        <v>-27.77869</v>
      </c>
      <c r="H1213" s="4">
        <v>-48.5055</v>
      </c>
      <c r="I1213" s="5">
        <v>21.0</v>
      </c>
      <c r="J1213" s="5" t="s">
        <v>773</v>
      </c>
      <c r="K1213" s="5" t="s">
        <v>488</v>
      </c>
      <c r="L1213" s="3"/>
      <c r="M1213" s="5">
        <v>8.0</v>
      </c>
      <c r="N1213" s="5">
        <v>31.0</v>
      </c>
      <c r="O1213" s="5"/>
      <c r="P1213" s="3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</row>
    <row r="1214" ht="15.75" customHeight="1">
      <c r="A1214" s="3" t="s">
        <v>747</v>
      </c>
      <c r="B1214" s="3" t="s">
        <v>748</v>
      </c>
      <c r="C1214" s="3" t="s">
        <v>19</v>
      </c>
      <c r="D1214" s="3" t="s">
        <v>749</v>
      </c>
      <c r="E1214" s="3" t="s">
        <v>760</v>
      </c>
      <c r="F1214" s="3">
        <v>2.0</v>
      </c>
      <c r="G1214" s="4">
        <v>-27.77869</v>
      </c>
      <c r="H1214" s="4">
        <v>-48.5055</v>
      </c>
      <c r="I1214" s="5">
        <v>22.0</v>
      </c>
      <c r="J1214" s="5" t="s">
        <v>153</v>
      </c>
      <c r="K1214" s="5" t="s">
        <v>153</v>
      </c>
      <c r="L1214" s="3"/>
      <c r="M1214" s="5">
        <v>7.5</v>
      </c>
      <c r="N1214" s="5">
        <v>28.0</v>
      </c>
      <c r="O1214" s="5"/>
      <c r="P1214" s="3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</row>
    <row r="1215" ht="15.75" customHeight="1">
      <c r="A1215" s="3" t="s">
        <v>747</v>
      </c>
      <c r="B1215" s="3" t="s">
        <v>748</v>
      </c>
      <c r="C1215" s="3" t="s">
        <v>19</v>
      </c>
      <c r="D1215" s="3" t="s">
        <v>749</v>
      </c>
      <c r="E1215" s="3" t="s">
        <v>760</v>
      </c>
      <c r="F1215" s="3">
        <v>2.0</v>
      </c>
      <c r="G1215" s="4">
        <v>-27.77869</v>
      </c>
      <c r="H1215" s="4">
        <v>-48.5055</v>
      </c>
      <c r="I1215" s="5">
        <v>23.0</v>
      </c>
      <c r="J1215" s="5" t="s">
        <v>98</v>
      </c>
      <c r="K1215" s="5" t="s">
        <v>98</v>
      </c>
      <c r="L1215" s="3"/>
      <c r="M1215" s="5">
        <v>5.0</v>
      </c>
      <c r="N1215" s="5">
        <v>19.0</v>
      </c>
      <c r="O1215" s="5"/>
      <c r="P1215" s="3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</row>
    <row r="1216" ht="15.75" customHeight="1">
      <c r="A1216" s="3" t="s">
        <v>747</v>
      </c>
      <c r="B1216" s="3" t="s">
        <v>748</v>
      </c>
      <c r="C1216" s="3" t="s">
        <v>19</v>
      </c>
      <c r="D1216" s="3" t="s">
        <v>749</v>
      </c>
      <c r="E1216" s="3" t="s">
        <v>760</v>
      </c>
      <c r="F1216" s="3">
        <v>2.0</v>
      </c>
      <c r="G1216" s="4">
        <v>-27.77869</v>
      </c>
      <c r="H1216" s="4">
        <v>-48.5055</v>
      </c>
      <c r="I1216" s="5">
        <v>24.0</v>
      </c>
      <c r="J1216" s="5" t="s">
        <v>773</v>
      </c>
      <c r="K1216" s="5" t="s">
        <v>488</v>
      </c>
      <c r="L1216" s="3"/>
      <c r="M1216" s="5">
        <v>6.0</v>
      </c>
      <c r="N1216" s="5">
        <v>24.0</v>
      </c>
      <c r="O1216" s="5"/>
      <c r="P1216" s="3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</row>
    <row r="1217" ht="15.75" customHeight="1">
      <c r="A1217" s="3" t="s">
        <v>747</v>
      </c>
      <c r="B1217" s="3" t="s">
        <v>748</v>
      </c>
      <c r="C1217" s="3" t="s">
        <v>19</v>
      </c>
      <c r="D1217" s="3" t="s">
        <v>749</v>
      </c>
      <c r="E1217" s="3" t="s">
        <v>760</v>
      </c>
      <c r="F1217" s="3">
        <v>2.0</v>
      </c>
      <c r="G1217" s="4">
        <v>-27.77869</v>
      </c>
      <c r="H1217" s="4">
        <v>-48.5055</v>
      </c>
      <c r="I1217" s="5">
        <v>25.0</v>
      </c>
      <c r="J1217" s="5" t="s">
        <v>98</v>
      </c>
      <c r="K1217" s="5" t="s">
        <v>98</v>
      </c>
      <c r="L1217" s="3"/>
      <c r="M1217" s="5">
        <v>9.0</v>
      </c>
      <c r="N1217" s="5">
        <v>46.0</v>
      </c>
      <c r="O1217" s="5"/>
      <c r="P1217" s="3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</row>
    <row r="1218" ht="15.75" customHeight="1">
      <c r="A1218" s="3" t="s">
        <v>747</v>
      </c>
      <c r="B1218" s="3" t="s">
        <v>748</v>
      </c>
      <c r="C1218" s="3" t="s">
        <v>19</v>
      </c>
      <c r="D1218" s="3" t="s">
        <v>749</v>
      </c>
      <c r="E1218" s="3" t="s">
        <v>760</v>
      </c>
      <c r="F1218" s="3">
        <v>2.0</v>
      </c>
      <c r="G1218" s="4">
        <v>-27.77869</v>
      </c>
      <c r="H1218" s="4">
        <v>-48.5055</v>
      </c>
      <c r="I1218" s="5">
        <v>26.0</v>
      </c>
      <c r="J1218" s="5" t="s">
        <v>761</v>
      </c>
      <c r="K1218" s="5" t="s">
        <v>761</v>
      </c>
      <c r="L1218" s="3"/>
      <c r="M1218" s="5">
        <v>12.0</v>
      </c>
      <c r="N1218" s="5">
        <v>47.0</v>
      </c>
      <c r="O1218" s="5"/>
      <c r="P1218" s="3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</row>
    <row r="1219" ht="15.75" customHeight="1">
      <c r="A1219" s="3" t="s">
        <v>747</v>
      </c>
      <c r="B1219" s="3" t="s">
        <v>748</v>
      </c>
      <c r="C1219" s="3" t="s">
        <v>19</v>
      </c>
      <c r="D1219" s="3" t="s">
        <v>749</v>
      </c>
      <c r="E1219" s="3" t="s">
        <v>775</v>
      </c>
      <c r="F1219" s="3">
        <v>3.0</v>
      </c>
      <c r="G1219" s="4">
        <v>-27.77925</v>
      </c>
      <c r="H1219" s="4">
        <v>-48.50512</v>
      </c>
      <c r="I1219" s="5">
        <v>1.0</v>
      </c>
      <c r="J1219" s="5" t="s">
        <v>452</v>
      </c>
      <c r="K1219" s="5" t="s">
        <v>776</v>
      </c>
      <c r="L1219" s="3"/>
      <c r="M1219" s="5">
        <v>7.0</v>
      </c>
      <c r="N1219" s="5" t="s">
        <v>777</v>
      </c>
      <c r="O1219" s="5" t="s">
        <v>778</v>
      </c>
      <c r="P1219" s="3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</row>
    <row r="1220" ht="15.75" customHeight="1">
      <c r="A1220" s="3" t="s">
        <v>747</v>
      </c>
      <c r="B1220" s="3" t="s">
        <v>748</v>
      </c>
      <c r="C1220" s="3" t="s">
        <v>19</v>
      </c>
      <c r="D1220" s="3" t="s">
        <v>749</v>
      </c>
      <c r="E1220" s="3" t="s">
        <v>775</v>
      </c>
      <c r="F1220" s="3">
        <v>3.0</v>
      </c>
      <c r="G1220" s="4">
        <v>-27.77925</v>
      </c>
      <c r="H1220" s="4">
        <v>-48.50512</v>
      </c>
      <c r="I1220" s="5">
        <v>2.0</v>
      </c>
      <c r="J1220" s="5" t="s">
        <v>175</v>
      </c>
      <c r="K1220" s="5" t="s">
        <v>175</v>
      </c>
      <c r="L1220" s="3"/>
      <c r="M1220" s="5">
        <v>7.5</v>
      </c>
      <c r="N1220" s="5">
        <v>23.5</v>
      </c>
      <c r="O1220" s="5"/>
      <c r="P1220" s="3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</row>
    <row r="1221" ht="15.75" customHeight="1">
      <c r="A1221" s="3" t="s">
        <v>747</v>
      </c>
      <c r="B1221" s="3" t="s">
        <v>748</v>
      </c>
      <c r="C1221" s="3" t="s">
        <v>19</v>
      </c>
      <c r="D1221" s="3" t="s">
        <v>749</v>
      </c>
      <c r="E1221" s="3" t="s">
        <v>775</v>
      </c>
      <c r="F1221" s="3">
        <v>3.0</v>
      </c>
      <c r="G1221" s="4">
        <v>-27.77925</v>
      </c>
      <c r="H1221" s="4">
        <v>-48.50512</v>
      </c>
      <c r="I1221" s="5">
        <v>3.0</v>
      </c>
      <c r="J1221" s="5" t="s">
        <v>767</v>
      </c>
      <c r="K1221" s="5" t="s">
        <v>767</v>
      </c>
      <c r="L1221" s="3"/>
      <c r="M1221" s="5">
        <v>8.0</v>
      </c>
      <c r="N1221" s="5">
        <v>29.5</v>
      </c>
      <c r="O1221" s="5"/>
      <c r="P1221" s="3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</row>
    <row r="1222" ht="15.75" customHeight="1">
      <c r="A1222" s="3" t="s">
        <v>747</v>
      </c>
      <c r="B1222" s="3" t="s">
        <v>748</v>
      </c>
      <c r="C1222" s="3" t="s">
        <v>19</v>
      </c>
      <c r="D1222" s="3" t="s">
        <v>749</v>
      </c>
      <c r="E1222" s="3" t="s">
        <v>775</v>
      </c>
      <c r="F1222" s="3">
        <v>3.0</v>
      </c>
      <c r="G1222" s="4">
        <v>-27.77925</v>
      </c>
      <c r="H1222" s="4">
        <v>-48.50512</v>
      </c>
      <c r="I1222" s="5">
        <v>4.0</v>
      </c>
      <c r="J1222" s="12" t="s">
        <v>779</v>
      </c>
      <c r="K1222" s="12" t="s">
        <v>779</v>
      </c>
      <c r="L1222" s="3"/>
      <c r="M1222" s="5">
        <v>7.5</v>
      </c>
      <c r="N1222" s="5" t="s">
        <v>780</v>
      </c>
      <c r="O1222" s="11"/>
      <c r="P1222" s="5" t="s">
        <v>77</v>
      </c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</row>
    <row r="1223" ht="15.75" customHeight="1">
      <c r="A1223" s="3" t="s">
        <v>747</v>
      </c>
      <c r="B1223" s="3" t="s">
        <v>748</v>
      </c>
      <c r="C1223" s="3" t="s">
        <v>19</v>
      </c>
      <c r="D1223" s="3" t="s">
        <v>749</v>
      </c>
      <c r="E1223" s="3" t="s">
        <v>775</v>
      </c>
      <c r="F1223" s="3">
        <v>3.0</v>
      </c>
      <c r="G1223" s="4">
        <v>-27.77925</v>
      </c>
      <c r="H1223" s="4">
        <v>-48.50512</v>
      </c>
      <c r="I1223" s="5">
        <v>5.0</v>
      </c>
      <c r="J1223" s="5" t="s">
        <v>154</v>
      </c>
      <c r="K1223" s="5" t="s">
        <v>154</v>
      </c>
      <c r="L1223" s="3"/>
      <c r="M1223" s="5">
        <v>8.0</v>
      </c>
      <c r="N1223" s="5">
        <v>35.0</v>
      </c>
      <c r="O1223" s="5"/>
      <c r="P1223" s="3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</row>
    <row r="1224" ht="15.75" customHeight="1">
      <c r="A1224" s="3" t="s">
        <v>747</v>
      </c>
      <c r="B1224" s="3" t="s">
        <v>748</v>
      </c>
      <c r="C1224" s="3" t="s">
        <v>19</v>
      </c>
      <c r="D1224" s="3" t="s">
        <v>749</v>
      </c>
      <c r="E1224" s="3" t="s">
        <v>775</v>
      </c>
      <c r="F1224" s="3">
        <v>3.0</v>
      </c>
      <c r="G1224" s="4">
        <v>-27.77925</v>
      </c>
      <c r="H1224" s="4">
        <v>-48.50512</v>
      </c>
      <c r="I1224" s="5">
        <v>6.0</v>
      </c>
      <c r="J1224" s="5" t="s">
        <v>98</v>
      </c>
      <c r="K1224" s="5" t="s">
        <v>98</v>
      </c>
      <c r="L1224" s="3"/>
      <c r="M1224" s="5">
        <v>11.0</v>
      </c>
      <c r="N1224" s="5" t="s">
        <v>781</v>
      </c>
      <c r="O1224" s="5"/>
      <c r="P1224" s="3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</row>
    <row r="1225" ht="15.75" customHeight="1">
      <c r="A1225" s="3" t="s">
        <v>747</v>
      </c>
      <c r="B1225" s="3" t="s">
        <v>748</v>
      </c>
      <c r="C1225" s="3" t="s">
        <v>19</v>
      </c>
      <c r="D1225" s="3" t="s">
        <v>749</v>
      </c>
      <c r="E1225" s="3" t="s">
        <v>775</v>
      </c>
      <c r="F1225" s="3">
        <v>3.0</v>
      </c>
      <c r="G1225" s="4">
        <v>-27.77925</v>
      </c>
      <c r="H1225" s="4">
        <v>-48.50512</v>
      </c>
      <c r="I1225" s="5">
        <v>7.0</v>
      </c>
      <c r="J1225" s="12" t="s">
        <v>779</v>
      </c>
      <c r="K1225" s="12" t="s">
        <v>779</v>
      </c>
      <c r="L1225" s="3"/>
      <c r="M1225" s="5">
        <v>8.0</v>
      </c>
      <c r="N1225" s="5" t="s">
        <v>445</v>
      </c>
      <c r="O1225" s="5"/>
      <c r="P1225" s="3" t="s">
        <v>782</v>
      </c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</row>
    <row r="1226" ht="15.75" customHeight="1">
      <c r="A1226" s="3" t="s">
        <v>747</v>
      </c>
      <c r="B1226" s="3" t="s">
        <v>748</v>
      </c>
      <c r="C1226" s="3" t="s">
        <v>19</v>
      </c>
      <c r="D1226" s="3" t="s">
        <v>749</v>
      </c>
      <c r="E1226" s="3" t="s">
        <v>775</v>
      </c>
      <c r="F1226" s="3">
        <v>3.0</v>
      </c>
      <c r="G1226" s="4">
        <v>-27.77925</v>
      </c>
      <c r="H1226" s="4">
        <v>-48.50512</v>
      </c>
      <c r="I1226" s="5">
        <v>8.0</v>
      </c>
      <c r="J1226" s="5" t="s">
        <v>98</v>
      </c>
      <c r="K1226" s="12" t="s">
        <v>98</v>
      </c>
      <c r="L1226" s="3"/>
      <c r="M1226" s="5">
        <v>6.0</v>
      </c>
      <c r="N1226" s="5">
        <v>23.5</v>
      </c>
      <c r="O1226" s="5"/>
      <c r="P1226" s="3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</row>
    <row r="1227" ht="15.75" customHeight="1">
      <c r="A1227" s="3" t="s">
        <v>747</v>
      </c>
      <c r="B1227" s="3" t="s">
        <v>748</v>
      </c>
      <c r="C1227" s="3" t="s">
        <v>19</v>
      </c>
      <c r="D1227" s="3" t="s">
        <v>749</v>
      </c>
      <c r="E1227" s="3" t="s">
        <v>775</v>
      </c>
      <c r="F1227" s="3">
        <v>3.0</v>
      </c>
      <c r="G1227" s="4">
        <v>-27.77925</v>
      </c>
      <c r="H1227" s="4">
        <v>-48.50512</v>
      </c>
      <c r="I1227" s="5">
        <v>9.0</v>
      </c>
      <c r="J1227" s="5" t="s">
        <v>164</v>
      </c>
      <c r="K1227" s="12" t="s">
        <v>164</v>
      </c>
      <c r="L1227" s="3"/>
      <c r="M1227" s="5">
        <v>8.0</v>
      </c>
      <c r="N1227" s="5">
        <v>36.0</v>
      </c>
      <c r="O1227" s="5"/>
      <c r="P1227" s="3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</row>
    <row r="1228" ht="15.75" customHeight="1">
      <c r="A1228" s="3" t="s">
        <v>747</v>
      </c>
      <c r="B1228" s="3" t="s">
        <v>748</v>
      </c>
      <c r="C1228" s="3" t="s">
        <v>19</v>
      </c>
      <c r="D1228" s="3" t="s">
        <v>749</v>
      </c>
      <c r="E1228" s="3" t="s">
        <v>775</v>
      </c>
      <c r="F1228" s="3">
        <v>3.0</v>
      </c>
      <c r="G1228" s="4">
        <v>-27.77925</v>
      </c>
      <c r="H1228" s="4">
        <v>-48.50512</v>
      </c>
      <c r="I1228" s="5">
        <v>10.0</v>
      </c>
      <c r="J1228" s="19" t="s">
        <v>783</v>
      </c>
      <c r="K1228" s="12" t="s">
        <v>98</v>
      </c>
      <c r="L1228" s="3"/>
      <c r="M1228" s="5">
        <v>7.5</v>
      </c>
      <c r="N1228" s="5">
        <v>26.5</v>
      </c>
      <c r="O1228" s="5" t="s">
        <v>784</v>
      </c>
      <c r="P1228" s="3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</row>
    <row r="1229" ht="15.75" customHeight="1">
      <c r="A1229" s="3" t="s">
        <v>747</v>
      </c>
      <c r="B1229" s="3" t="s">
        <v>748</v>
      </c>
      <c r="C1229" s="3" t="s">
        <v>19</v>
      </c>
      <c r="D1229" s="3" t="s">
        <v>749</v>
      </c>
      <c r="E1229" s="3" t="s">
        <v>775</v>
      </c>
      <c r="F1229" s="3">
        <v>3.0</v>
      </c>
      <c r="G1229" s="4">
        <v>-27.77925</v>
      </c>
      <c r="H1229" s="4">
        <v>-48.50512</v>
      </c>
      <c r="I1229" s="5">
        <v>11.0</v>
      </c>
      <c r="J1229" s="5" t="s">
        <v>78</v>
      </c>
      <c r="K1229" s="12" t="s">
        <v>78</v>
      </c>
      <c r="L1229" s="3"/>
      <c r="M1229" s="5">
        <v>6.5</v>
      </c>
      <c r="N1229" s="5">
        <v>20.0</v>
      </c>
      <c r="O1229" s="5"/>
      <c r="P1229" s="3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</row>
    <row r="1230" ht="15.75" customHeight="1">
      <c r="A1230" s="3" t="s">
        <v>747</v>
      </c>
      <c r="B1230" s="3" t="s">
        <v>748</v>
      </c>
      <c r="C1230" s="3" t="s">
        <v>19</v>
      </c>
      <c r="D1230" s="3" t="s">
        <v>749</v>
      </c>
      <c r="E1230" s="3" t="s">
        <v>775</v>
      </c>
      <c r="F1230" s="3">
        <v>3.0</v>
      </c>
      <c r="G1230" s="4">
        <v>-27.77925</v>
      </c>
      <c r="H1230" s="4">
        <v>-48.50512</v>
      </c>
      <c r="I1230" s="5">
        <v>12.0</v>
      </c>
      <c r="J1230" s="23" t="s">
        <v>365</v>
      </c>
      <c r="K1230" s="12" t="s">
        <v>365</v>
      </c>
      <c r="L1230" s="3"/>
      <c r="M1230" s="5">
        <v>12.0</v>
      </c>
      <c r="N1230" s="5" t="s">
        <v>785</v>
      </c>
      <c r="O1230" s="5" t="s">
        <v>786</v>
      </c>
      <c r="P1230" s="3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</row>
    <row r="1231" ht="15.75" customHeight="1">
      <c r="A1231" s="3" t="s">
        <v>747</v>
      </c>
      <c r="B1231" s="3" t="s">
        <v>748</v>
      </c>
      <c r="C1231" s="3" t="s">
        <v>19</v>
      </c>
      <c r="D1231" s="3" t="s">
        <v>749</v>
      </c>
      <c r="E1231" s="3" t="s">
        <v>775</v>
      </c>
      <c r="F1231" s="3">
        <v>3.0</v>
      </c>
      <c r="G1231" s="4">
        <v>-27.77925</v>
      </c>
      <c r="H1231" s="4">
        <v>-48.50512</v>
      </c>
      <c r="I1231" s="5">
        <v>13.0</v>
      </c>
      <c r="J1231" s="20" t="s">
        <v>395</v>
      </c>
      <c r="K1231" s="12" t="s">
        <v>315</v>
      </c>
      <c r="L1231" s="3"/>
      <c r="M1231" s="5"/>
      <c r="N1231" s="5"/>
      <c r="O1231" s="5"/>
      <c r="P1231" s="3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</row>
    <row r="1232" ht="15.75" customHeight="1">
      <c r="A1232" s="3" t="s">
        <v>747</v>
      </c>
      <c r="B1232" s="3" t="s">
        <v>748</v>
      </c>
      <c r="C1232" s="3" t="s">
        <v>19</v>
      </c>
      <c r="D1232" s="3" t="s">
        <v>749</v>
      </c>
      <c r="E1232" s="3" t="s">
        <v>775</v>
      </c>
      <c r="F1232" s="3">
        <v>3.0</v>
      </c>
      <c r="G1232" s="4">
        <v>-27.77925</v>
      </c>
      <c r="H1232" s="4">
        <v>-48.50512</v>
      </c>
      <c r="I1232" s="5">
        <v>14.0</v>
      </c>
      <c r="J1232" s="5" t="s">
        <v>50</v>
      </c>
      <c r="K1232" s="12" t="s">
        <v>50</v>
      </c>
      <c r="L1232" s="3"/>
      <c r="M1232" s="5">
        <v>8.0</v>
      </c>
      <c r="N1232" s="5">
        <v>21.0</v>
      </c>
      <c r="O1232" s="5"/>
      <c r="P1232" s="3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</row>
    <row r="1233" ht="15.75" customHeight="1">
      <c r="A1233" s="3" t="s">
        <v>747</v>
      </c>
      <c r="B1233" s="3" t="s">
        <v>748</v>
      </c>
      <c r="C1233" s="3" t="s">
        <v>19</v>
      </c>
      <c r="D1233" s="3" t="s">
        <v>749</v>
      </c>
      <c r="E1233" s="3" t="s">
        <v>775</v>
      </c>
      <c r="F1233" s="3">
        <v>3.0</v>
      </c>
      <c r="G1233" s="4">
        <v>-27.77925</v>
      </c>
      <c r="H1233" s="4">
        <v>-48.50512</v>
      </c>
      <c r="I1233" s="5">
        <v>15.0</v>
      </c>
      <c r="J1233" s="14" t="s">
        <v>232</v>
      </c>
      <c r="K1233" s="12" t="s">
        <v>232</v>
      </c>
      <c r="L1233" s="3"/>
      <c r="M1233" s="5">
        <v>6.0</v>
      </c>
      <c r="N1233" s="5">
        <v>17.0</v>
      </c>
      <c r="O1233" s="5" t="s">
        <v>787</v>
      </c>
      <c r="P1233" s="3" t="s">
        <v>654</v>
      </c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</row>
    <row r="1234" ht="15.75" customHeight="1">
      <c r="A1234" s="3" t="s">
        <v>747</v>
      </c>
      <c r="B1234" s="3" t="s">
        <v>748</v>
      </c>
      <c r="C1234" s="3" t="s">
        <v>19</v>
      </c>
      <c r="D1234" s="3" t="s">
        <v>749</v>
      </c>
      <c r="E1234" s="3" t="s">
        <v>775</v>
      </c>
      <c r="F1234" s="3">
        <v>3.0</v>
      </c>
      <c r="G1234" s="4">
        <v>-27.77925</v>
      </c>
      <c r="H1234" s="4">
        <v>-48.50512</v>
      </c>
      <c r="I1234" s="5">
        <v>16.0</v>
      </c>
      <c r="J1234" s="5" t="s">
        <v>98</v>
      </c>
      <c r="K1234" s="12" t="s">
        <v>98</v>
      </c>
      <c r="L1234" s="3"/>
      <c r="M1234" s="5">
        <v>7.0</v>
      </c>
      <c r="N1234" s="5">
        <v>20.0</v>
      </c>
      <c r="O1234" s="5"/>
      <c r="P1234" s="3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</row>
    <row r="1235" ht="15.75" customHeight="1">
      <c r="A1235" s="3" t="s">
        <v>747</v>
      </c>
      <c r="B1235" s="3" t="s">
        <v>748</v>
      </c>
      <c r="C1235" s="3" t="s">
        <v>19</v>
      </c>
      <c r="D1235" s="3" t="s">
        <v>749</v>
      </c>
      <c r="E1235" s="3" t="s">
        <v>775</v>
      </c>
      <c r="F1235" s="3">
        <v>3.0</v>
      </c>
      <c r="G1235" s="4">
        <v>-27.77925</v>
      </c>
      <c r="H1235" s="4">
        <v>-48.50512</v>
      </c>
      <c r="I1235" s="5">
        <v>17.0</v>
      </c>
      <c r="J1235" s="5" t="s">
        <v>323</v>
      </c>
      <c r="K1235" s="12" t="s">
        <v>323</v>
      </c>
      <c r="L1235" s="3"/>
      <c r="M1235" s="5">
        <v>13.0</v>
      </c>
      <c r="N1235" s="5">
        <v>37.0</v>
      </c>
      <c r="O1235" s="5"/>
      <c r="P1235" s="3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</row>
    <row r="1236" ht="15.75" customHeight="1">
      <c r="A1236" s="3" t="s">
        <v>747</v>
      </c>
      <c r="B1236" s="3" t="s">
        <v>748</v>
      </c>
      <c r="C1236" s="3" t="s">
        <v>19</v>
      </c>
      <c r="D1236" s="3" t="s">
        <v>749</v>
      </c>
      <c r="E1236" s="3" t="s">
        <v>775</v>
      </c>
      <c r="F1236" s="3">
        <v>3.0</v>
      </c>
      <c r="G1236" s="4">
        <v>-27.77925</v>
      </c>
      <c r="H1236" s="4">
        <v>-48.50512</v>
      </c>
      <c r="I1236" s="5">
        <v>18.0</v>
      </c>
      <c r="J1236" s="5" t="s">
        <v>767</v>
      </c>
      <c r="K1236" s="12" t="s">
        <v>767</v>
      </c>
      <c r="L1236" s="3"/>
      <c r="M1236" s="5">
        <v>10.0</v>
      </c>
      <c r="N1236" s="5">
        <v>75.0</v>
      </c>
      <c r="O1236" s="5"/>
      <c r="P1236" s="3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</row>
    <row r="1237" ht="15.75" customHeight="1">
      <c r="A1237" s="3" t="s">
        <v>747</v>
      </c>
      <c r="B1237" s="3" t="s">
        <v>748</v>
      </c>
      <c r="C1237" s="3" t="s">
        <v>19</v>
      </c>
      <c r="D1237" s="3" t="s">
        <v>749</v>
      </c>
      <c r="E1237" s="3" t="s">
        <v>775</v>
      </c>
      <c r="F1237" s="3">
        <v>3.0</v>
      </c>
      <c r="G1237" s="4">
        <v>-27.77925</v>
      </c>
      <c r="H1237" s="4">
        <v>-48.50512</v>
      </c>
      <c r="I1237" s="5">
        <v>19.0</v>
      </c>
      <c r="J1237" s="12" t="s">
        <v>335</v>
      </c>
      <c r="K1237" s="12" t="s">
        <v>335</v>
      </c>
      <c r="L1237" s="3"/>
      <c r="M1237" s="5">
        <v>8.5</v>
      </c>
      <c r="N1237" s="5">
        <v>21.0</v>
      </c>
      <c r="O1237" s="5"/>
      <c r="P1237" s="3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</row>
    <row r="1238" ht="15.75" customHeight="1">
      <c r="A1238" s="3" t="s">
        <v>747</v>
      </c>
      <c r="B1238" s="3" t="s">
        <v>748</v>
      </c>
      <c r="C1238" s="3" t="s">
        <v>19</v>
      </c>
      <c r="D1238" s="3" t="s">
        <v>749</v>
      </c>
      <c r="E1238" s="3" t="s">
        <v>775</v>
      </c>
      <c r="F1238" s="3">
        <v>3.0</v>
      </c>
      <c r="G1238" s="4">
        <v>-27.77925</v>
      </c>
      <c r="H1238" s="4">
        <v>-48.50512</v>
      </c>
      <c r="I1238" s="5">
        <v>20.0</v>
      </c>
      <c r="J1238" s="5" t="s">
        <v>98</v>
      </c>
      <c r="K1238" s="12" t="s">
        <v>98</v>
      </c>
      <c r="L1238" s="3"/>
      <c r="M1238" s="5">
        <v>7.0</v>
      </c>
      <c r="N1238" s="5">
        <v>18.0</v>
      </c>
      <c r="O1238" s="5"/>
      <c r="P1238" s="3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</row>
    <row r="1239" ht="15.75" customHeight="1">
      <c r="A1239" s="3" t="s">
        <v>747</v>
      </c>
      <c r="B1239" s="3" t="s">
        <v>748</v>
      </c>
      <c r="C1239" s="3" t="s">
        <v>19</v>
      </c>
      <c r="D1239" s="3" t="s">
        <v>749</v>
      </c>
      <c r="E1239" s="3" t="s">
        <v>775</v>
      </c>
      <c r="F1239" s="3">
        <v>3.0</v>
      </c>
      <c r="G1239" s="4">
        <v>-27.77925</v>
      </c>
      <c r="H1239" s="4">
        <v>-48.50512</v>
      </c>
      <c r="I1239" s="5">
        <v>21.0</v>
      </c>
      <c r="J1239" s="24" t="s">
        <v>788</v>
      </c>
      <c r="K1239" s="12" t="s">
        <v>315</v>
      </c>
      <c r="L1239" s="3"/>
      <c r="M1239" s="5">
        <v>9.0</v>
      </c>
      <c r="N1239" s="5" t="s">
        <v>789</v>
      </c>
      <c r="O1239" s="11"/>
      <c r="P1239" s="5" t="s">
        <v>77</v>
      </c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</row>
    <row r="1240" ht="15.75" customHeight="1">
      <c r="A1240" s="3" t="s">
        <v>747</v>
      </c>
      <c r="B1240" s="3" t="s">
        <v>748</v>
      </c>
      <c r="C1240" s="3" t="s">
        <v>19</v>
      </c>
      <c r="D1240" s="3" t="s">
        <v>749</v>
      </c>
      <c r="E1240" s="3" t="s">
        <v>775</v>
      </c>
      <c r="F1240" s="3">
        <v>3.0</v>
      </c>
      <c r="G1240" s="4">
        <v>-27.77925</v>
      </c>
      <c r="H1240" s="4">
        <v>-48.50512</v>
      </c>
      <c r="I1240" s="5">
        <v>22.0</v>
      </c>
      <c r="J1240" s="5" t="s">
        <v>50</v>
      </c>
      <c r="K1240" s="12" t="s">
        <v>50</v>
      </c>
      <c r="L1240" s="3"/>
      <c r="M1240" s="5">
        <v>9.0</v>
      </c>
      <c r="N1240" s="5">
        <v>23.0</v>
      </c>
      <c r="O1240" s="5"/>
      <c r="P1240" s="3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</row>
    <row r="1241" ht="15.75" customHeight="1">
      <c r="A1241" s="3" t="s">
        <v>747</v>
      </c>
      <c r="B1241" s="3" t="s">
        <v>748</v>
      </c>
      <c r="C1241" s="3" t="s">
        <v>19</v>
      </c>
      <c r="D1241" s="3" t="s">
        <v>749</v>
      </c>
      <c r="E1241" s="3" t="s">
        <v>775</v>
      </c>
      <c r="F1241" s="3">
        <v>3.0</v>
      </c>
      <c r="G1241" s="4">
        <v>-27.77925</v>
      </c>
      <c r="H1241" s="4">
        <v>-48.50512</v>
      </c>
      <c r="I1241" s="5">
        <v>23.0</v>
      </c>
      <c r="J1241" s="5" t="s">
        <v>98</v>
      </c>
      <c r="K1241" s="12" t="s">
        <v>98</v>
      </c>
      <c r="L1241" s="3"/>
      <c r="M1241" s="5">
        <v>8.0</v>
      </c>
      <c r="N1241" s="5">
        <v>30.0</v>
      </c>
      <c r="O1241" s="5"/>
      <c r="P1241" s="3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</row>
    <row r="1242" ht="15.75" customHeight="1">
      <c r="A1242" s="3" t="s">
        <v>747</v>
      </c>
      <c r="B1242" s="3" t="s">
        <v>748</v>
      </c>
      <c r="C1242" s="3" t="s">
        <v>19</v>
      </c>
      <c r="D1242" s="3" t="s">
        <v>749</v>
      </c>
      <c r="E1242" s="3" t="s">
        <v>775</v>
      </c>
      <c r="F1242" s="3">
        <v>3.0</v>
      </c>
      <c r="G1242" s="4">
        <v>-27.77925</v>
      </c>
      <c r="H1242" s="4">
        <v>-48.50512</v>
      </c>
      <c r="I1242" s="5">
        <v>24.0</v>
      </c>
      <c r="J1242" s="5" t="s">
        <v>154</v>
      </c>
      <c r="K1242" s="12" t="s">
        <v>154</v>
      </c>
      <c r="L1242" s="3"/>
      <c r="M1242" s="5">
        <v>6.5</v>
      </c>
      <c r="N1242" s="5">
        <v>22.0</v>
      </c>
      <c r="O1242" s="5"/>
      <c r="P1242" s="3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</row>
    <row r="1243" ht="15.75" customHeight="1">
      <c r="A1243" s="3" t="s">
        <v>747</v>
      </c>
      <c r="B1243" s="3" t="s">
        <v>748</v>
      </c>
      <c r="C1243" s="3" t="s">
        <v>19</v>
      </c>
      <c r="D1243" s="3" t="s">
        <v>749</v>
      </c>
      <c r="E1243" s="3" t="s">
        <v>775</v>
      </c>
      <c r="F1243" s="3">
        <v>3.0</v>
      </c>
      <c r="G1243" s="4">
        <v>-27.77925</v>
      </c>
      <c r="H1243" s="4">
        <v>-48.50512</v>
      </c>
      <c r="I1243" s="5">
        <v>25.0</v>
      </c>
      <c r="J1243" s="5" t="s">
        <v>98</v>
      </c>
      <c r="K1243" s="12" t="s">
        <v>98</v>
      </c>
      <c r="L1243" s="3"/>
      <c r="M1243" s="5">
        <v>3.5</v>
      </c>
      <c r="N1243" s="5">
        <v>24.0</v>
      </c>
      <c r="O1243" s="5"/>
      <c r="P1243" s="3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</row>
    <row r="1244" ht="15.75" customHeight="1">
      <c r="A1244" s="3" t="s">
        <v>747</v>
      </c>
      <c r="B1244" s="3" t="s">
        <v>748</v>
      </c>
      <c r="C1244" s="3" t="s">
        <v>19</v>
      </c>
      <c r="D1244" s="3" t="s">
        <v>749</v>
      </c>
      <c r="E1244" s="3" t="s">
        <v>775</v>
      </c>
      <c r="F1244" s="3">
        <v>3.0</v>
      </c>
      <c r="G1244" s="4">
        <v>-27.77925</v>
      </c>
      <c r="H1244" s="4">
        <v>-48.50512</v>
      </c>
      <c r="I1244" s="5">
        <v>26.0</v>
      </c>
      <c r="J1244" s="5" t="s">
        <v>98</v>
      </c>
      <c r="K1244" s="5" t="s">
        <v>98</v>
      </c>
      <c r="L1244" s="3"/>
      <c r="M1244" s="5">
        <v>6.0</v>
      </c>
      <c r="N1244" s="5" t="s">
        <v>790</v>
      </c>
      <c r="O1244" s="5"/>
      <c r="P1244" s="3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</row>
    <row r="1245" ht="15.75" customHeight="1">
      <c r="A1245" s="3" t="s">
        <v>747</v>
      </c>
      <c r="B1245" s="3" t="s">
        <v>748</v>
      </c>
      <c r="C1245" s="3" t="s">
        <v>19</v>
      </c>
      <c r="D1245" s="3" t="s">
        <v>749</v>
      </c>
      <c r="E1245" s="3" t="s">
        <v>775</v>
      </c>
      <c r="F1245" s="3">
        <v>3.0</v>
      </c>
      <c r="G1245" s="4">
        <v>-27.77925</v>
      </c>
      <c r="H1245" s="4">
        <v>-48.50512</v>
      </c>
      <c r="I1245" s="5">
        <v>27.0</v>
      </c>
      <c r="J1245" s="5" t="s">
        <v>98</v>
      </c>
      <c r="K1245" s="5" t="s">
        <v>98</v>
      </c>
      <c r="L1245" s="3"/>
      <c r="M1245" s="5">
        <v>6.0</v>
      </c>
      <c r="N1245" s="5">
        <v>25.0</v>
      </c>
      <c r="O1245" s="5"/>
      <c r="P1245" s="3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</row>
    <row r="1246" ht="15.75" customHeight="1">
      <c r="A1246" s="3" t="s">
        <v>747</v>
      </c>
      <c r="B1246" s="3" t="s">
        <v>748</v>
      </c>
      <c r="C1246" s="3" t="s">
        <v>19</v>
      </c>
      <c r="D1246" s="3" t="s">
        <v>749</v>
      </c>
      <c r="E1246" s="3" t="s">
        <v>775</v>
      </c>
      <c r="F1246" s="3">
        <v>3.0</v>
      </c>
      <c r="G1246" s="4">
        <v>-27.77925</v>
      </c>
      <c r="H1246" s="4">
        <v>-48.50512</v>
      </c>
      <c r="I1246" s="5">
        <v>28.0</v>
      </c>
      <c r="J1246" s="5" t="s">
        <v>154</v>
      </c>
      <c r="K1246" s="5" t="s">
        <v>154</v>
      </c>
      <c r="L1246" s="3"/>
      <c r="M1246" s="5">
        <v>10.0</v>
      </c>
      <c r="N1246" s="5">
        <v>65.5</v>
      </c>
      <c r="O1246" s="5"/>
      <c r="P1246" s="3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</row>
    <row r="1247" ht="15.75" customHeight="1">
      <c r="A1247" s="3" t="s">
        <v>747</v>
      </c>
      <c r="B1247" s="3" t="s">
        <v>748</v>
      </c>
      <c r="C1247" s="3" t="s">
        <v>19</v>
      </c>
      <c r="D1247" s="3" t="s">
        <v>749</v>
      </c>
      <c r="E1247" s="3" t="s">
        <v>791</v>
      </c>
      <c r="F1247" s="3">
        <v>4.0</v>
      </c>
      <c r="G1247" s="22">
        <v>-27.7792</v>
      </c>
      <c r="H1247" s="22">
        <v>-48.50444</v>
      </c>
      <c r="I1247" s="5">
        <v>1.0</v>
      </c>
      <c r="J1247" s="5" t="s">
        <v>767</v>
      </c>
      <c r="K1247" s="5" t="s">
        <v>767</v>
      </c>
      <c r="L1247" s="3"/>
      <c r="M1247" s="5">
        <v>6.0</v>
      </c>
      <c r="N1247" s="5">
        <v>21.0</v>
      </c>
      <c r="O1247" s="5" t="s">
        <v>792</v>
      </c>
      <c r="P1247" s="3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</row>
    <row r="1248" ht="15.75" customHeight="1">
      <c r="A1248" s="3" t="s">
        <v>747</v>
      </c>
      <c r="B1248" s="3" t="s">
        <v>748</v>
      </c>
      <c r="C1248" s="3" t="s">
        <v>19</v>
      </c>
      <c r="D1248" s="3" t="s">
        <v>749</v>
      </c>
      <c r="E1248" s="3" t="s">
        <v>791</v>
      </c>
      <c r="F1248" s="3">
        <v>4.0</v>
      </c>
      <c r="G1248" s="22">
        <v>-27.7792</v>
      </c>
      <c r="H1248" s="22">
        <v>-48.50444</v>
      </c>
      <c r="I1248" s="5">
        <v>2.0</v>
      </c>
      <c r="J1248" s="12" t="s">
        <v>335</v>
      </c>
      <c r="K1248" s="12" t="s">
        <v>335</v>
      </c>
      <c r="L1248" s="3"/>
      <c r="M1248" s="5">
        <v>7.0</v>
      </c>
      <c r="N1248" s="5">
        <v>22.0</v>
      </c>
      <c r="O1248" s="5" t="s">
        <v>793</v>
      </c>
      <c r="P1248" s="3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</row>
    <row r="1249" ht="15.75" customHeight="1">
      <c r="A1249" s="3" t="s">
        <v>747</v>
      </c>
      <c r="B1249" s="3" t="s">
        <v>748</v>
      </c>
      <c r="C1249" s="3" t="s">
        <v>19</v>
      </c>
      <c r="D1249" s="3" t="s">
        <v>749</v>
      </c>
      <c r="E1249" s="3" t="s">
        <v>791</v>
      </c>
      <c r="F1249" s="3">
        <v>4.0</v>
      </c>
      <c r="G1249" s="22">
        <v>-27.7792</v>
      </c>
      <c r="H1249" s="22">
        <v>-48.50444</v>
      </c>
      <c r="I1249" s="5">
        <v>3.0</v>
      </c>
      <c r="J1249" s="5" t="s">
        <v>153</v>
      </c>
      <c r="K1249" s="5" t="s">
        <v>153</v>
      </c>
      <c r="L1249" s="3"/>
      <c r="M1249" s="5">
        <v>6.0</v>
      </c>
      <c r="N1249" s="5" t="s">
        <v>794</v>
      </c>
      <c r="O1249" s="5"/>
      <c r="P1249" s="3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</row>
    <row r="1250" ht="15.75" customHeight="1">
      <c r="A1250" s="3" t="s">
        <v>747</v>
      </c>
      <c r="B1250" s="3" t="s">
        <v>748</v>
      </c>
      <c r="C1250" s="3" t="s">
        <v>19</v>
      </c>
      <c r="D1250" s="3" t="s">
        <v>749</v>
      </c>
      <c r="E1250" s="3" t="s">
        <v>791</v>
      </c>
      <c r="F1250" s="3">
        <v>4.0</v>
      </c>
      <c r="G1250" s="22">
        <v>-27.7792</v>
      </c>
      <c r="H1250" s="22">
        <v>-48.50444</v>
      </c>
      <c r="I1250" s="5">
        <v>4.0</v>
      </c>
      <c r="J1250" s="5" t="s">
        <v>767</v>
      </c>
      <c r="K1250" s="5" t="s">
        <v>767</v>
      </c>
      <c r="L1250" s="3"/>
      <c r="M1250" s="5">
        <v>7.5</v>
      </c>
      <c r="N1250" s="5">
        <v>23.5</v>
      </c>
      <c r="O1250" s="5"/>
      <c r="P1250" s="3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</row>
    <row r="1251" ht="15.75" customHeight="1">
      <c r="A1251" s="3" t="s">
        <v>747</v>
      </c>
      <c r="B1251" s="3" t="s">
        <v>748</v>
      </c>
      <c r="C1251" s="3" t="s">
        <v>19</v>
      </c>
      <c r="D1251" s="3" t="s">
        <v>749</v>
      </c>
      <c r="E1251" s="3" t="s">
        <v>791</v>
      </c>
      <c r="F1251" s="3">
        <v>4.0</v>
      </c>
      <c r="G1251" s="22">
        <v>-27.7792</v>
      </c>
      <c r="H1251" s="22">
        <v>-48.50444</v>
      </c>
      <c r="I1251" s="5">
        <v>5.0</v>
      </c>
      <c r="J1251" s="5" t="s">
        <v>154</v>
      </c>
      <c r="K1251" s="5" t="s">
        <v>154</v>
      </c>
      <c r="L1251" s="3"/>
      <c r="M1251" s="5">
        <v>6.0</v>
      </c>
      <c r="N1251" s="5">
        <v>29.0</v>
      </c>
      <c r="O1251" s="5"/>
      <c r="P1251" s="3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</row>
    <row r="1252" ht="15.75" customHeight="1">
      <c r="A1252" s="3" t="s">
        <v>747</v>
      </c>
      <c r="B1252" s="3" t="s">
        <v>748</v>
      </c>
      <c r="C1252" s="3" t="s">
        <v>19</v>
      </c>
      <c r="D1252" s="3" t="s">
        <v>749</v>
      </c>
      <c r="E1252" s="3" t="s">
        <v>791</v>
      </c>
      <c r="F1252" s="3">
        <v>4.0</v>
      </c>
      <c r="G1252" s="22">
        <v>-27.7792</v>
      </c>
      <c r="H1252" s="22">
        <v>-48.50444</v>
      </c>
      <c r="I1252" s="5">
        <v>6.0</v>
      </c>
      <c r="J1252" s="5" t="s">
        <v>795</v>
      </c>
      <c r="K1252" s="5" t="s">
        <v>120</v>
      </c>
      <c r="L1252" s="3"/>
      <c r="M1252" s="5">
        <v>6.0</v>
      </c>
      <c r="N1252" s="5">
        <v>15.5</v>
      </c>
      <c r="O1252" s="5" t="s">
        <v>796</v>
      </c>
      <c r="P1252" s="3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</row>
    <row r="1253" ht="15.75" customHeight="1">
      <c r="A1253" s="3" t="s">
        <v>747</v>
      </c>
      <c r="B1253" s="3" t="s">
        <v>748</v>
      </c>
      <c r="C1253" s="3" t="s">
        <v>19</v>
      </c>
      <c r="D1253" s="3" t="s">
        <v>749</v>
      </c>
      <c r="E1253" s="3" t="s">
        <v>791</v>
      </c>
      <c r="F1253" s="3">
        <v>4.0</v>
      </c>
      <c r="G1253" s="22">
        <v>-27.7792</v>
      </c>
      <c r="H1253" s="22">
        <v>-48.50444</v>
      </c>
      <c r="I1253" s="5">
        <v>7.0</v>
      </c>
      <c r="J1253" s="5" t="s">
        <v>797</v>
      </c>
      <c r="K1253" s="5" t="s">
        <v>797</v>
      </c>
      <c r="L1253" s="3"/>
      <c r="M1253" s="5">
        <v>5.5</v>
      </c>
      <c r="N1253" s="5">
        <v>22.0</v>
      </c>
      <c r="O1253" s="5" t="s">
        <v>798</v>
      </c>
      <c r="P1253" s="3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</row>
    <row r="1254" ht="15.75" customHeight="1">
      <c r="A1254" s="3" t="s">
        <v>747</v>
      </c>
      <c r="B1254" s="3" t="s">
        <v>748</v>
      </c>
      <c r="C1254" s="3" t="s">
        <v>19</v>
      </c>
      <c r="D1254" s="3" t="s">
        <v>749</v>
      </c>
      <c r="E1254" s="3" t="s">
        <v>791</v>
      </c>
      <c r="F1254" s="3">
        <v>4.0</v>
      </c>
      <c r="G1254" s="22">
        <v>-27.7792</v>
      </c>
      <c r="H1254" s="22">
        <v>-48.50444</v>
      </c>
      <c r="I1254" s="5">
        <v>8.0</v>
      </c>
      <c r="J1254" s="5" t="s">
        <v>98</v>
      </c>
      <c r="K1254" s="5" t="s">
        <v>98</v>
      </c>
      <c r="L1254" s="3"/>
      <c r="M1254" s="5">
        <v>7.0</v>
      </c>
      <c r="N1254" s="5">
        <v>15.0</v>
      </c>
      <c r="O1254" s="5"/>
      <c r="P1254" s="3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</row>
    <row r="1255" ht="15.75" customHeight="1">
      <c r="A1255" s="3" t="s">
        <v>747</v>
      </c>
      <c r="B1255" s="3" t="s">
        <v>748</v>
      </c>
      <c r="C1255" s="3" t="s">
        <v>19</v>
      </c>
      <c r="D1255" s="3" t="s">
        <v>749</v>
      </c>
      <c r="E1255" s="3" t="s">
        <v>791</v>
      </c>
      <c r="F1255" s="3">
        <v>4.0</v>
      </c>
      <c r="G1255" s="22">
        <v>-27.7792</v>
      </c>
      <c r="H1255" s="22">
        <v>-48.50444</v>
      </c>
      <c r="I1255" s="5">
        <v>9.0</v>
      </c>
      <c r="J1255" s="14" t="s">
        <v>799</v>
      </c>
      <c r="K1255" s="14" t="s">
        <v>494</v>
      </c>
      <c r="L1255" s="3"/>
      <c r="M1255" s="5">
        <v>8.0</v>
      </c>
      <c r="N1255" s="5" t="s">
        <v>800</v>
      </c>
      <c r="O1255" s="5" t="s">
        <v>801</v>
      </c>
      <c r="P1255" s="3" t="s">
        <v>802</v>
      </c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</row>
    <row r="1256" ht="15.75" customHeight="1">
      <c r="A1256" s="3" t="s">
        <v>747</v>
      </c>
      <c r="B1256" s="3" t="s">
        <v>748</v>
      </c>
      <c r="C1256" s="3" t="s">
        <v>19</v>
      </c>
      <c r="D1256" s="3" t="s">
        <v>749</v>
      </c>
      <c r="E1256" s="3" t="s">
        <v>791</v>
      </c>
      <c r="F1256" s="3">
        <v>4.0</v>
      </c>
      <c r="G1256" s="22">
        <v>-27.7792</v>
      </c>
      <c r="H1256" s="22">
        <v>-48.50444</v>
      </c>
      <c r="I1256" s="5">
        <v>10.0</v>
      </c>
      <c r="J1256" s="14" t="s">
        <v>803</v>
      </c>
      <c r="K1256" s="14" t="s">
        <v>803</v>
      </c>
      <c r="L1256" s="3"/>
      <c r="M1256" s="5">
        <v>6.0</v>
      </c>
      <c r="N1256" s="5" t="s">
        <v>804</v>
      </c>
      <c r="O1256" s="5" t="s">
        <v>805</v>
      </c>
      <c r="P1256" s="3" t="s">
        <v>90</v>
      </c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</row>
    <row r="1257" ht="15.75" customHeight="1">
      <c r="A1257" s="3" t="s">
        <v>747</v>
      </c>
      <c r="B1257" s="3" t="s">
        <v>748</v>
      </c>
      <c r="C1257" s="3" t="s">
        <v>19</v>
      </c>
      <c r="D1257" s="3" t="s">
        <v>749</v>
      </c>
      <c r="E1257" s="3" t="s">
        <v>791</v>
      </c>
      <c r="F1257" s="3">
        <v>4.0</v>
      </c>
      <c r="G1257" s="22">
        <v>-27.7792</v>
      </c>
      <c r="H1257" s="22">
        <v>-48.50444</v>
      </c>
      <c r="I1257" s="5">
        <v>11.0</v>
      </c>
      <c r="J1257" s="5" t="s">
        <v>806</v>
      </c>
      <c r="K1257" s="5" t="s">
        <v>807</v>
      </c>
      <c r="L1257" s="3"/>
      <c r="M1257" s="5">
        <v>5.5</v>
      </c>
      <c r="N1257" s="5">
        <v>18.0</v>
      </c>
      <c r="O1257" s="5"/>
      <c r="P1257" s="3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</row>
    <row r="1258" ht="15.75" customHeight="1">
      <c r="A1258" s="3" t="s">
        <v>747</v>
      </c>
      <c r="B1258" s="3" t="s">
        <v>748</v>
      </c>
      <c r="C1258" s="3" t="s">
        <v>19</v>
      </c>
      <c r="D1258" s="3" t="s">
        <v>749</v>
      </c>
      <c r="E1258" s="3" t="s">
        <v>791</v>
      </c>
      <c r="F1258" s="3">
        <v>4.0</v>
      </c>
      <c r="G1258" s="22">
        <v>-27.7792</v>
      </c>
      <c r="H1258" s="22">
        <v>-48.50444</v>
      </c>
      <c r="I1258" s="5">
        <v>12.0</v>
      </c>
      <c r="J1258" s="5" t="s">
        <v>24</v>
      </c>
      <c r="K1258" s="5" t="s">
        <v>24</v>
      </c>
      <c r="L1258" s="3"/>
      <c r="M1258" s="5">
        <v>6.0</v>
      </c>
      <c r="N1258" s="5">
        <v>23.0</v>
      </c>
      <c r="O1258" s="5"/>
      <c r="P1258" s="3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</row>
    <row r="1259" ht="15.75" customHeight="1">
      <c r="A1259" s="3" t="s">
        <v>747</v>
      </c>
      <c r="B1259" s="3" t="s">
        <v>748</v>
      </c>
      <c r="C1259" s="3" t="s">
        <v>19</v>
      </c>
      <c r="D1259" s="3" t="s">
        <v>749</v>
      </c>
      <c r="E1259" s="3" t="s">
        <v>791</v>
      </c>
      <c r="F1259" s="3">
        <v>4.0</v>
      </c>
      <c r="G1259" s="22">
        <v>-27.7792</v>
      </c>
      <c r="H1259" s="22">
        <v>-48.50444</v>
      </c>
      <c r="I1259" s="5">
        <v>13.0</v>
      </c>
      <c r="J1259" s="5" t="s">
        <v>191</v>
      </c>
      <c r="K1259" s="5" t="s">
        <v>191</v>
      </c>
      <c r="L1259" s="3"/>
      <c r="M1259" s="5">
        <v>6.0</v>
      </c>
      <c r="N1259" s="5">
        <v>23.5</v>
      </c>
      <c r="O1259" s="5"/>
      <c r="P1259" s="3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</row>
    <row r="1260" ht="15.75" customHeight="1">
      <c r="A1260" s="3" t="s">
        <v>747</v>
      </c>
      <c r="B1260" s="3" t="s">
        <v>748</v>
      </c>
      <c r="C1260" s="3" t="s">
        <v>19</v>
      </c>
      <c r="D1260" s="3" t="s">
        <v>749</v>
      </c>
      <c r="E1260" s="3" t="s">
        <v>791</v>
      </c>
      <c r="F1260" s="3">
        <v>4.0</v>
      </c>
      <c r="G1260" s="22">
        <v>-27.7792</v>
      </c>
      <c r="H1260" s="22">
        <v>-48.50444</v>
      </c>
      <c r="I1260" s="5">
        <v>14.0</v>
      </c>
      <c r="J1260" s="5" t="s">
        <v>98</v>
      </c>
      <c r="K1260" s="5" t="s">
        <v>98</v>
      </c>
      <c r="L1260" s="3"/>
      <c r="M1260" s="5">
        <v>9.0</v>
      </c>
      <c r="N1260" s="5" t="s">
        <v>808</v>
      </c>
      <c r="O1260" s="5"/>
      <c r="P1260" s="3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</row>
    <row r="1261" ht="15.75" customHeight="1">
      <c r="A1261" s="3" t="s">
        <v>747</v>
      </c>
      <c r="B1261" s="3" t="s">
        <v>748</v>
      </c>
      <c r="C1261" s="3" t="s">
        <v>19</v>
      </c>
      <c r="D1261" s="3" t="s">
        <v>749</v>
      </c>
      <c r="E1261" s="3" t="s">
        <v>791</v>
      </c>
      <c r="F1261" s="3">
        <v>4.0</v>
      </c>
      <c r="G1261" s="22">
        <v>-27.7792</v>
      </c>
      <c r="H1261" s="22">
        <v>-48.50444</v>
      </c>
      <c r="I1261" s="5">
        <v>15.0</v>
      </c>
      <c r="J1261" s="5" t="s">
        <v>809</v>
      </c>
      <c r="K1261" s="5" t="s">
        <v>810</v>
      </c>
      <c r="L1261" s="3"/>
      <c r="M1261" s="5">
        <v>10.0</v>
      </c>
      <c r="N1261" s="5">
        <v>75.0</v>
      </c>
      <c r="O1261" s="5" t="s">
        <v>811</v>
      </c>
      <c r="P1261" s="3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</row>
    <row r="1262" ht="15.75" customHeight="1">
      <c r="A1262" s="3" t="s">
        <v>747</v>
      </c>
      <c r="B1262" s="3" t="s">
        <v>748</v>
      </c>
      <c r="C1262" s="3" t="s">
        <v>19</v>
      </c>
      <c r="D1262" s="3" t="s">
        <v>749</v>
      </c>
      <c r="E1262" s="3" t="s">
        <v>791</v>
      </c>
      <c r="F1262" s="3">
        <v>4.0</v>
      </c>
      <c r="G1262" s="22">
        <v>-27.7792</v>
      </c>
      <c r="H1262" s="22">
        <v>-48.50444</v>
      </c>
      <c r="I1262" s="5">
        <v>16.0</v>
      </c>
      <c r="J1262" s="5" t="s">
        <v>104</v>
      </c>
      <c r="K1262" s="5" t="s">
        <v>104</v>
      </c>
      <c r="L1262" s="3"/>
      <c r="M1262" s="5">
        <v>6.0</v>
      </c>
      <c r="N1262" s="5">
        <v>17.5</v>
      </c>
      <c r="O1262" s="5"/>
      <c r="P1262" s="3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</row>
    <row r="1263" ht="15.75" customHeight="1">
      <c r="A1263" s="3" t="s">
        <v>747</v>
      </c>
      <c r="B1263" s="3" t="s">
        <v>748</v>
      </c>
      <c r="C1263" s="3" t="s">
        <v>19</v>
      </c>
      <c r="D1263" s="3" t="s">
        <v>749</v>
      </c>
      <c r="E1263" s="3" t="s">
        <v>791</v>
      </c>
      <c r="F1263" s="3">
        <v>4.0</v>
      </c>
      <c r="G1263" s="22">
        <v>-27.7792</v>
      </c>
      <c r="H1263" s="22">
        <v>-48.50444</v>
      </c>
      <c r="I1263" s="5">
        <v>17.0</v>
      </c>
      <c r="J1263" s="5" t="s">
        <v>809</v>
      </c>
      <c r="K1263" s="5" t="s">
        <v>810</v>
      </c>
      <c r="L1263" s="3"/>
      <c r="M1263" s="5">
        <v>10.0</v>
      </c>
      <c r="N1263" s="5">
        <v>47.0</v>
      </c>
      <c r="O1263" s="5" t="s">
        <v>812</v>
      </c>
      <c r="P1263" s="3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</row>
    <row r="1264" ht="15.75" customHeight="1">
      <c r="A1264" s="3" t="s">
        <v>747</v>
      </c>
      <c r="B1264" s="3" t="s">
        <v>748</v>
      </c>
      <c r="C1264" s="3" t="s">
        <v>19</v>
      </c>
      <c r="D1264" s="3" t="s">
        <v>749</v>
      </c>
      <c r="E1264" s="3" t="s">
        <v>791</v>
      </c>
      <c r="F1264" s="3">
        <v>4.0</v>
      </c>
      <c r="G1264" s="22">
        <v>-27.7792</v>
      </c>
      <c r="H1264" s="22">
        <v>-48.50444</v>
      </c>
      <c r="I1264" s="5">
        <v>18.0</v>
      </c>
      <c r="J1264" s="5" t="s">
        <v>98</v>
      </c>
      <c r="K1264" s="5" t="s">
        <v>98</v>
      </c>
      <c r="L1264" s="3"/>
      <c r="M1264" s="5">
        <v>10.0</v>
      </c>
      <c r="N1264" s="5">
        <v>20.5</v>
      </c>
      <c r="O1264" s="5"/>
      <c r="P1264" s="3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</row>
    <row r="1265" ht="15.75" customHeight="1">
      <c r="A1265" s="3" t="s">
        <v>747</v>
      </c>
      <c r="B1265" s="3" t="s">
        <v>748</v>
      </c>
      <c r="C1265" s="3" t="s">
        <v>19</v>
      </c>
      <c r="D1265" s="3" t="s">
        <v>749</v>
      </c>
      <c r="E1265" s="3" t="s">
        <v>791</v>
      </c>
      <c r="F1265" s="3">
        <v>4.0</v>
      </c>
      <c r="G1265" s="22">
        <v>-27.7792</v>
      </c>
      <c r="H1265" s="22">
        <v>-48.50444</v>
      </c>
      <c r="I1265" s="5">
        <v>19.0</v>
      </c>
      <c r="J1265" s="5" t="s">
        <v>809</v>
      </c>
      <c r="K1265" s="5" t="s">
        <v>810</v>
      </c>
      <c r="L1265" s="3"/>
      <c r="M1265" s="5">
        <v>7.0</v>
      </c>
      <c r="N1265" s="5" t="s">
        <v>813</v>
      </c>
      <c r="O1265" s="5"/>
      <c r="P1265" s="3" t="s">
        <v>90</v>
      </c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</row>
    <row r="1266" ht="15.75" customHeight="1">
      <c r="A1266" s="3" t="s">
        <v>747</v>
      </c>
      <c r="B1266" s="3" t="s">
        <v>748</v>
      </c>
      <c r="C1266" s="3" t="s">
        <v>19</v>
      </c>
      <c r="D1266" s="3" t="s">
        <v>749</v>
      </c>
      <c r="E1266" s="3" t="s">
        <v>791</v>
      </c>
      <c r="F1266" s="3">
        <v>4.0</v>
      </c>
      <c r="G1266" s="22">
        <v>-27.7792</v>
      </c>
      <c r="H1266" s="22">
        <v>-48.50444</v>
      </c>
      <c r="I1266" s="5">
        <v>20.0</v>
      </c>
      <c r="J1266" s="5" t="s">
        <v>323</v>
      </c>
      <c r="K1266" s="5" t="s">
        <v>323</v>
      </c>
      <c r="L1266" s="3"/>
      <c r="M1266" s="5">
        <v>6.0</v>
      </c>
      <c r="N1266" s="5" t="s">
        <v>814</v>
      </c>
      <c r="O1266" s="5"/>
      <c r="P1266" s="3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</row>
    <row r="1267" ht="15.75" customHeight="1">
      <c r="A1267" s="3" t="s">
        <v>747</v>
      </c>
      <c r="B1267" s="3" t="s">
        <v>748</v>
      </c>
      <c r="C1267" s="3" t="s">
        <v>19</v>
      </c>
      <c r="D1267" s="3" t="s">
        <v>749</v>
      </c>
      <c r="E1267" s="3" t="s">
        <v>791</v>
      </c>
      <c r="F1267" s="3">
        <v>4.0</v>
      </c>
      <c r="G1267" s="22">
        <v>-27.7792</v>
      </c>
      <c r="H1267" s="22">
        <v>-48.50444</v>
      </c>
      <c r="I1267" s="5">
        <v>21.0</v>
      </c>
      <c r="J1267" s="14" t="s">
        <v>815</v>
      </c>
      <c r="K1267" s="14" t="s">
        <v>816</v>
      </c>
      <c r="L1267" s="3"/>
      <c r="M1267" s="5">
        <v>7.0</v>
      </c>
      <c r="N1267" s="5" t="s">
        <v>817</v>
      </c>
      <c r="O1267" s="5" t="s">
        <v>818</v>
      </c>
      <c r="P1267" s="3" t="s">
        <v>90</v>
      </c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</row>
    <row r="1268" ht="15.75" customHeight="1">
      <c r="A1268" s="3" t="s">
        <v>747</v>
      </c>
      <c r="B1268" s="3" t="s">
        <v>748</v>
      </c>
      <c r="C1268" s="3" t="s">
        <v>19</v>
      </c>
      <c r="D1268" s="3" t="s">
        <v>749</v>
      </c>
      <c r="E1268" s="3" t="s">
        <v>791</v>
      </c>
      <c r="F1268" s="3">
        <v>4.0</v>
      </c>
      <c r="G1268" s="22">
        <v>-27.7792</v>
      </c>
      <c r="H1268" s="22">
        <v>-48.50444</v>
      </c>
      <c r="I1268" s="5">
        <v>22.0</v>
      </c>
      <c r="J1268" s="5" t="s">
        <v>191</v>
      </c>
      <c r="K1268" s="14" t="s">
        <v>191</v>
      </c>
      <c r="L1268" s="3"/>
      <c r="M1268" s="5">
        <v>7.0</v>
      </c>
      <c r="N1268" s="5">
        <v>28.0</v>
      </c>
      <c r="O1268" s="5"/>
      <c r="P1268" s="3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</row>
    <row r="1269" ht="15.75" customHeight="1">
      <c r="A1269" s="3" t="s">
        <v>747</v>
      </c>
      <c r="B1269" s="3" t="s">
        <v>748</v>
      </c>
      <c r="C1269" s="3" t="s">
        <v>19</v>
      </c>
      <c r="D1269" s="3" t="s">
        <v>749</v>
      </c>
      <c r="E1269" s="3" t="s">
        <v>791</v>
      </c>
      <c r="F1269" s="3">
        <v>4.0</v>
      </c>
      <c r="G1269" s="22">
        <v>-27.7792</v>
      </c>
      <c r="H1269" s="22">
        <v>-48.50444</v>
      </c>
      <c r="I1269" s="5">
        <v>23.0</v>
      </c>
      <c r="J1269" s="14" t="s">
        <v>799</v>
      </c>
      <c r="K1269" s="14" t="s">
        <v>494</v>
      </c>
      <c r="L1269" s="3"/>
      <c r="M1269" s="5">
        <v>7.0</v>
      </c>
      <c r="N1269" s="5">
        <v>30.0</v>
      </c>
      <c r="O1269" s="5" t="s">
        <v>819</v>
      </c>
      <c r="P1269" s="3" t="s">
        <v>820</v>
      </c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</row>
    <row r="1270" ht="15.75" customHeight="1">
      <c r="A1270" s="3" t="s">
        <v>747</v>
      </c>
      <c r="B1270" s="3" t="s">
        <v>748</v>
      </c>
      <c r="C1270" s="3" t="s">
        <v>19</v>
      </c>
      <c r="D1270" s="3" t="s">
        <v>749</v>
      </c>
      <c r="E1270" s="3" t="s">
        <v>791</v>
      </c>
      <c r="F1270" s="3">
        <v>4.0</v>
      </c>
      <c r="G1270" s="22">
        <v>-27.7792</v>
      </c>
      <c r="H1270" s="22">
        <v>-48.50444</v>
      </c>
      <c r="I1270" s="5">
        <v>24.0</v>
      </c>
      <c r="J1270" s="5" t="s">
        <v>55</v>
      </c>
      <c r="K1270" s="14" t="s">
        <v>55</v>
      </c>
      <c r="L1270" s="3"/>
      <c r="M1270" s="5">
        <v>6.0</v>
      </c>
      <c r="N1270" s="5" t="s">
        <v>821</v>
      </c>
      <c r="O1270" s="5"/>
      <c r="P1270" s="3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</row>
    <row r="1271" ht="15.75" customHeight="1">
      <c r="A1271" s="3" t="s">
        <v>747</v>
      </c>
      <c r="B1271" s="3" t="s">
        <v>748</v>
      </c>
      <c r="C1271" s="3" t="s">
        <v>19</v>
      </c>
      <c r="D1271" s="3" t="s">
        <v>749</v>
      </c>
      <c r="E1271" s="3" t="s">
        <v>791</v>
      </c>
      <c r="F1271" s="3">
        <v>4.0</v>
      </c>
      <c r="G1271" s="22">
        <v>-27.7792</v>
      </c>
      <c r="H1271" s="22">
        <v>-48.50444</v>
      </c>
      <c r="I1271" s="5">
        <v>25.0</v>
      </c>
      <c r="J1271" s="5" t="s">
        <v>767</v>
      </c>
      <c r="K1271" s="14" t="s">
        <v>767</v>
      </c>
      <c r="L1271" s="3"/>
      <c r="M1271" s="5">
        <v>10.0</v>
      </c>
      <c r="N1271" s="5">
        <v>19.0</v>
      </c>
      <c r="O1271" s="5"/>
      <c r="P1271" s="3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</row>
    <row r="1272" ht="15.75" customHeight="1">
      <c r="A1272" s="3" t="s">
        <v>747</v>
      </c>
      <c r="B1272" s="3" t="s">
        <v>748</v>
      </c>
      <c r="C1272" s="3" t="s">
        <v>19</v>
      </c>
      <c r="D1272" s="3" t="s">
        <v>749</v>
      </c>
      <c r="E1272" s="3" t="s">
        <v>791</v>
      </c>
      <c r="F1272" s="3">
        <v>4.0</v>
      </c>
      <c r="G1272" s="22">
        <v>-27.7792</v>
      </c>
      <c r="H1272" s="22">
        <v>-48.50444</v>
      </c>
      <c r="I1272" s="5">
        <v>26.0</v>
      </c>
      <c r="J1272" s="5" t="s">
        <v>756</v>
      </c>
      <c r="K1272" s="14" t="s">
        <v>752</v>
      </c>
      <c r="L1272" s="3"/>
      <c r="M1272" s="5">
        <v>8.0</v>
      </c>
      <c r="N1272" s="5" t="s">
        <v>822</v>
      </c>
      <c r="O1272" s="5"/>
      <c r="P1272" s="3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</row>
    <row r="1273" ht="15.75" customHeight="1">
      <c r="A1273" s="3" t="s">
        <v>747</v>
      </c>
      <c r="B1273" s="3" t="s">
        <v>748</v>
      </c>
      <c r="C1273" s="3" t="s">
        <v>19</v>
      </c>
      <c r="D1273" s="3" t="s">
        <v>749</v>
      </c>
      <c r="E1273" s="3" t="s">
        <v>791</v>
      </c>
      <c r="F1273" s="3">
        <v>4.0</v>
      </c>
      <c r="G1273" s="22">
        <v>-27.7792</v>
      </c>
      <c r="H1273" s="22">
        <v>-48.50444</v>
      </c>
      <c r="I1273" s="5">
        <v>27.0</v>
      </c>
      <c r="J1273" s="5" t="s">
        <v>98</v>
      </c>
      <c r="K1273" s="14" t="s">
        <v>98</v>
      </c>
      <c r="L1273" s="3"/>
      <c r="M1273" s="5">
        <v>7.0</v>
      </c>
      <c r="N1273" s="5">
        <v>17.0</v>
      </c>
      <c r="O1273" s="5"/>
      <c r="P1273" s="3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</row>
    <row r="1274" ht="15.75" customHeight="1">
      <c r="A1274" s="3" t="s">
        <v>747</v>
      </c>
      <c r="B1274" s="3" t="s">
        <v>748</v>
      </c>
      <c r="C1274" s="3" t="s">
        <v>19</v>
      </c>
      <c r="D1274" s="3" t="s">
        <v>749</v>
      </c>
      <c r="E1274" s="3" t="s">
        <v>791</v>
      </c>
      <c r="F1274" s="3">
        <v>4.0</v>
      </c>
      <c r="G1274" s="22">
        <v>-27.7792</v>
      </c>
      <c r="H1274" s="22">
        <v>-48.50444</v>
      </c>
      <c r="I1274" s="5">
        <v>28.0</v>
      </c>
      <c r="J1274" s="5" t="s">
        <v>154</v>
      </c>
      <c r="K1274" s="14" t="s">
        <v>154</v>
      </c>
      <c r="L1274" s="3"/>
      <c r="M1274" s="5">
        <v>7.0</v>
      </c>
      <c r="N1274" s="5">
        <v>19.0</v>
      </c>
      <c r="O1274" s="5"/>
      <c r="P1274" s="3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</row>
    <row r="1275" ht="15.75" customHeight="1">
      <c r="A1275" s="3" t="s">
        <v>747</v>
      </c>
      <c r="B1275" s="3" t="s">
        <v>748</v>
      </c>
      <c r="C1275" s="3" t="s">
        <v>19</v>
      </c>
      <c r="D1275" s="3" t="s">
        <v>749</v>
      </c>
      <c r="E1275" s="3" t="s">
        <v>791</v>
      </c>
      <c r="F1275" s="3">
        <v>4.0</v>
      </c>
      <c r="G1275" s="22">
        <v>-27.7792</v>
      </c>
      <c r="H1275" s="22">
        <v>-48.50444</v>
      </c>
      <c r="I1275" s="5">
        <v>29.0</v>
      </c>
      <c r="J1275" s="19" t="s">
        <v>823</v>
      </c>
      <c r="K1275" s="14" t="s">
        <v>315</v>
      </c>
      <c r="L1275" s="3"/>
      <c r="M1275" s="5">
        <v>7.0</v>
      </c>
      <c r="N1275" s="5">
        <v>18.0</v>
      </c>
      <c r="O1275" s="5"/>
      <c r="P1275" s="3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</row>
    <row r="1276" ht="15.75" customHeight="1">
      <c r="A1276" s="3" t="s">
        <v>747</v>
      </c>
      <c r="B1276" s="3" t="s">
        <v>748</v>
      </c>
      <c r="C1276" s="3" t="s">
        <v>19</v>
      </c>
      <c r="D1276" s="3" t="s">
        <v>749</v>
      </c>
      <c r="E1276" s="3" t="s">
        <v>791</v>
      </c>
      <c r="F1276" s="3">
        <v>4.0</v>
      </c>
      <c r="G1276" s="22">
        <v>-27.7792</v>
      </c>
      <c r="H1276" s="22">
        <v>-48.50444</v>
      </c>
      <c r="I1276" s="5">
        <v>30.0</v>
      </c>
      <c r="J1276" s="5" t="s">
        <v>767</v>
      </c>
      <c r="K1276" s="14" t="s">
        <v>767</v>
      </c>
      <c r="L1276" s="3"/>
      <c r="M1276" s="5">
        <v>10.0</v>
      </c>
      <c r="N1276" s="5">
        <v>56.0</v>
      </c>
      <c r="O1276" s="5"/>
      <c r="P1276" s="3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</row>
    <row r="1277" ht="15.75" customHeight="1">
      <c r="A1277" s="3" t="s">
        <v>747</v>
      </c>
      <c r="B1277" s="3" t="s">
        <v>748</v>
      </c>
      <c r="C1277" s="3" t="s">
        <v>19</v>
      </c>
      <c r="D1277" s="3" t="s">
        <v>749</v>
      </c>
      <c r="E1277" s="3" t="s">
        <v>791</v>
      </c>
      <c r="F1277" s="3">
        <v>4.0</v>
      </c>
      <c r="G1277" s="22">
        <v>-27.7792</v>
      </c>
      <c r="H1277" s="22">
        <v>-48.50444</v>
      </c>
      <c r="I1277" s="5">
        <v>31.0</v>
      </c>
      <c r="J1277" s="5" t="s">
        <v>78</v>
      </c>
      <c r="K1277" s="14" t="s">
        <v>78</v>
      </c>
      <c r="L1277" s="3"/>
      <c r="M1277" s="5">
        <v>6.5</v>
      </c>
      <c r="N1277" s="5">
        <v>22.0</v>
      </c>
      <c r="O1277" s="5"/>
      <c r="P1277" s="3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</row>
    <row r="1278" ht="15.75" customHeight="1">
      <c r="A1278" s="3" t="s">
        <v>747</v>
      </c>
      <c r="B1278" s="3" t="s">
        <v>748</v>
      </c>
      <c r="C1278" s="3" t="s">
        <v>19</v>
      </c>
      <c r="D1278" s="3" t="s">
        <v>749</v>
      </c>
      <c r="E1278" s="3" t="s">
        <v>791</v>
      </c>
      <c r="F1278" s="3">
        <v>4.0</v>
      </c>
      <c r="G1278" s="22">
        <v>-27.7792</v>
      </c>
      <c r="H1278" s="22">
        <v>-48.50444</v>
      </c>
      <c r="I1278" s="5">
        <v>32.0</v>
      </c>
      <c r="J1278" s="14" t="s">
        <v>824</v>
      </c>
      <c r="K1278" s="14" t="s">
        <v>824</v>
      </c>
      <c r="L1278" s="3"/>
      <c r="M1278" s="5">
        <v>5.0</v>
      </c>
      <c r="N1278" s="5">
        <v>25.0</v>
      </c>
      <c r="O1278" s="5"/>
      <c r="P1278" s="5" t="s">
        <v>825</v>
      </c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</row>
    <row r="1279" ht="15.75" customHeight="1">
      <c r="A1279" s="3" t="s">
        <v>747</v>
      </c>
      <c r="B1279" s="3" t="s">
        <v>748</v>
      </c>
      <c r="C1279" s="3" t="s">
        <v>19</v>
      </c>
      <c r="D1279" s="3" t="s">
        <v>749</v>
      </c>
      <c r="E1279" s="3" t="s">
        <v>791</v>
      </c>
      <c r="F1279" s="3">
        <v>4.0</v>
      </c>
      <c r="G1279" s="22">
        <v>-27.7792</v>
      </c>
      <c r="H1279" s="22">
        <v>-48.50444</v>
      </c>
      <c r="I1279" s="5">
        <v>33.0</v>
      </c>
      <c r="J1279" s="5" t="s">
        <v>175</v>
      </c>
      <c r="K1279" s="14" t="s">
        <v>175</v>
      </c>
      <c r="L1279" s="3"/>
      <c r="M1279" s="5">
        <v>7.0</v>
      </c>
      <c r="N1279" s="5">
        <v>16.0</v>
      </c>
      <c r="O1279" s="5"/>
      <c r="P1279" s="5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</row>
    <row r="1280" ht="15.75" customHeight="1">
      <c r="A1280" s="3" t="s">
        <v>747</v>
      </c>
      <c r="B1280" s="3" t="s">
        <v>748</v>
      </c>
      <c r="C1280" s="3" t="s">
        <v>19</v>
      </c>
      <c r="D1280" s="3" t="s">
        <v>749</v>
      </c>
      <c r="E1280" s="3" t="s">
        <v>791</v>
      </c>
      <c r="F1280" s="3">
        <v>4.0</v>
      </c>
      <c r="G1280" s="22">
        <v>-27.7792</v>
      </c>
      <c r="H1280" s="22">
        <v>-48.50444</v>
      </c>
      <c r="I1280" s="5">
        <v>34.0</v>
      </c>
      <c r="J1280" s="5" t="s">
        <v>191</v>
      </c>
      <c r="K1280" s="14" t="s">
        <v>191</v>
      </c>
      <c r="L1280" s="3"/>
      <c r="M1280" s="5">
        <v>5.5</v>
      </c>
      <c r="N1280" s="5">
        <v>23.0</v>
      </c>
      <c r="O1280" s="5"/>
      <c r="P1280" s="3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</row>
    <row r="1281" ht="15.75" customHeight="1">
      <c r="A1281" s="3" t="s">
        <v>747</v>
      </c>
      <c r="B1281" s="3" t="s">
        <v>748</v>
      </c>
      <c r="C1281" s="3" t="s">
        <v>80</v>
      </c>
      <c r="D1281" s="3" t="s">
        <v>826</v>
      </c>
      <c r="E1281" s="3" t="s">
        <v>827</v>
      </c>
      <c r="F1281" s="3">
        <v>5.0</v>
      </c>
      <c r="G1281" s="4">
        <v>-27.77909</v>
      </c>
      <c r="H1281" s="4">
        <v>-48.50021</v>
      </c>
      <c r="I1281" s="5">
        <v>1.0</v>
      </c>
      <c r="J1281" s="5" t="s">
        <v>153</v>
      </c>
      <c r="K1281" s="14" t="s">
        <v>153</v>
      </c>
      <c r="L1281" s="3"/>
      <c r="M1281" s="5">
        <v>9.0</v>
      </c>
      <c r="N1281" s="5">
        <v>45.5</v>
      </c>
      <c r="O1281" s="5"/>
      <c r="P1281" s="3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</row>
    <row r="1282" ht="15.75" customHeight="1">
      <c r="A1282" s="3" t="s">
        <v>747</v>
      </c>
      <c r="B1282" s="3" t="s">
        <v>748</v>
      </c>
      <c r="C1282" s="3" t="s">
        <v>80</v>
      </c>
      <c r="D1282" s="3" t="s">
        <v>826</v>
      </c>
      <c r="E1282" s="3" t="s">
        <v>827</v>
      </c>
      <c r="F1282" s="3">
        <v>5.0</v>
      </c>
      <c r="G1282" s="4">
        <v>-27.77909</v>
      </c>
      <c r="H1282" s="4">
        <v>-48.50021</v>
      </c>
      <c r="I1282" s="5">
        <v>2.0</v>
      </c>
      <c r="J1282" s="12" t="s">
        <v>828</v>
      </c>
      <c r="K1282" s="14" t="s">
        <v>828</v>
      </c>
      <c r="L1282" s="3"/>
      <c r="M1282" s="5">
        <v>9.0</v>
      </c>
      <c r="N1282" s="5">
        <v>29.5</v>
      </c>
      <c r="O1282" s="5" t="s">
        <v>829</v>
      </c>
      <c r="P1282" s="3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</row>
    <row r="1283" ht="15.75" customHeight="1">
      <c r="A1283" s="3" t="s">
        <v>747</v>
      </c>
      <c r="B1283" s="3" t="s">
        <v>748</v>
      </c>
      <c r="C1283" s="3" t="s">
        <v>80</v>
      </c>
      <c r="D1283" s="3" t="s">
        <v>826</v>
      </c>
      <c r="E1283" s="3" t="s">
        <v>827</v>
      </c>
      <c r="F1283" s="3">
        <v>5.0</v>
      </c>
      <c r="G1283" s="4">
        <v>-27.77909</v>
      </c>
      <c r="H1283" s="4">
        <v>-48.50021</v>
      </c>
      <c r="I1283" s="5">
        <v>3.0</v>
      </c>
      <c r="J1283" s="5" t="s">
        <v>153</v>
      </c>
      <c r="K1283" s="14" t="s">
        <v>153</v>
      </c>
      <c r="L1283" s="3"/>
      <c r="M1283" s="5">
        <v>9.0</v>
      </c>
      <c r="N1283" s="5">
        <v>29.0</v>
      </c>
      <c r="O1283" s="5"/>
      <c r="P1283" s="3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</row>
    <row r="1284" ht="15.75" customHeight="1">
      <c r="A1284" s="3" t="s">
        <v>747</v>
      </c>
      <c r="B1284" s="3" t="s">
        <v>748</v>
      </c>
      <c r="C1284" s="3" t="s">
        <v>80</v>
      </c>
      <c r="D1284" s="3" t="s">
        <v>826</v>
      </c>
      <c r="E1284" s="3" t="s">
        <v>827</v>
      </c>
      <c r="F1284" s="3">
        <v>5.0</v>
      </c>
      <c r="G1284" s="4">
        <v>-27.77909</v>
      </c>
      <c r="H1284" s="4">
        <v>-48.50021</v>
      </c>
      <c r="I1284" s="5">
        <v>4.0</v>
      </c>
      <c r="J1284" s="5" t="s">
        <v>98</v>
      </c>
      <c r="K1284" s="14" t="s">
        <v>98</v>
      </c>
      <c r="L1284" s="3"/>
      <c r="M1284" s="5">
        <v>11.0</v>
      </c>
      <c r="N1284" s="5">
        <v>29.5</v>
      </c>
      <c r="O1284" s="5"/>
      <c r="P1284" s="3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</row>
    <row r="1285" ht="15.75" customHeight="1">
      <c r="A1285" s="3" t="s">
        <v>747</v>
      </c>
      <c r="B1285" s="3" t="s">
        <v>748</v>
      </c>
      <c r="C1285" s="3" t="s">
        <v>80</v>
      </c>
      <c r="D1285" s="3" t="s">
        <v>826</v>
      </c>
      <c r="E1285" s="3" t="s">
        <v>827</v>
      </c>
      <c r="F1285" s="3">
        <v>5.0</v>
      </c>
      <c r="G1285" s="4">
        <v>-27.77909</v>
      </c>
      <c r="H1285" s="4">
        <v>-48.50021</v>
      </c>
      <c r="I1285" s="5">
        <v>5.0</v>
      </c>
      <c r="J1285" s="19" t="s">
        <v>830</v>
      </c>
      <c r="K1285" s="14" t="s">
        <v>315</v>
      </c>
      <c r="L1285" s="3"/>
      <c r="M1285" s="5">
        <v>8.0</v>
      </c>
      <c r="N1285" s="5">
        <v>22.0</v>
      </c>
      <c r="O1285" s="5" t="s">
        <v>831</v>
      </c>
      <c r="P1285" s="3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</row>
    <row r="1286" ht="15.75" customHeight="1">
      <c r="A1286" s="3" t="s">
        <v>747</v>
      </c>
      <c r="B1286" s="3" t="s">
        <v>748</v>
      </c>
      <c r="C1286" s="3" t="s">
        <v>80</v>
      </c>
      <c r="D1286" s="3" t="s">
        <v>826</v>
      </c>
      <c r="E1286" s="3" t="s">
        <v>827</v>
      </c>
      <c r="F1286" s="3">
        <v>5.0</v>
      </c>
      <c r="G1286" s="4">
        <v>-27.77909</v>
      </c>
      <c r="H1286" s="4">
        <v>-48.50021</v>
      </c>
      <c r="I1286" s="5">
        <v>6.0</v>
      </c>
      <c r="J1286" s="12" t="s">
        <v>832</v>
      </c>
      <c r="K1286" s="14" t="s">
        <v>109</v>
      </c>
      <c r="L1286" s="3"/>
      <c r="M1286" s="5">
        <v>7.5</v>
      </c>
      <c r="N1286" s="5">
        <v>22.5</v>
      </c>
      <c r="O1286" s="5" t="s">
        <v>833</v>
      </c>
      <c r="P1286" s="3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</row>
    <row r="1287" ht="15.75" customHeight="1">
      <c r="A1287" s="3" t="s">
        <v>747</v>
      </c>
      <c r="B1287" s="3" t="s">
        <v>748</v>
      </c>
      <c r="C1287" s="3" t="s">
        <v>80</v>
      </c>
      <c r="D1287" s="3" t="s">
        <v>826</v>
      </c>
      <c r="E1287" s="3" t="s">
        <v>827</v>
      </c>
      <c r="F1287" s="3">
        <v>5.0</v>
      </c>
      <c r="G1287" s="4">
        <v>-27.77909</v>
      </c>
      <c r="H1287" s="4">
        <v>-48.50021</v>
      </c>
      <c r="I1287" s="5">
        <v>7.0</v>
      </c>
      <c r="J1287" s="5" t="s">
        <v>834</v>
      </c>
      <c r="K1287" s="14" t="s">
        <v>834</v>
      </c>
      <c r="L1287" s="3"/>
      <c r="M1287" s="5">
        <v>7.5</v>
      </c>
      <c r="N1287" s="5" t="s">
        <v>835</v>
      </c>
      <c r="O1287" s="5"/>
      <c r="P1287" s="3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</row>
    <row r="1288" ht="15.75" customHeight="1">
      <c r="A1288" s="3" t="s">
        <v>747</v>
      </c>
      <c r="B1288" s="3" t="s">
        <v>748</v>
      </c>
      <c r="C1288" s="3" t="s">
        <v>80</v>
      </c>
      <c r="D1288" s="3" t="s">
        <v>826</v>
      </c>
      <c r="E1288" s="3" t="s">
        <v>827</v>
      </c>
      <c r="F1288" s="3">
        <v>5.0</v>
      </c>
      <c r="G1288" s="4">
        <v>-27.77909</v>
      </c>
      <c r="H1288" s="4">
        <v>-48.50021</v>
      </c>
      <c r="I1288" s="5">
        <v>8.0</v>
      </c>
      <c r="J1288" s="5" t="s">
        <v>98</v>
      </c>
      <c r="K1288" s="14" t="s">
        <v>98</v>
      </c>
      <c r="L1288" s="3"/>
      <c r="M1288" s="5">
        <v>8.0</v>
      </c>
      <c r="N1288" s="5">
        <v>19.0</v>
      </c>
      <c r="O1288" s="5"/>
      <c r="P1288" s="3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</row>
    <row r="1289" ht="15.75" customHeight="1">
      <c r="A1289" s="3" t="s">
        <v>747</v>
      </c>
      <c r="B1289" s="3" t="s">
        <v>748</v>
      </c>
      <c r="C1289" s="3" t="s">
        <v>80</v>
      </c>
      <c r="D1289" s="3" t="s">
        <v>826</v>
      </c>
      <c r="E1289" s="3" t="s">
        <v>827</v>
      </c>
      <c r="F1289" s="3">
        <v>5.0</v>
      </c>
      <c r="G1289" s="4">
        <v>-27.77909</v>
      </c>
      <c r="H1289" s="4">
        <v>-48.50021</v>
      </c>
      <c r="I1289" s="5">
        <v>9.0</v>
      </c>
      <c r="J1289" s="19" t="s">
        <v>836</v>
      </c>
      <c r="K1289" s="14" t="s">
        <v>315</v>
      </c>
      <c r="L1289" s="3"/>
      <c r="M1289" s="5">
        <v>10.0</v>
      </c>
      <c r="N1289" s="5">
        <v>33.0</v>
      </c>
      <c r="O1289" s="5" t="s">
        <v>837</v>
      </c>
      <c r="P1289" s="3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</row>
    <row r="1290" ht="15.75" customHeight="1">
      <c r="A1290" s="3" t="s">
        <v>747</v>
      </c>
      <c r="B1290" s="3" t="s">
        <v>748</v>
      </c>
      <c r="C1290" s="3" t="s">
        <v>80</v>
      </c>
      <c r="D1290" s="3" t="s">
        <v>826</v>
      </c>
      <c r="E1290" s="3" t="s">
        <v>827</v>
      </c>
      <c r="F1290" s="3">
        <v>5.0</v>
      </c>
      <c r="G1290" s="4">
        <v>-27.77909</v>
      </c>
      <c r="H1290" s="4">
        <v>-48.50021</v>
      </c>
      <c r="I1290" s="5">
        <v>10.0</v>
      </c>
      <c r="J1290" s="5" t="s">
        <v>153</v>
      </c>
      <c r="K1290" s="14" t="s">
        <v>153</v>
      </c>
      <c r="L1290" s="3"/>
      <c r="M1290" s="5">
        <v>9.0</v>
      </c>
      <c r="N1290" s="5">
        <v>29.0</v>
      </c>
      <c r="O1290" s="5"/>
      <c r="P1290" s="3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</row>
    <row r="1291" ht="15.75" customHeight="1">
      <c r="A1291" s="3" t="s">
        <v>747</v>
      </c>
      <c r="B1291" s="3" t="s">
        <v>748</v>
      </c>
      <c r="C1291" s="3" t="s">
        <v>80</v>
      </c>
      <c r="D1291" s="3" t="s">
        <v>826</v>
      </c>
      <c r="E1291" s="3" t="s">
        <v>827</v>
      </c>
      <c r="F1291" s="3">
        <v>5.0</v>
      </c>
      <c r="G1291" s="4">
        <v>-27.77909</v>
      </c>
      <c r="H1291" s="4">
        <v>-48.50021</v>
      </c>
      <c r="I1291" s="5">
        <v>11.0</v>
      </c>
      <c r="J1291" s="5" t="s">
        <v>40</v>
      </c>
      <c r="K1291" s="14" t="s">
        <v>40</v>
      </c>
      <c r="L1291" s="3"/>
      <c r="M1291" s="5">
        <v>8.0</v>
      </c>
      <c r="N1291" s="5" t="s">
        <v>838</v>
      </c>
      <c r="O1291" s="5"/>
      <c r="P1291" s="3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</row>
    <row r="1292" ht="15.75" customHeight="1">
      <c r="A1292" s="3" t="s">
        <v>747</v>
      </c>
      <c r="B1292" s="3" t="s">
        <v>748</v>
      </c>
      <c r="C1292" s="3" t="s">
        <v>80</v>
      </c>
      <c r="D1292" s="3" t="s">
        <v>826</v>
      </c>
      <c r="E1292" s="3" t="s">
        <v>827</v>
      </c>
      <c r="F1292" s="3">
        <v>5.0</v>
      </c>
      <c r="G1292" s="4">
        <v>-27.77909</v>
      </c>
      <c r="H1292" s="4">
        <v>-48.50021</v>
      </c>
      <c r="I1292" s="5">
        <v>12.0</v>
      </c>
      <c r="J1292" s="5" t="s">
        <v>839</v>
      </c>
      <c r="K1292" s="14" t="s">
        <v>839</v>
      </c>
      <c r="L1292" s="3"/>
      <c r="M1292" s="5">
        <v>7.0</v>
      </c>
      <c r="N1292" s="5" t="s">
        <v>840</v>
      </c>
      <c r="O1292" s="5"/>
      <c r="P1292" s="3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</row>
    <row r="1293" ht="15.75" customHeight="1">
      <c r="A1293" s="3" t="s">
        <v>747</v>
      </c>
      <c r="B1293" s="3" t="s">
        <v>748</v>
      </c>
      <c r="C1293" s="3" t="s">
        <v>80</v>
      </c>
      <c r="D1293" s="3" t="s">
        <v>826</v>
      </c>
      <c r="E1293" s="3" t="s">
        <v>827</v>
      </c>
      <c r="F1293" s="3">
        <v>5.0</v>
      </c>
      <c r="G1293" s="4">
        <v>-27.77909</v>
      </c>
      <c r="H1293" s="4">
        <v>-48.50021</v>
      </c>
      <c r="I1293" s="5">
        <v>13.0</v>
      </c>
      <c r="J1293" s="5" t="s">
        <v>55</v>
      </c>
      <c r="K1293" s="14" t="s">
        <v>55</v>
      </c>
      <c r="L1293" s="3"/>
      <c r="M1293" s="5">
        <v>7.0</v>
      </c>
      <c r="N1293" s="5">
        <v>21.0</v>
      </c>
      <c r="O1293" s="5"/>
      <c r="P1293" s="3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</row>
    <row r="1294" ht="15.75" customHeight="1">
      <c r="A1294" s="3" t="s">
        <v>747</v>
      </c>
      <c r="B1294" s="3" t="s">
        <v>748</v>
      </c>
      <c r="C1294" s="3" t="s">
        <v>80</v>
      </c>
      <c r="D1294" s="3" t="s">
        <v>826</v>
      </c>
      <c r="E1294" s="3" t="s">
        <v>827</v>
      </c>
      <c r="F1294" s="3">
        <v>5.0</v>
      </c>
      <c r="G1294" s="4">
        <v>-27.77909</v>
      </c>
      <c r="H1294" s="4">
        <v>-48.50021</v>
      </c>
      <c r="I1294" s="5">
        <v>14.0</v>
      </c>
      <c r="J1294" s="5" t="s">
        <v>86</v>
      </c>
      <c r="K1294" s="14" t="s">
        <v>86</v>
      </c>
      <c r="L1294" s="3"/>
      <c r="M1294" s="5">
        <v>7.0</v>
      </c>
      <c r="N1294" s="5">
        <v>20.0</v>
      </c>
      <c r="O1294" s="5"/>
      <c r="P1294" s="3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</row>
    <row r="1295" ht="15.75" customHeight="1">
      <c r="A1295" s="3" t="s">
        <v>747</v>
      </c>
      <c r="B1295" s="3" t="s">
        <v>748</v>
      </c>
      <c r="C1295" s="3" t="s">
        <v>80</v>
      </c>
      <c r="D1295" s="3" t="s">
        <v>826</v>
      </c>
      <c r="E1295" s="3" t="s">
        <v>827</v>
      </c>
      <c r="F1295" s="3">
        <v>5.0</v>
      </c>
      <c r="G1295" s="4">
        <v>-27.77909</v>
      </c>
      <c r="H1295" s="4">
        <v>-48.50021</v>
      </c>
      <c r="I1295" s="5">
        <v>15.0</v>
      </c>
      <c r="J1295" s="19" t="s">
        <v>836</v>
      </c>
      <c r="K1295" s="14" t="s">
        <v>315</v>
      </c>
      <c r="L1295" s="3"/>
      <c r="M1295" s="5">
        <v>12.0</v>
      </c>
      <c r="N1295" s="5">
        <v>73.5</v>
      </c>
      <c r="O1295" s="5" t="s">
        <v>841</v>
      </c>
      <c r="P1295" s="3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</row>
    <row r="1296" ht="15.75" customHeight="1">
      <c r="A1296" s="3" t="s">
        <v>747</v>
      </c>
      <c r="B1296" s="3" t="s">
        <v>748</v>
      </c>
      <c r="C1296" s="3" t="s">
        <v>80</v>
      </c>
      <c r="D1296" s="3" t="s">
        <v>826</v>
      </c>
      <c r="E1296" s="3" t="s">
        <v>827</v>
      </c>
      <c r="F1296" s="3">
        <v>5.0</v>
      </c>
      <c r="G1296" s="4">
        <v>-27.77909</v>
      </c>
      <c r="H1296" s="4">
        <v>-48.50021</v>
      </c>
      <c r="I1296" s="5">
        <v>16.0</v>
      </c>
      <c r="J1296" s="5" t="s">
        <v>842</v>
      </c>
      <c r="K1296" s="14" t="s">
        <v>179</v>
      </c>
      <c r="L1296" s="3"/>
      <c r="M1296" s="5">
        <v>10.0</v>
      </c>
      <c r="N1296" s="5" t="s">
        <v>843</v>
      </c>
      <c r="O1296" s="5" t="s">
        <v>844</v>
      </c>
      <c r="P1296" s="3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</row>
    <row r="1297" ht="15.75" customHeight="1">
      <c r="A1297" s="3" t="s">
        <v>747</v>
      </c>
      <c r="B1297" s="3" t="s">
        <v>748</v>
      </c>
      <c r="C1297" s="3" t="s">
        <v>80</v>
      </c>
      <c r="D1297" s="3" t="s">
        <v>826</v>
      </c>
      <c r="E1297" s="3" t="s">
        <v>827</v>
      </c>
      <c r="F1297" s="3">
        <v>5.0</v>
      </c>
      <c r="G1297" s="4">
        <v>-27.77909</v>
      </c>
      <c r="H1297" s="4">
        <v>-48.50021</v>
      </c>
      <c r="I1297" s="5">
        <v>17.0</v>
      </c>
      <c r="J1297" s="19" t="s">
        <v>845</v>
      </c>
      <c r="K1297" s="14" t="s">
        <v>315</v>
      </c>
      <c r="L1297" s="3"/>
      <c r="M1297" s="5">
        <v>12.0</v>
      </c>
      <c r="N1297" s="5">
        <v>38.5</v>
      </c>
      <c r="O1297" s="5" t="s">
        <v>846</v>
      </c>
      <c r="P1297" s="3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</row>
    <row r="1298" ht="15.75" customHeight="1">
      <c r="A1298" s="3" t="s">
        <v>747</v>
      </c>
      <c r="B1298" s="3" t="s">
        <v>748</v>
      </c>
      <c r="C1298" s="3" t="s">
        <v>80</v>
      </c>
      <c r="D1298" s="3" t="s">
        <v>826</v>
      </c>
      <c r="E1298" s="3" t="s">
        <v>827</v>
      </c>
      <c r="F1298" s="3">
        <v>5.0</v>
      </c>
      <c r="G1298" s="4">
        <v>-27.77909</v>
      </c>
      <c r="H1298" s="4">
        <v>-48.50021</v>
      </c>
      <c r="I1298" s="5">
        <v>18.0</v>
      </c>
      <c r="J1298" s="5" t="s">
        <v>98</v>
      </c>
      <c r="K1298" s="14" t="s">
        <v>98</v>
      </c>
      <c r="L1298" s="3"/>
      <c r="M1298" s="5">
        <v>13.0</v>
      </c>
      <c r="N1298" s="5">
        <v>27.5</v>
      </c>
      <c r="O1298" s="5"/>
      <c r="P1298" s="3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</row>
    <row r="1299" ht="15.75" customHeight="1">
      <c r="A1299" s="3" t="s">
        <v>747</v>
      </c>
      <c r="B1299" s="3" t="s">
        <v>748</v>
      </c>
      <c r="C1299" s="3" t="s">
        <v>80</v>
      </c>
      <c r="D1299" s="3" t="s">
        <v>826</v>
      </c>
      <c r="E1299" s="3" t="s">
        <v>827</v>
      </c>
      <c r="F1299" s="3">
        <v>5.0</v>
      </c>
      <c r="G1299" s="4">
        <v>-27.77909</v>
      </c>
      <c r="H1299" s="4">
        <v>-48.50021</v>
      </c>
      <c r="I1299" s="5">
        <v>19.0</v>
      </c>
      <c r="J1299" s="5" t="s">
        <v>842</v>
      </c>
      <c r="K1299" s="14" t="s">
        <v>179</v>
      </c>
      <c r="L1299" s="3"/>
      <c r="M1299" s="5">
        <v>7.0</v>
      </c>
      <c r="N1299" s="5">
        <v>19.5</v>
      </c>
      <c r="O1299" s="5"/>
      <c r="P1299" s="3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</row>
    <row r="1300" ht="15.75" customHeight="1">
      <c r="A1300" s="3" t="s">
        <v>747</v>
      </c>
      <c r="B1300" s="3" t="s">
        <v>748</v>
      </c>
      <c r="C1300" s="3" t="s">
        <v>80</v>
      </c>
      <c r="D1300" s="3" t="s">
        <v>826</v>
      </c>
      <c r="E1300" s="3" t="s">
        <v>827</v>
      </c>
      <c r="F1300" s="3">
        <v>5.0</v>
      </c>
      <c r="G1300" s="4">
        <v>-27.77909</v>
      </c>
      <c r="H1300" s="4">
        <v>-48.50021</v>
      </c>
      <c r="I1300" s="5">
        <v>20.0</v>
      </c>
      <c r="J1300" s="5" t="s">
        <v>98</v>
      </c>
      <c r="K1300" s="5" t="s">
        <v>98</v>
      </c>
      <c r="L1300" s="3"/>
      <c r="M1300" s="5">
        <v>7.0</v>
      </c>
      <c r="N1300" s="5">
        <v>22.0</v>
      </c>
      <c r="O1300" s="5"/>
      <c r="P1300" s="3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</row>
    <row r="1301" ht="15.75" customHeight="1">
      <c r="A1301" s="3" t="s">
        <v>747</v>
      </c>
      <c r="B1301" s="3" t="s">
        <v>748</v>
      </c>
      <c r="C1301" s="3" t="s">
        <v>80</v>
      </c>
      <c r="D1301" s="3" t="s">
        <v>826</v>
      </c>
      <c r="E1301" s="3" t="s">
        <v>827</v>
      </c>
      <c r="F1301" s="3">
        <v>5.0</v>
      </c>
      <c r="G1301" s="4">
        <v>-27.77909</v>
      </c>
      <c r="H1301" s="4">
        <v>-48.50021</v>
      </c>
      <c r="I1301" s="5">
        <v>21.0</v>
      </c>
      <c r="J1301" s="5" t="s">
        <v>154</v>
      </c>
      <c r="K1301" s="5" t="s">
        <v>154</v>
      </c>
      <c r="L1301" s="3"/>
      <c r="M1301" s="5">
        <v>9.0</v>
      </c>
      <c r="N1301" s="5">
        <v>21.0</v>
      </c>
      <c r="O1301" s="5"/>
      <c r="P1301" s="3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</row>
    <row r="1302" ht="15.75" customHeight="1">
      <c r="A1302" s="3" t="s">
        <v>747</v>
      </c>
      <c r="B1302" s="3" t="s">
        <v>748</v>
      </c>
      <c r="C1302" s="3" t="s">
        <v>80</v>
      </c>
      <c r="D1302" s="3" t="s">
        <v>826</v>
      </c>
      <c r="E1302" s="3" t="s">
        <v>827</v>
      </c>
      <c r="F1302" s="3">
        <v>5.0</v>
      </c>
      <c r="G1302" s="4">
        <v>-27.77909</v>
      </c>
      <c r="H1302" s="4">
        <v>-48.50021</v>
      </c>
      <c r="I1302" s="5">
        <v>22.0</v>
      </c>
      <c r="J1302" s="5" t="s">
        <v>164</v>
      </c>
      <c r="K1302" s="5" t="s">
        <v>164</v>
      </c>
      <c r="L1302" s="3"/>
      <c r="M1302" s="5">
        <v>8.0</v>
      </c>
      <c r="N1302" s="5">
        <v>52.0</v>
      </c>
      <c r="O1302" s="5"/>
      <c r="P1302" s="3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</row>
    <row r="1303" ht="15.75" customHeight="1">
      <c r="A1303" s="3" t="s">
        <v>747</v>
      </c>
      <c r="B1303" s="3" t="s">
        <v>748</v>
      </c>
      <c r="C1303" s="3" t="s">
        <v>80</v>
      </c>
      <c r="D1303" s="3" t="s">
        <v>826</v>
      </c>
      <c r="E1303" s="3" t="s">
        <v>827</v>
      </c>
      <c r="F1303" s="3">
        <v>5.0</v>
      </c>
      <c r="G1303" s="4">
        <v>-27.77909</v>
      </c>
      <c r="H1303" s="4">
        <v>-48.50021</v>
      </c>
      <c r="I1303" s="5">
        <v>23.0</v>
      </c>
      <c r="J1303" s="14" t="s">
        <v>232</v>
      </c>
      <c r="K1303" s="14" t="s">
        <v>232</v>
      </c>
      <c r="L1303" s="3"/>
      <c r="M1303" s="5">
        <v>9.0</v>
      </c>
      <c r="N1303" s="5">
        <v>22.0</v>
      </c>
      <c r="O1303" s="5" t="s">
        <v>847</v>
      </c>
      <c r="P1303" s="3" t="s">
        <v>77</v>
      </c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</row>
    <row r="1304" ht="15.75" customHeight="1">
      <c r="A1304" s="3" t="s">
        <v>747</v>
      </c>
      <c r="B1304" s="3" t="s">
        <v>748</v>
      </c>
      <c r="C1304" s="3" t="s">
        <v>80</v>
      </c>
      <c r="D1304" s="3" t="s">
        <v>826</v>
      </c>
      <c r="E1304" s="3" t="s">
        <v>827</v>
      </c>
      <c r="F1304" s="3">
        <v>5.0</v>
      </c>
      <c r="G1304" s="4">
        <v>-27.77909</v>
      </c>
      <c r="H1304" s="4">
        <v>-48.50021</v>
      </c>
      <c r="I1304" s="5">
        <v>24.0</v>
      </c>
      <c r="J1304" s="5" t="s">
        <v>839</v>
      </c>
      <c r="K1304" s="5" t="s">
        <v>839</v>
      </c>
      <c r="L1304" s="3"/>
      <c r="M1304" s="5">
        <v>8.0</v>
      </c>
      <c r="N1304" s="5">
        <v>27.0</v>
      </c>
      <c r="O1304" s="5"/>
      <c r="P1304" s="3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</row>
    <row r="1305" ht="15.75" customHeight="1">
      <c r="A1305" s="3" t="s">
        <v>747</v>
      </c>
      <c r="B1305" s="3" t="s">
        <v>748</v>
      </c>
      <c r="C1305" s="3" t="s">
        <v>80</v>
      </c>
      <c r="D1305" s="3" t="s">
        <v>826</v>
      </c>
      <c r="E1305" s="3" t="s">
        <v>827</v>
      </c>
      <c r="F1305" s="3">
        <v>5.0</v>
      </c>
      <c r="G1305" s="4">
        <v>-27.77909</v>
      </c>
      <c r="H1305" s="4">
        <v>-48.50021</v>
      </c>
      <c r="I1305" s="5">
        <v>25.0</v>
      </c>
      <c r="J1305" s="5" t="s">
        <v>834</v>
      </c>
      <c r="K1305" s="5" t="s">
        <v>834</v>
      </c>
      <c r="L1305" s="3"/>
      <c r="M1305" s="5">
        <v>9.0</v>
      </c>
      <c r="N1305" s="5">
        <v>36.0</v>
      </c>
      <c r="O1305" s="5"/>
      <c r="P1305" s="3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</row>
    <row r="1306" ht="15.75" customHeight="1">
      <c r="A1306" s="3" t="s">
        <v>747</v>
      </c>
      <c r="B1306" s="3" t="s">
        <v>748</v>
      </c>
      <c r="C1306" s="3" t="s">
        <v>80</v>
      </c>
      <c r="D1306" s="3" t="s">
        <v>826</v>
      </c>
      <c r="E1306" s="3" t="s">
        <v>827</v>
      </c>
      <c r="F1306" s="3">
        <v>5.0</v>
      </c>
      <c r="G1306" s="4">
        <v>-27.77909</v>
      </c>
      <c r="H1306" s="4">
        <v>-48.50021</v>
      </c>
      <c r="I1306" s="5">
        <v>26.0</v>
      </c>
      <c r="J1306" s="5" t="s">
        <v>98</v>
      </c>
      <c r="K1306" s="5" t="s">
        <v>98</v>
      </c>
      <c r="L1306" s="3"/>
      <c r="M1306" s="5">
        <v>8.0</v>
      </c>
      <c r="N1306" s="5">
        <v>25.0</v>
      </c>
      <c r="O1306" s="5"/>
      <c r="P1306" s="3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</row>
    <row r="1307" ht="15.75" customHeight="1">
      <c r="A1307" s="3" t="s">
        <v>747</v>
      </c>
      <c r="B1307" s="3" t="s">
        <v>748</v>
      </c>
      <c r="C1307" s="3" t="s">
        <v>80</v>
      </c>
      <c r="D1307" s="3" t="s">
        <v>826</v>
      </c>
      <c r="E1307" s="3" t="s">
        <v>827</v>
      </c>
      <c r="F1307" s="3">
        <v>5.0</v>
      </c>
      <c r="G1307" s="4">
        <v>-27.77909</v>
      </c>
      <c r="H1307" s="4">
        <v>-48.50021</v>
      </c>
      <c r="I1307" s="5">
        <v>27.0</v>
      </c>
      <c r="J1307" s="14" t="s">
        <v>803</v>
      </c>
      <c r="K1307" s="5" t="s">
        <v>803</v>
      </c>
      <c r="L1307" s="3"/>
      <c r="M1307" s="5">
        <v>12.0</v>
      </c>
      <c r="N1307" s="5">
        <v>46.0</v>
      </c>
      <c r="O1307" s="5" t="s">
        <v>848</v>
      </c>
      <c r="P1307" s="3" t="s">
        <v>849</v>
      </c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</row>
    <row r="1308" ht="15.75" customHeight="1">
      <c r="A1308" s="3" t="s">
        <v>747</v>
      </c>
      <c r="B1308" s="3" t="s">
        <v>748</v>
      </c>
      <c r="C1308" s="3" t="s">
        <v>80</v>
      </c>
      <c r="D1308" s="3" t="s">
        <v>826</v>
      </c>
      <c r="E1308" s="3" t="s">
        <v>827</v>
      </c>
      <c r="F1308" s="3">
        <v>5.0</v>
      </c>
      <c r="G1308" s="4">
        <v>-27.77909</v>
      </c>
      <c r="H1308" s="4">
        <v>-48.50021</v>
      </c>
      <c r="I1308" s="5">
        <v>28.0</v>
      </c>
      <c r="J1308" s="5" t="s">
        <v>154</v>
      </c>
      <c r="K1308" s="5" t="s">
        <v>154</v>
      </c>
      <c r="L1308" s="3"/>
      <c r="M1308" s="5">
        <v>9.0</v>
      </c>
      <c r="N1308" s="5">
        <v>18.5</v>
      </c>
      <c r="O1308" s="5"/>
      <c r="P1308" s="3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</row>
    <row r="1309" ht="15.75" customHeight="1">
      <c r="A1309" s="3" t="s">
        <v>747</v>
      </c>
      <c r="B1309" s="3" t="s">
        <v>748</v>
      </c>
      <c r="C1309" s="3" t="s">
        <v>80</v>
      </c>
      <c r="D1309" s="3" t="s">
        <v>826</v>
      </c>
      <c r="E1309" s="3" t="s">
        <v>827</v>
      </c>
      <c r="F1309" s="3">
        <v>5.0</v>
      </c>
      <c r="G1309" s="4">
        <v>-27.77909</v>
      </c>
      <c r="H1309" s="4">
        <v>-48.50021</v>
      </c>
      <c r="I1309" s="5">
        <v>29.0</v>
      </c>
      <c r="J1309" s="5" t="s">
        <v>153</v>
      </c>
      <c r="K1309" s="5" t="s">
        <v>153</v>
      </c>
      <c r="L1309" s="3"/>
      <c r="M1309" s="5">
        <v>7.0</v>
      </c>
      <c r="N1309" s="5">
        <v>16.5</v>
      </c>
      <c r="O1309" s="5"/>
      <c r="P1309" s="3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</row>
    <row r="1310" ht="15.75" customHeight="1">
      <c r="A1310" s="3" t="s">
        <v>747</v>
      </c>
      <c r="B1310" s="3" t="s">
        <v>748</v>
      </c>
      <c r="C1310" s="3" t="s">
        <v>80</v>
      </c>
      <c r="D1310" s="3" t="s">
        <v>826</v>
      </c>
      <c r="E1310" s="3" t="s">
        <v>827</v>
      </c>
      <c r="F1310" s="3">
        <v>5.0</v>
      </c>
      <c r="G1310" s="4">
        <v>-27.77909</v>
      </c>
      <c r="H1310" s="4">
        <v>-48.50021</v>
      </c>
      <c r="I1310" s="5">
        <v>30.0</v>
      </c>
      <c r="J1310" s="5" t="s">
        <v>153</v>
      </c>
      <c r="K1310" s="5" t="s">
        <v>153</v>
      </c>
      <c r="L1310" s="3"/>
      <c r="M1310" s="5">
        <v>8.0</v>
      </c>
      <c r="N1310" s="5">
        <v>19.5</v>
      </c>
      <c r="O1310" s="5"/>
      <c r="P1310" s="3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</row>
    <row r="1311" ht="15.75" customHeight="1">
      <c r="A1311" s="3" t="s">
        <v>747</v>
      </c>
      <c r="B1311" s="3" t="s">
        <v>748</v>
      </c>
      <c r="C1311" s="3" t="s">
        <v>80</v>
      </c>
      <c r="D1311" s="3" t="s">
        <v>826</v>
      </c>
      <c r="E1311" s="3" t="s">
        <v>827</v>
      </c>
      <c r="F1311" s="3">
        <v>5.0</v>
      </c>
      <c r="G1311" s="4">
        <v>-27.77909</v>
      </c>
      <c r="H1311" s="4">
        <v>-48.50021</v>
      </c>
      <c r="I1311" s="5">
        <v>31.0</v>
      </c>
      <c r="J1311" s="12" t="s">
        <v>167</v>
      </c>
      <c r="K1311" s="5" t="s">
        <v>167</v>
      </c>
      <c r="L1311" s="3"/>
      <c r="M1311" s="5">
        <v>7.0</v>
      </c>
      <c r="N1311" s="5">
        <v>24.0</v>
      </c>
      <c r="O1311" s="5"/>
      <c r="P1311" s="3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</row>
    <row r="1312" ht="15.75" customHeight="1">
      <c r="A1312" s="3" t="s">
        <v>747</v>
      </c>
      <c r="B1312" s="3" t="s">
        <v>748</v>
      </c>
      <c r="C1312" s="3" t="s">
        <v>80</v>
      </c>
      <c r="D1312" s="3" t="s">
        <v>826</v>
      </c>
      <c r="E1312" s="3" t="s">
        <v>827</v>
      </c>
      <c r="F1312" s="3">
        <v>5.0</v>
      </c>
      <c r="G1312" s="4">
        <v>-27.77909</v>
      </c>
      <c r="H1312" s="4">
        <v>-48.50021</v>
      </c>
      <c r="I1312" s="5">
        <v>32.0</v>
      </c>
      <c r="J1312" s="5" t="s">
        <v>31</v>
      </c>
      <c r="K1312" s="5" t="s">
        <v>31</v>
      </c>
      <c r="L1312" s="3"/>
      <c r="M1312" s="5">
        <v>4.0</v>
      </c>
      <c r="N1312" s="5" t="s">
        <v>850</v>
      </c>
      <c r="O1312" s="5"/>
      <c r="P1312" s="3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</row>
    <row r="1313" ht="15.75" customHeight="1">
      <c r="A1313" s="3" t="s">
        <v>747</v>
      </c>
      <c r="B1313" s="3" t="s">
        <v>748</v>
      </c>
      <c r="C1313" s="3" t="s">
        <v>80</v>
      </c>
      <c r="D1313" s="3" t="s">
        <v>826</v>
      </c>
      <c r="E1313" s="3" t="s">
        <v>827</v>
      </c>
      <c r="F1313" s="3">
        <v>5.0</v>
      </c>
      <c r="G1313" s="4">
        <v>-27.77909</v>
      </c>
      <c r="H1313" s="4">
        <v>-48.50021</v>
      </c>
      <c r="I1313" s="5">
        <v>33.0</v>
      </c>
      <c r="J1313" s="14" t="s">
        <v>232</v>
      </c>
      <c r="K1313" s="5" t="s">
        <v>232</v>
      </c>
      <c r="L1313" s="3"/>
      <c r="M1313" s="5">
        <v>7.5</v>
      </c>
      <c r="N1313" s="5">
        <v>17.0</v>
      </c>
      <c r="O1313" s="5"/>
      <c r="P1313" s="5" t="s">
        <v>851</v>
      </c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</row>
    <row r="1314" ht="15.75" customHeight="1">
      <c r="A1314" s="3" t="s">
        <v>747</v>
      </c>
      <c r="B1314" s="3" t="s">
        <v>748</v>
      </c>
      <c r="C1314" s="3" t="s">
        <v>80</v>
      </c>
      <c r="D1314" s="3" t="s">
        <v>826</v>
      </c>
      <c r="E1314" s="3" t="s">
        <v>852</v>
      </c>
      <c r="F1314" s="3">
        <v>6.0</v>
      </c>
      <c r="G1314" s="4">
        <v>-27.77891</v>
      </c>
      <c r="H1314" s="4">
        <v>-48.49956</v>
      </c>
      <c r="I1314" s="5">
        <v>1.0</v>
      </c>
      <c r="J1314" s="5" t="s">
        <v>154</v>
      </c>
      <c r="K1314" s="5" t="s">
        <v>154</v>
      </c>
      <c r="L1314" s="3"/>
      <c r="M1314" s="5">
        <v>9.0</v>
      </c>
      <c r="N1314" s="5">
        <v>48.0</v>
      </c>
      <c r="O1314" s="5"/>
      <c r="P1314" s="3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</row>
    <row r="1315" ht="15.75" customHeight="1">
      <c r="A1315" s="3" t="s">
        <v>747</v>
      </c>
      <c r="B1315" s="3" t="s">
        <v>748</v>
      </c>
      <c r="C1315" s="3" t="s">
        <v>80</v>
      </c>
      <c r="D1315" s="3" t="s">
        <v>826</v>
      </c>
      <c r="E1315" s="3" t="s">
        <v>852</v>
      </c>
      <c r="F1315" s="3">
        <v>6.0</v>
      </c>
      <c r="G1315" s="4">
        <v>-27.77891</v>
      </c>
      <c r="H1315" s="4">
        <v>-48.49956</v>
      </c>
      <c r="I1315" s="5">
        <v>2.0</v>
      </c>
      <c r="J1315" s="5" t="s">
        <v>797</v>
      </c>
      <c r="K1315" s="5" t="s">
        <v>797</v>
      </c>
      <c r="L1315" s="3"/>
      <c r="M1315" s="5">
        <v>7.0</v>
      </c>
      <c r="N1315" s="5">
        <v>23.0</v>
      </c>
      <c r="O1315" s="5" t="s">
        <v>853</v>
      </c>
      <c r="P1315" s="3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</row>
    <row r="1316" ht="15.75" customHeight="1">
      <c r="A1316" s="3" t="s">
        <v>747</v>
      </c>
      <c r="B1316" s="3" t="s">
        <v>748</v>
      </c>
      <c r="C1316" s="3" t="s">
        <v>80</v>
      </c>
      <c r="D1316" s="3" t="s">
        <v>826</v>
      </c>
      <c r="E1316" s="3" t="s">
        <v>852</v>
      </c>
      <c r="F1316" s="3">
        <v>6.0</v>
      </c>
      <c r="G1316" s="4">
        <v>-27.77891</v>
      </c>
      <c r="H1316" s="4">
        <v>-48.49956</v>
      </c>
      <c r="I1316" s="5">
        <v>3.0</v>
      </c>
      <c r="J1316" s="19" t="s">
        <v>854</v>
      </c>
      <c r="K1316" s="5" t="s">
        <v>315</v>
      </c>
      <c r="L1316" s="3"/>
      <c r="M1316" s="5">
        <v>5.0</v>
      </c>
      <c r="N1316" s="5">
        <v>22.0</v>
      </c>
      <c r="O1316" s="5" t="s">
        <v>855</v>
      </c>
      <c r="P1316" s="3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</row>
    <row r="1317" ht="15.75" customHeight="1">
      <c r="A1317" s="3" t="s">
        <v>747</v>
      </c>
      <c r="B1317" s="3" t="s">
        <v>748</v>
      </c>
      <c r="C1317" s="3" t="s">
        <v>80</v>
      </c>
      <c r="D1317" s="3" t="s">
        <v>826</v>
      </c>
      <c r="E1317" s="3" t="s">
        <v>852</v>
      </c>
      <c r="F1317" s="3">
        <v>6.0</v>
      </c>
      <c r="G1317" s="4">
        <v>-27.77891</v>
      </c>
      <c r="H1317" s="4">
        <v>-48.49956</v>
      </c>
      <c r="I1317" s="5">
        <v>4.0</v>
      </c>
      <c r="J1317" s="19" t="s">
        <v>823</v>
      </c>
      <c r="K1317" s="5" t="s">
        <v>315</v>
      </c>
      <c r="L1317" s="3"/>
      <c r="M1317" s="5">
        <v>9.0</v>
      </c>
      <c r="N1317" s="5">
        <v>32.0</v>
      </c>
      <c r="O1317" s="5"/>
      <c r="P1317" s="3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</row>
    <row r="1318" ht="15.75" customHeight="1">
      <c r="A1318" s="3" t="s">
        <v>747</v>
      </c>
      <c r="B1318" s="3" t="s">
        <v>748</v>
      </c>
      <c r="C1318" s="3" t="s">
        <v>80</v>
      </c>
      <c r="D1318" s="3" t="s">
        <v>826</v>
      </c>
      <c r="E1318" s="3" t="s">
        <v>852</v>
      </c>
      <c r="F1318" s="3">
        <v>6.0</v>
      </c>
      <c r="G1318" s="4">
        <v>-27.77891</v>
      </c>
      <c r="H1318" s="4">
        <v>-48.49956</v>
      </c>
      <c r="I1318" s="5">
        <v>5.0</v>
      </c>
      <c r="J1318" s="5" t="s">
        <v>191</v>
      </c>
      <c r="K1318" s="5" t="s">
        <v>191</v>
      </c>
      <c r="L1318" s="3"/>
      <c r="M1318" s="5">
        <v>9.0</v>
      </c>
      <c r="N1318" s="5">
        <v>27.0</v>
      </c>
      <c r="O1318" s="5"/>
      <c r="P1318" s="3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</row>
    <row r="1319" ht="15.75" customHeight="1">
      <c r="A1319" s="3" t="s">
        <v>747</v>
      </c>
      <c r="B1319" s="3" t="s">
        <v>748</v>
      </c>
      <c r="C1319" s="3" t="s">
        <v>80</v>
      </c>
      <c r="D1319" s="3" t="s">
        <v>826</v>
      </c>
      <c r="E1319" s="3" t="s">
        <v>852</v>
      </c>
      <c r="F1319" s="3">
        <v>6.0</v>
      </c>
      <c r="G1319" s="4">
        <v>-27.77891</v>
      </c>
      <c r="H1319" s="4">
        <v>-48.49956</v>
      </c>
      <c r="I1319" s="5">
        <v>6.0</v>
      </c>
      <c r="J1319" s="5" t="s">
        <v>474</v>
      </c>
      <c r="K1319" s="5" t="s">
        <v>98</v>
      </c>
      <c r="L1319" s="3"/>
      <c r="M1319" s="5">
        <v>9.0</v>
      </c>
      <c r="N1319" s="5">
        <v>24.0</v>
      </c>
      <c r="O1319" s="5"/>
      <c r="P1319" s="3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</row>
    <row r="1320" ht="15.75" customHeight="1">
      <c r="A1320" s="3" t="s">
        <v>747</v>
      </c>
      <c r="B1320" s="3" t="s">
        <v>748</v>
      </c>
      <c r="C1320" s="3" t="s">
        <v>80</v>
      </c>
      <c r="D1320" s="3" t="s">
        <v>826</v>
      </c>
      <c r="E1320" s="3" t="s">
        <v>852</v>
      </c>
      <c r="F1320" s="3">
        <v>6.0</v>
      </c>
      <c r="G1320" s="4">
        <v>-27.77891</v>
      </c>
      <c r="H1320" s="4">
        <v>-48.49956</v>
      </c>
      <c r="I1320" s="5">
        <v>7.0</v>
      </c>
      <c r="J1320" s="5" t="s">
        <v>153</v>
      </c>
      <c r="K1320" s="5" t="s">
        <v>153</v>
      </c>
      <c r="L1320" s="3"/>
      <c r="M1320" s="5">
        <v>8.0</v>
      </c>
      <c r="N1320" s="5">
        <v>30.5</v>
      </c>
      <c r="O1320" s="5"/>
      <c r="P1320" s="3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</row>
    <row r="1321" ht="15.75" customHeight="1">
      <c r="A1321" s="3" t="s">
        <v>747</v>
      </c>
      <c r="B1321" s="3" t="s">
        <v>748</v>
      </c>
      <c r="C1321" s="3" t="s">
        <v>80</v>
      </c>
      <c r="D1321" s="3" t="s">
        <v>826</v>
      </c>
      <c r="E1321" s="3" t="s">
        <v>852</v>
      </c>
      <c r="F1321" s="3">
        <v>6.0</v>
      </c>
      <c r="G1321" s="4">
        <v>-27.77891</v>
      </c>
      <c r="H1321" s="4">
        <v>-48.49956</v>
      </c>
      <c r="I1321" s="5">
        <v>8.0</v>
      </c>
      <c r="J1321" s="5" t="s">
        <v>834</v>
      </c>
      <c r="K1321" s="5" t="s">
        <v>834</v>
      </c>
      <c r="L1321" s="3"/>
      <c r="M1321" s="5">
        <v>7.0</v>
      </c>
      <c r="N1321" s="5" t="s">
        <v>856</v>
      </c>
      <c r="O1321" s="5"/>
      <c r="P1321" s="3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</row>
    <row r="1322" ht="15.75" customHeight="1">
      <c r="A1322" s="3" t="s">
        <v>747</v>
      </c>
      <c r="B1322" s="3" t="s">
        <v>748</v>
      </c>
      <c r="C1322" s="3" t="s">
        <v>80</v>
      </c>
      <c r="D1322" s="3" t="s">
        <v>826</v>
      </c>
      <c r="E1322" s="3" t="s">
        <v>852</v>
      </c>
      <c r="F1322" s="3">
        <v>6.0</v>
      </c>
      <c r="G1322" s="4">
        <v>-27.77891</v>
      </c>
      <c r="H1322" s="4">
        <v>-48.49956</v>
      </c>
      <c r="I1322" s="5">
        <v>9.0</v>
      </c>
      <c r="J1322" s="3" t="s">
        <v>335</v>
      </c>
      <c r="K1322" s="5" t="s">
        <v>335</v>
      </c>
      <c r="L1322" s="3"/>
      <c r="M1322" s="5">
        <v>8.5</v>
      </c>
      <c r="N1322" s="5">
        <v>18.0</v>
      </c>
      <c r="O1322" s="5" t="s">
        <v>857</v>
      </c>
      <c r="P1322" s="3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</row>
    <row r="1323" ht="15.75" customHeight="1">
      <c r="A1323" s="3" t="s">
        <v>747</v>
      </c>
      <c r="B1323" s="3" t="s">
        <v>748</v>
      </c>
      <c r="C1323" s="3" t="s">
        <v>80</v>
      </c>
      <c r="D1323" s="3" t="s">
        <v>826</v>
      </c>
      <c r="E1323" s="3" t="s">
        <v>852</v>
      </c>
      <c r="F1323" s="3">
        <v>6.0</v>
      </c>
      <c r="G1323" s="4">
        <v>-27.77891</v>
      </c>
      <c r="H1323" s="4">
        <v>-48.49956</v>
      </c>
      <c r="I1323" s="5">
        <v>10.0</v>
      </c>
      <c r="J1323" s="19" t="s">
        <v>858</v>
      </c>
      <c r="K1323" s="5" t="s">
        <v>315</v>
      </c>
      <c r="L1323" s="3"/>
      <c r="M1323" s="5">
        <v>5.0</v>
      </c>
      <c r="N1323" s="5">
        <v>15.0</v>
      </c>
      <c r="O1323" s="5"/>
      <c r="P1323" s="3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</row>
    <row r="1324" ht="15.75" customHeight="1">
      <c r="A1324" s="3" t="s">
        <v>747</v>
      </c>
      <c r="B1324" s="3" t="s">
        <v>748</v>
      </c>
      <c r="C1324" s="3" t="s">
        <v>80</v>
      </c>
      <c r="D1324" s="3" t="s">
        <v>826</v>
      </c>
      <c r="E1324" s="3" t="s">
        <v>852</v>
      </c>
      <c r="F1324" s="3">
        <v>6.0</v>
      </c>
      <c r="G1324" s="4">
        <v>-27.77891</v>
      </c>
      <c r="H1324" s="4">
        <v>-48.49956</v>
      </c>
      <c r="I1324" s="5">
        <v>11.0</v>
      </c>
      <c r="J1324" s="19" t="s">
        <v>836</v>
      </c>
      <c r="K1324" s="5" t="s">
        <v>315</v>
      </c>
      <c r="L1324" s="3"/>
      <c r="M1324" s="5">
        <v>10.0</v>
      </c>
      <c r="N1324" s="5">
        <v>35.0</v>
      </c>
      <c r="O1324" s="5" t="s">
        <v>859</v>
      </c>
      <c r="P1324" s="3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</row>
    <row r="1325" ht="15.75" customHeight="1">
      <c r="A1325" s="3" t="s">
        <v>747</v>
      </c>
      <c r="B1325" s="3" t="s">
        <v>748</v>
      </c>
      <c r="C1325" s="3" t="s">
        <v>80</v>
      </c>
      <c r="D1325" s="3" t="s">
        <v>826</v>
      </c>
      <c r="E1325" s="3" t="s">
        <v>852</v>
      </c>
      <c r="F1325" s="3">
        <v>6.0</v>
      </c>
      <c r="G1325" s="4">
        <v>-27.77891</v>
      </c>
      <c r="H1325" s="4">
        <v>-48.49956</v>
      </c>
      <c r="I1325" s="5">
        <v>12.0</v>
      </c>
      <c r="J1325" s="5" t="s">
        <v>842</v>
      </c>
      <c r="K1325" s="5" t="s">
        <v>315</v>
      </c>
      <c r="L1325" s="3"/>
      <c r="M1325" s="5">
        <v>6.0</v>
      </c>
      <c r="N1325" s="5">
        <v>15.0</v>
      </c>
      <c r="O1325" s="5" t="s">
        <v>860</v>
      </c>
      <c r="P1325" s="3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</row>
    <row r="1326" ht="15.75" customHeight="1">
      <c r="A1326" s="3" t="s">
        <v>747</v>
      </c>
      <c r="B1326" s="3" t="s">
        <v>748</v>
      </c>
      <c r="C1326" s="3" t="s">
        <v>80</v>
      </c>
      <c r="D1326" s="3" t="s">
        <v>826</v>
      </c>
      <c r="E1326" s="3" t="s">
        <v>852</v>
      </c>
      <c r="F1326" s="3">
        <v>6.0</v>
      </c>
      <c r="G1326" s="4">
        <v>-27.77891</v>
      </c>
      <c r="H1326" s="4">
        <v>-48.49956</v>
      </c>
      <c r="I1326" s="5">
        <v>13.0</v>
      </c>
      <c r="J1326" s="19" t="s">
        <v>858</v>
      </c>
      <c r="K1326" s="5" t="s">
        <v>315</v>
      </c>
      <c r="L1326" s="3"/>
      <c r="M1326" s="5">
        <v>9.0</v>
      </c>
      <c r="N1326" s="5">
        <v>28.5</v>
      </c>
      <c r="O1326" s="5" t="s">
        <v>861</v>
      </c>
      <c r="P1326" s="3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</row>
    <row r="1327" ht="15.75" customHeight="1">
      <c r="A1327" s="3" t="s">
        <v>747</v>
      </c>
      <c r="B1327" s="3" t="s">
        <v>748</v>
      </c>
      <c r="C1327" s="3" t="s">
        <v>80</v>
      </c>
      <c r="D1327" s="3" t="s">
        <v>826</v>
      </c>
      <c r="E1327" s="3" t="s">
        <v>852</v>
      </c>
      <c r="F1327" s="3">
        <v>6.0</v>
      </c>
      <c r="G1327" s="4">
        <v>-27.77891</v>
      </c>
      <c r="H1327" s="4">
        <v>-48.49956</v>
      </c>
      <c r="I1327" s="5">
        <v>14.0</v>
      </c>
      <c r="J1327" s="19" t="s">
        <v>836</v>
      </c>
      <c r="K1327" s="5" t="s">
        <v>315</v>
      </c>
      <c r="L1327" s="3"/>
      <c r="M1327" s="5">
        <v>12.0</v>
      </c>
      <c r="N1327" s="5">
        <v>28.0</v>
      </c>
      <c r="O1327" s="5" t="s">
        <v>862</v>
      </c>
      <c r="P1327" s="3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</row>
    <row r="1328" ht="15.75" customHeight="1">
      <c r="A1328" s="3" t="s">
        <v>747</v>
      </c>
      <c r="B1328" s="3" t="s">
        <v>748</v>
      </c>
      <c r="C1328" s="3" t="s">
        <v>80</v>
      </c>
      <c r="D1328" s="3" t="s">
        <v>826</v>
      </c>
      <c r="E1328" s="3" t="s">
        <v>852</v>
      </c>
      <c r="F1328" s="3">
        <v>6.0</v>
      </c>
      <c r="G1328" s="4">
        <v>-27.77891</v>
      </c>
      <c r="H1328" s="4">
        <v>-48.49956</v>
      </c>
      <c r="I1328" s="5">
        <v>15.0</v>
      </c>
      <c r="J1328" s="19" t="s">
        <v>836</v>
      </c>
      <c r="K1328" s="5" t="s">
        <v>315</v>
      </c>
      <c r="L1328" s="3"/>
      <c r="M1328" s="5">
        <v>10.0</v>
      </c>
      <c r="N1328" s="5">
        <v>27.0</v>
      </c>
      <c r="O1328" s="5" t="s">
        <v>863</v>
      </c>
      <c r="P1328" s="3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</row>
    <row r="1329" ht="15.75" customHeight="1">
      <c r="A1329" s="3" t="s">
        <v>747</v>
      </c>
      <c r="B1329" s="3" t="s">
        <v>748</v>
      </c>
      <c r="C1329" s="3" t="s">
        <v>80</v>
      </c>
      <c r="D1329" s="3" t="s">
        <v>826</v>
      </c>
      <c r="E1329" s="3" t="s">
        <v>852</v>
      </c>
      <c r="F1329" s="3">
        <v>6.0</v>
      </c>
      <c r="G1329" s="4">
        <v>-27.77891</v>
      </c>
      <c r="H1329" s="4">
        <v>-48.49956</v>
      </c>
      <c r="I1329" s="5">
        <v>16.0</v>
      </c>
      <c r="J1329" s="5" t="s">
        <v>834</v>
      </c>
      <c r="K1329" s="5" t="s">
        <v>834</v>
      </c>
      <c r="L1329" s="3"/>
      <c r="M1329" s="5">
        <v>8.0</v>
      </c>
      <c r="N1329" s="5">
        <v>16.0</v>
      </c>
      <c r="O1329" s="5"/>
      <c r="P1329" s="3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</row>
    <row r="1330" ht="15.75" customHeight="1">
      <c r="A1330" s="3" t="s">
        <v>747</v>
      </c>
      <c r="B1330" s="3" t="s">
        <v>748</v>
      </c>
      <c r="C1330" s="3" t="s">
        <v>80</v>
      </c>
      <c r="D1330" s="3" t="s">
        <v>826</v>
      </c>
      <c r="E1330" s="3" t="s">
        <v>852</v>
      </c>
      <c r="F1330" s="3">
        <v>6.0</v>
      </c>
      <c r="G1330" s="4">
        <v>-27.77891</v>
      </c>
      <c r="H1330" s="4">
        <v>-48.49956</v>
      </c>
      <c r="I1330" s="5">
        <v>17.0</v>
      </c>
      <c r="J1330" s="5" t="s">
        <v>864</v>
      </c>
      <c r="K1330" s="5" t="s">
        <v>779</v>
      </c>
      <c r="L1330" s="3"/>
      <c r="M1330" s="5">
        <v>8.0</v>
      </c>
      <c r="N1330" s="5" t="s">
        <v>865</v>
      </c>
      <c r="O1330" s="5" t="s">
        <v>866</v>
      </c>
      <c r="P1330" s="3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</row>
    <row r="1331" ht="15.75" customHeight="1">
      <c r="A1331" s="3" t="s">
        <v>747</v>
      </c>
      <c r="B1331" s="3" t="s">
        <v>748</v>
      </c>
      <c r="C1331" s="3" t="s">
        <v>80</v>
      </c>
      <c r="D1331" s="3" t="s">
        <v>826</v>
      </c>
      <c r="E1331" s="3" t="s">
        <v>852</v>
      </c>
      <c r="F1331" s="3">
        <v>6.0</v>
      </c>
      <c r="G1331" s="4">
        <v>-27.77891</v>
      </c>
      <c r="H1331" s="4">
        <v>-48.49956</v>
      </c>
      <c r="I1331" s="5">
        <v>18.0</v>
      </c>
      <c r="J1331" s="3" t="s">
        <v>232</v>
      </c>
      <c r="K1331" s="3" t="s">
        <v>232</v>
      </c>
      <c r="L1331" s="3"/>
      <c r="M1331" s="5">
        <v>11.0</v>
      </c>
      <c r="N1331" s="5">
        <v>43.0</v>
      </c>
      <c r="O1331" s="5" t="s">
        <v>867</v>
      </c>
      <c r="P1331" s="3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</row>
    <row r="1332" ht="15.75" customHeight="1">
      <c r="A1332" s="3" t="s">
        <v>747</v>
      </c>
      <c r="B1332" s="3" t="s">
        <v>748</v>
      </c>
      <c r="C1332" s="3" t="s">
        <v>80</v>
      </c>
      <c r="D1332" s="3" t="s">
        <v>826</v>
      </c>
      <c r="E1332" s="3" t="s">
        <v>852</v>
      </c>
      <c r="F1332" s="3">
        <v>6.0</v>
      </c>
      <c r="G1332" s="4">
        <v>-27.77891</v>
      </c>
      <c r="H1332" s="4">
        <v>-48.49956</v>
      </c>
      <c r="I1332" s="5">
        <v>19.0</v>
      </c>
      <c r="J1332" s="12" t="s">
        <v>868</v>
      </c>
      <c r="K1332" s="3" t="s">
        <v>868</v>
      </c>
      <c r="L1332" s="3"/>
      <c r="M1332" s="5">
        <v>8.0</v>
      </c>
      <c r="N1332" s="5">
        <v>35.5</v>
      </c>
      <c r="O1332" s="5" t="s">
        <v>869</v>
      </c>
      <c r="P1332" s="3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</row>
    <row r="1333" ht="15.75" customHeight="1">
      <c r="A1333" s="3" t="s">
        <v>747</v>
      </c>
      <c r="B1333" s="3" t="s">
        <v>748</v>
      </c>
      <c r="C1333" s="3" t="s">
        <v>80</v>
      </c>
      <c r="D1333" s="3" t="s">
        <v>826</v>
      </c>
      <c r="E1333" s="3" t="s">
        <v>852</v>
      </c>
      <c r="F1333" s="3">
        <v>6.0</v>
      </c>
      <c r="G1333" s="4">
        <v>-27.77891</v>
      </c>
      <c r="H1333" s="4">
        <v>-48.49956</v>
      </c>
      <c r="I1333" s="5">
        <v>20.0</v>
      </c>
      <c r="J1333" s="5" t="s">
        <v>474</v>
      </c>
      <c r="K1333" s="3" t="s">
        <v>98</v>
      </c>
      <c r="L1333" s="3"/>
      <c r="M1333" s="5">
        <v>8.0</v>
      </c>
      <c r="N1333" s="21">
        <v>31.5</v>
      </c>
      <c r="O1333" s="5"/>
      <c r="P1333" s="3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</row>
    <row r="1334" ht="15.75" customHeight="1">
      <c r="A1334" s="3" t="s">
        <v>747</v>
      </c>
      <c r="B1334" s="3" t="s">
        <v>748</v>
      </c>
      <c r="C1334" s="3" t="s">
        <v>80</v>
      </c>
      <c r="D1334" s="3" t="s">
        <v>826</v>
      </c>
      <c r="E1334" s="3" t="s">
        <v>852</v>
      </c>
      <c r="F1334" s="3">
        <v>6.0</v>
      </c>
      <c r="G1334" s="4">
        <v>-27.77891</v>
      </c>
      <c r="H1334" s="4">
        <v>-48.49956</v>
      </c>
      <c r="I1334" s="5">
        <v>21.0</v>
      </c>
      <c r="J1334" s="19" t="s">
        <v>870</v>
      </c>
      <c r="K1334" s="3" t="s">
        <v>315</v>
      </c>
      <c r="L1334" s="3"/>
      <c r="M1334" s="5">
        <v>6.5</v>
      </c>
      <c r="N1334" s="5">
        <v>17.0</v>
      </c>
      <c r="O1334" s="5" t="s">
        <v>871</v>
      </c>
      <c r="P1334" s="3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</row>
    <row r="1335" ht="15.75" customHeight="1">
      <c r="A1335" s="3" t="s">
        <v>747</v>
      </c>
      <c r="B1335" s="3" t="s">
        <v>748</v>
      </c>
      <c r="C1335" s="3" t="s">
        <v>80</v>
      </c>
      <c r="D1335" s="3" t="s">
        <v>826</v>
      </c>
      <c r="E1335" s="3" t="s">
        <v>852</v>
      </c>
      <c r="F1335" s="3">
        <v>6.0</v>
      </c>
      <c r="G1335" s="4">
        <v>-27.77891</v>
      </c>
      <c r="H1335" s="4">
        <v>-48.49956</v>
      </c>
      <c r="I1335" s="5">
        <v>22.0</v>
      </c>
      <c r="J1335" s="5" t="s">
        <v>164</v>
      </c>
      <c r="K1335" s="3" t="s">
        <v>164</v>
      </c>
      <c r="L1335" s="3"/>
      <c r="M1335" s="5">
        <v>11.0</v>
      </c>
      <c r="N1335" s="5">
        <v>40.0</v>
      </c>
      <c r="O1335" s="5"/>
      <c r="P1335" s="3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</row>
    <row r="1336" ht="15.75" customHeight="1">
      <c r="A1336" s="3" t="s">
        <v>747</v>
      </c>
      <c r="B1336" s="3" t="s">
        <v>748</v>
      </c>
      <c r="C1336" s="3" t="s">
        <v>80</v>
      </c>
      <c r="D1336" s="3" t="s">
        <v>826</v>
      </c>
      <c r="E1336" s="3" t="s">
        <v>852</v>
      </c>
      <c r="F1336" s="3">
        <v>6.0</v>
      </c>
      <c r="G1336" s="4">
        <v>-27.77891</v>
      </c>
      <c r="H1336" s="4">
        <v>-48.49956</v>
      </c>
      <c r="I1336" s="5">
        <v>23.0</v>
      </c>
      <c r="J1336" s="5" t="s">
        <v>441</v>
      </c>
      <c r="K1336" s="3" t="s">
        <v>442</v>
      </c>
      <c r="L1336" s="3"/>
      <c r="M1336" s="5">
        <v>6.0</v>
      </c>
      <c r="N1336" s="5">
        <v>17.0</v>
      </c>
      <c r="O1336" s="5"/>
      <c r="P1336" s="3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</row>
    <row r="1337" ht="15.75" customHeight="1">
      <c r="A1337" s="3" t="s">
        <v>747</v>
      </c>
      <c r="B1337" s="3" t="s">
        <v>748</v>
      </c>
      <c r="C1337" s="3" t="s">
        <v>80</v>
      </c>
      <c r="D1337" s="3" t="s">
        <v>826</v>
      </c>
      <c r="E1337" s="3" t="s">
        <v>852</v>
      </c>
      <c r="F1337" s="3">
        <v>6.0</v>
      </c>
      <c r="G1337" s="4">
        <v>-27.77891</v>
      </c>
      <c r="H1337" s="4">
        <v>-48.49956</v>
      </c>
      <c r="I1337" s="5">
        <v>24.0</v>
      </c>
      <c r="J1337" s="3" t="s">
        <v>872</v>
      </c>
      <c r="K1337" s="3" t="s">
        <v>872</v>
      </c>
      <c r="L1337" s="3"/>
      <c r="M1337" s="5">
        <v>7.0</v>
      </c>
      <c r="N1337" s="5">
        <v>21.0</v>
      </c>
      <c r="O1337" s="5" t="s">
        <v>873</v>
      </c>
      <c r="P1337" s="3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</row>
    <row r="1338" ht="15.75" customHeight="1">
      <c r="A1338" s="3" t="s">
        <v>747</v>
      </c>
      <c r="B1338" s="3" t="s">
        <v>748</v>
      </c>
      <c r="C1338" s="3" t="s">
        <v>80</v>
      </c>
      <c r="D1338" s="3" t="s">
        <v>826</v>
      </c>
      <c r="E1338" s="3" t="s">
        <v>852</v>
      </c>
      <c r="F1338" s="3">
        <v>6.0</v>
      </c>
      <c r="G1338" s="4">
        <v>-27.77891</v>
      </c>
      <c r="H1338" s="4">
        <v>-48.49956</v>
      </c>
      <c r="I1338" s="5">
        <v>25.0</v>
      </c>
      <c r="J1338" s="5" t="s">
        <v>525</v>
      </c>
      <c r="K1338" s="3" t="s">
        <v>525</v>
      </c>
      <c r="L1338" s="3"/>
      <c r="M1338" s="5">
        <v>7.0</v>
      </c>
      <c r="N1338" s="5">
        <v>29.0</v>
      </c>
      <c r="O1338" s="5" t="s">
        <v>874</v>
      </c>
      <c r="P1338" s="3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</row>
    <row r="1339" ht="15.75" customHeight="1">
      <c r="A1339" s="3" t="s">
        <v>747</v>
      </c>
      <c r="B1339" s="3" t="s">
        <v>748</v>
      </c>
      <c r="C1339" s="3" t="s">
        <v>80</v>
      </c>
      <c r="D1339" s="3" t="s">
        <v>826</v>
      </c>
      <c r="E1339" s="3" t="s">
        <v>852</v>
      </c>
      <c r="F1339" s="3">
        <v>6.0</v>
      </c>
      <c r="G1339" s="4">
        <v>-27.77891</v>
      </c>
      <c r="H1339" s="4">
        <v>-48.49956</v>
      </c>
      <c r="I1339" s="5">
        <v>26.0</v>
      </c>
      <c r="J1339" s="3" t="s">
        <v>232</v>
      </c>
      <c r="K1339" s="3" t="s">
        <v>232</v>
      </c>
      <c r="L1339" s="3"/>
      <c r="M1339" s="5">
        <v>10.0</v>
      </c>
      <c r="N1339" s="5">
        <v>50.0</v>
      </c>
      <c r="O1339" s="5" t="s">
        <v>875</v>
      </c>
      <c r="P1339" s="3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</row>
    <row r="1340" ht="15.75" customHeight="1">
      <c r="A1340" s="3" t="s">
        <v>747</v>
      </c>
      <c r="B1340" s="3" t="s">
        <v>748</v>
      </c>
      <c r="C1340" s="3" t="s">
        <v>80</v>
      </c>
      <c r="D1340" s="3" t="s">
        <v>826</v>
      </c>
      <c r="E1340" s="3" t="s">
        <v>852</v>
      </c>
      <c r="F1340" s="3">
        <v>6.0</v>
      </c>
      <c r="G1340" s="4">
        <v>-27.77891</v>
      </c>
      <c r="H1340" s="4">
        <v>-48.49956</v>
      </c>
      <c r="I1340" s="5">
        <v>27.0</v>
      </c>
      <c r="J1340" s="19" t="s">
        <v>836</v>
      </c>
      <c r="K1340" s="3" t="s">
        <v>315</v>
      </c>
      <c r="L1340" s="3"/>
      <c r="M1340" s="5">
        <v>7.0</v>
      </c>
      <c r="N1340" s="5">
        <v>32.0</v>
      </c>
      <c r="O1340" s="5" t="s">
        <v>876</v>
      </c>
      <c r="P1340" s="3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</row>
    <row r="1341" ht="15.75" customHeight="1">
      <c r="A1341" s="3" t="s">
        <v>747</v>
      </c>
      <c r="B1341" s="3" t="s">
        <v>748</v>
      </c>
      <c r="C1341" s="3" t="s">
        <v>80</v>
      </c>
      <c r="D1341" s="3" t="s">
        <v>826</v>
      </c>
      <c r="E1341" s="3" t="s">
        <v>852</v>
      </c>
      <c r="F1341" s="3">
        <v>6.0</v>
      </c>
      <c r="G1341" s="4">
        <v>-27.77891</v>
      </c>
      <c r="H1341" s="4">
        <v>-48.49956</v>
      </c>
      <c r="I1341" s="5">
        <v>28.0</v>
      </c>
      <c r="J1341" s="19" t="s">
        <v>836</v>
      </c>
      <c r="K1341" s="3" t="s">
        <v>315</v>
      </c>
      <c r="L1341" s="3"/>
      <c r="M1341" s="5">
        <v>7.0</v>
      </c>
      <c r="N1341" s="5">
        <v>26.0</v>
      </c>
      <c r="O1341" s="5" t="s">
        <v>857</v>
      </c>
      <c r="P1341" s="3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</row>
    <row r="1342" ht="15.75" customHeight="1">
      <c r="A1342" s="3" t="s">
        <v>747</v>
      </c>
      <c r="B1342" s="3" t="s">
        <v>748</v>
      </c>
      <c r="C1342" s="3" t="s">
        <v>80</v>
      </c>
      <c r="D1342" s="3" t="s">
        <v>826</v>
      </c>
      <c r="E1342" s="3" t="s">
        <v>852</v>
      </c>
      <c r="F1342" s="3">
        <v>6.0</v>
      </c>
      <c r="G1342" s="4">
        <v>-27.77891</v>
      </c>
      <c r="H1342" s="4">
        <v>-48.49956</v>
      </c>
      <c r="I1342" s="5">
        <v>29.0</v>
      </c>
      <c r="J1342" s="3" t="s">
        <v>232</v>
      </c>
      <c r="K1342" s="3" t="s">
        <v>232</v>
      </c>
      <c r="L1342" s="3"/>
      <c r="M1342" s="5">
        <v>10.0</v>
      </c>
      <c r="N1342" s="5">
        <v>32.0</v>
      </c>
      <c r="O1342" s="5" t="s">
        <v>877</v>
      </c>
      <c r="P1342" s="3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</row>
    <row r="1343" ht="15.75" customHeight="1">
      <c r="A1343" s="3" t="s">
        <v>747</v>
      </c>
      <c r="B1343" s="3" t="s">
        <v>748</v>
      </c>
      <c r="C1343" s="3" t="s">
        <v>80</v>
      </c>
      <c r="D1343" s="3" t="s">
        <v>826</v>
      </c>
      <c r="E1343" s="3" t="s">
        <v>852</v>
      </c>
      <c r="F1343" s="3">
        <v>6.0</v>
      </c>
      <c r="G1343" s="4">
        <v>-27.77891</v>
      </c>
      <c r="H1343" s="4">
        <v>-48.49956</v>
      </c>
      <c r="I1343" s="5">
        <v>30.0</v>
      </c>
      <c r="J1343" s="3" t="s">
        <v>73</v>
      </c>
      <c r="K1343" s="3" t="s">
        <v>73</v>
      </c>
      <c r="L1343" s="3"/>
      <c r="M1343" s="5">
        <v>12.0</v>
      </c>
      <c r="N1343" s="5">
        <v>35.0</v>
      </c>
      <c r="O1343" s="5" t="s">
        <v>878</v>
      </c>
      <c r="P1343" s="3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</row>
    <row r="1344" ht="15.75" customHeight="1">
      <c r="A1344" s="3" t="s">
        <v>747</v>
      </c>
      <c r="B1344" s="3" t="s">
        <v>748</v>
      </c>
      <c r="C1344" s="3" t="s">
        <v>80</v>
      </c>
      <c r="D1344" s="3" t="s">
        <v>826</v>
      </c>
      <c r="E1344" s="3" t="s">
        <v>852</v>
      </c>
      <c r="F1344" s="3">
        <v>6.0</v>
      </c>
      <c r="G1344" s="4">
        <v>-27.77891</v>
      </c>
      <c r="H1344" s="4">
        <v>-48.49956</v>
      </c>
      <c r="I1344" s="5">
        <v>31.0</v>
      </c>
      <c r="J1344" s="19" t="s">
        <v>836</v>
      </c>
      <c r="K1344" s="3" t="s">
        <v>315</v>
      </c>
      <c r="L1344" s="3"/>
      <c r="M1344" s="5">
        <v>7.0</v>
      </c>
      <c r="N1344" s="5">
        <v>56.5</v>
      </c>
      <c r="O1344" s="5" t="s">
        <v>879</v>
      </c>
      <c r="P1344" s="3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</row>
    <row r="1345" ht="15.75" customHeight="1">
      <c r="A1345" s="3" t="s">
        <v>747</v>
      </c>
      <c r="B1345" s="3" t="s">
        <v>748</v>
      </c>
      <c r="C1345" s="3" t="s">
        <v>80</v>
      </c>
      <c r="D1345" s="3" t="s">
        <v>826</v>
      </c>
      <c r="E1345" s="3" t="s">
        <v>852</v>
      </c>
      <c r="F1345" s="3">
        <v>6.0</v>
      </c>
      <c r="G1345" s="4">
        <v>-27.77891</v>
      </c>
      <c r="H1345" s="4">
        <v>-48.49956</v>
      </c>
      <c r="I1345" s="5">
        <v>32.0</v>
      </c>
      <c r="J1345" s="5" t="s">
        <v>55</v>
      </c>
      <c r="K1345" s="3" t="s">
        <v>55</v>
      </c>
      <c r="L1345" s="3"/>
      <c r="M1345" s="5">
        <v>7.0</v>
      </c>
      <c r="N1345" s="5">
        <v>20.5</v>
      </c>
      <c r="O1345" s="5" t="s">
        <v>880</v>
      </c>
      <c r="P1345" s="3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</row>
    <row r="1346" ht="15.75" customHeight="1">
      <c r="A1346" s="3" t="s">
        <v>747</v>
      </c>
      <c r="B1346" s="3" t="s">
        <v>748</v>
      </c>
      <c r="C1346" s="3" t="s">
        <v>80</v>
      </c>
      <c r="D1346" s="3" t="s">
        <v>826</v>
      </c>
      <c r="E1346" s="3" t="s">
        <v>852</v>
      </c>
      <c r="F1346" s="3">
        <v>6.0</v>
      </c>
      <c r="G1346" s="4">
        <v>-27.77891</v>
      </c>
      <c r="H1346" s="4">
        <v>-48.49956</v>
      </c>
      <c r="I1346" s="5">
        <v>33.0</v>
      </c>
      <c r="J1346" s="5" t="s">
        <v>834</v>
      </c>
      <c r="K1346" s="5" t="s">
        <v>834</v>
      </c>
      <c r="L1346" s="3"/>
      <c r="M1346" s="5">
        <v>8.0</v>
      </c>
      <c r="N1346" s="5">
        <v>16.0</v>
      </c>
      <c r="O1346" s="5"/>
      <c r="P1346" s="3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</row>
    <row r="1347" ht="15.75" customHeight="1">
      <c r="A1347" s="3" t="s">
        <v>747</v>
      </c>
      <c r="B1347" s="3" t="s">
        <v>748</v>
      </c>
      <c r="C1347" s="3" t="s">
        <v>80</v>
      </c>
      <c r="D1347" s="3" t="s">
        <v>826</v>
      </c>
      <c r="E1347" s="3" t="s">
        <v>852</v>
      </c>
      <c r="F1347" s="3">
        <v>6.0</v>
      </c>
      <c r="G1347" s="4">
        <v>-27.77891</v>
      </c>
      <c r="H1347" s="4">
        <v>-48.49956</v>
      </c>
      <c r="I1347" s="5">
        <v>34.0</v>
      </c>
      <c r="J1347" s="5" t="s">
        <v>881</v>
      </c>
      <c r="K1347" s="5" t="s">
        <v>881</v>
      </c>
      <c r="L1347" s="3"/>
      <c r="M1347" s="5">
        <v>7.0</v>
      </c>
      <c r="N1347" s="5" t="s">
        <v>882</v>
      </c>
      <c r="O1347" s="11"/>
      <c r="P1347" s="5" t="s">
        <v>77</v>
      </c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</row>
    <row r="1348" ht="15.75" customHeight="1">
      <c r="A1348" s="3" t="s">
        <v>747</v>
      </c>
      <c r="B1348" s="3" t="s">
        <v>748</v>
      </c>
      <c r="C1348" s="3" t="s">
        <v>80</v>
      </c>
      <c r="D1348" s="3" t="s">
        <v>826</v>
      </c>
      <c r="E1348" s="3" t="s">
        <v>852</v>
      </c>
      <c r="F1348" s="3">
        <v>6.0</v>
      </c>
      <c r="G1348" s="4">
        <v>-27.77891</v>
      </c>
      <c r="H1348" s="4">
        <v>-48.49956</v>
      </c>
      <c r="I1348" s="5">
        <v>35.0</v>
      </c>
      <c r="J1348" s="19" t="s">
        <v>836</v>
      </c>
      <c r="K1348" s="5" t="s">
        <v>315</v>
      </c>
      <c r="L1348" s="3"/>
      <c r="M1348" s="5">
        <v>10.0</v>
      </c>
      <c r="N1348" s="5">
        <v>58.0</v>
      </c>
      <c r="O1348" s="5" t="s">
        <v>883</v>
      </c>
      <c r="P1348" s="3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</row>
    <row r="1349" ht="15.75" customHeight="1">
      <c r="A1349" s="3" t="s">
        <v>747</v>
      </c>
      <c r="B1349" s="3" t="s">
        <v>748</v>
      </c>
      <c r="C1349" s="3" t="s">
        <v>80</v>
      </c>
      <c r="D1349" s="3" t="s">
        <v>826</v>
      </c>
      <c r="E1349" s="3" t="s">
        <v>852</v>
      </c>
      <c r="F1349" s="3">
        <v>6.0</v>
      </c>
      <c r="G1349" s="4">
        <v>-27.77891</v>
      </c>
      <c r="H1349" s="4">
        <v>-48.49956</v>
      </c>
      <c r="I1349" s="5">
        <v>36.0</v>
      </c>
      <c r="J1349" s="5" t="s">
        <v>191</v>
      </c>
      <c r="K1349" s="5" t="s">
        <v>191</v>
      </c>
      <c r="L1349" s="3"/>
      <c r="M1349" s="5">
        <v>8.0</v>
      </c>
      <c r="N1349" s="5">
        <v>25.0</v>
      </c>
      <c r="O1349" s="5"/>
      <c r="P1349" s="3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</row>
    <row r="1350" ht="15.75" customHeight="1">
      <c r="A1350" s="3" t="s">
        <v>747</v>
      </c>
      <c r="B1350" s="3" t="s">
        <v>748</v>
      </c>
      <c r="C1350" s="3" t="s">
        <v>80</v>
      </c>
      <c r="D1350" s="3" t="s">
        <v>826</v>
      </c>
      <c r="E1350" s="3" t="s">
        <v>852</v>
      </c>
      <c r="F1350" s="3">
        <v>6.0</v>
      </c>
      <c r="G1350" s="4">
        <v>-27.77891</v>
      </c>
      <c r="H1350" s="4">
        <v>-48.49956</v>
      </c>
      <c r="I1350" s="5">
        <v>37.0</v>
      </c>
      <c r="J1350" s="5" t="s">
        <v>474</v>
      </c>
      <c r="K1350" s="5" t="s">
        <v>98</v>
      </c>
      <c r="L1350" s="3"/>
      <c r="M1350" s="5">
        <v>8.6</v>
      </c>
      <c r="N1350" s="5">
        <v>36.0</v>
      </c>
      <c r="O1350" s="5"/>
      <c r="P1350" s="3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</row>
    <row r="1351" ht="15.75" customHeight="1">
      <c r="A1351" s="3" t="s">
        <v>747</v>
      </c>
      <c r="B1351" s="3" t="s">
        <v>748</v>
      </c>
      <c r="C1351" s="3" t="s">
        <v>80</v>
      </c>
      <c r="D1351" s="3" t="s">
        <v>826</v>
      </c>
      <c r="E1351" s="3" t="s">
        <v>852</v>
      </c>
      <c r="F1351" s="3">
        <v>6.0</v>
      </c>
      <c r="G1351" s="4">
        <v>-27.77891</v>
      </c>
      <c r="H1351" s="4">
        <v>-48.49956</v>
      </c>
      <c r="I1351" s="5">
        <v>38.0</v>
      </c>
      <c r="J1351" s="19" t="s">
        <v>836</v>
      </c>
      <c r="K1351" s="5" t="s">
        <v>315</v>
      </c>
      <c r="L1351" s="3"/>
      <c r="M1351" s="5">
        <v>6.5</v>
      </c>
      <c r="N1351" s="5">
        <v>16.0</v>
      </c>
      <c r="O1351" s="5" t="s">
        <v>884</v>
      </c>
      <c r="P1351" s="3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</row>
    <row r="1352" ht="15.75" customHeight="1">
      <c r="A1352" s="3" t="s">
        <v>747</v>
      </c>
      <c r="B1352" s="3" t="s">
        <v>748</v>
      </c>
      <c r="C1352" s="3" t="s">
        <v>80</v>
      </c>
      <c r="D1352" s="3" t="s">
        <v>826</v>
      </c>
      <c r="E1352" s="3" t="s">
        <v>852</v>
      </c>
      <c r="F1352" s="3">
        <v>6.0</v>
      </c>
      <c r="G1352" s="4">
        <v>-27.77891</v>
      </c>
      <c r="H1352" s="4">
        <v>-48.49956</v>
      </c>
      <c r="I1352" s="5">
        <v>39.0</v>
      </c>
      <c r="J1352" s="19" t="s">
        <v>836</v>
      </c>
      <c r="K1352" s="5" t="s">
        <v>315</v>
      </c>
      <c r="L1352" s="3"/>
      <c r="M1352" s="5">
        <v>9.0</v>
      </c>
      <c r="N1352" s="5">
        <v>30.0</v>
      </c>
      <c r="O1352" s="5" t="s">
        <v>885</v>
      </c>
      <c r="P1352" s="3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</row>
    <row r="1353" ht="15.75" customHeight="1">
      <c r="A1353" s="3" t="s">
        <v>747</v>
      </c>
      <c r="B1353" s="3" t="s">
        <v>748</v>
      </c>
      <c r="C1353" s="3" t="s">
        <v>80</v>
      </c>
      <c r="D1353" s="3" t="s">
        <v>826</v>
      </c>
      <c r="E1353" s="3" t="s">
        <v>852</v>
      </c>
      <c r="F1353" s="3">
        <v>6.0</v>
      </c>
      <c r="G1353" s="4">
        <v>-27.77891</v>
      </c>
      <c r="H1353" s="4">
        <v>-48.49956</v>
      </c>
      <c r="I1353" s="5">
        <v>40.0</v>
      </c>
      <c r="J1353" s="5" t="s">
        <v>55</v>
      </c>
      <c r="K1353" s="5" t="s">
        <v>55</v>
      </c>
      <c r="L1353" s="3"/>
      <c r="M1353" s="5">
        <v>8.0</v>
      </c>
      <c r="N1353" s="5">
        <v>30.0</v>
      </c>
      <c r="O1353" s="5" t="s">
        <v>886</v>
      </c>
      <c r="P1353" s="3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</row>
    <row r="1354" ht="15.75" customHeight="1">
      <c r="A1354" s="3" t="s">
        <v>747</v>
      </c>
      <c r="B1354" s="3" t="s">
        <v>748</v>
      </c>
      <c r="C1354" s="3" t="s">
        <v>80</v>
      </c>
      <c r="D1354" s="3" t="s">
        <v>826</v>
      </c>
      <c r="E1354" s="3" t="s">
        <v>852</v>
      </c>
      <c r="F1354" s="3">
        <v>6.0</v>
      </c>
      <c r="G1354" s="4">
        <v>-27.77891</v>
      </c>
      <c r="H1354" s="4">
        <v>-48.49956</v>
      </c>
      <c r="I1354" s="5">
        <v>41.0</v>
      </c>
      <c r="J1354" s="14" t="s">
        <v>887</v>
      </c>
      <c r="K1354" s="5" t="s">
        <v>888</v>
      </c>
      <c r="L1354" s="3"/>
      <c r="M1354" s="5">
        <v>8.0</v>
      </c>
      <c r="N1354" s="5">
        <v>23.0</v>
      </c>
      <c r="O1354" s="5" t="s">
        <v>889</v>
      </c>
      <c r="P1354" s="3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</row>
    <row r="1355" ht="15.75" customHeight="1">
      <c r="A1355" s="3" t="s">
        <v>747</v>
      </c>
      <c r="B1355" s="3" t="s">
        <v>748</v>
      </c>
      <c r="C1355" s="3" t="s">
        <v>80</v>
      </c>
      <c r="D1355" s="3" t="s">
        <v>826</v>
      </c>
      <c r="E1355" s="3" t="s">
        <v>852</v>
      </c>
      <c r="F1355" s="3">
        <v>6.0</v>
      </c>
      <c r="G1355" s="4">
        <v>-27.77891</v>
      </c>
      <c r="H1355" s="4">
        <v>-48.49956</v>
      </c>
      <c r="I1355" s="5">
        <v>42.0</v>
      </c>
      <c r="J1355" s="19" t="s">
        <v>836</v>
      </c>
      <c r="K1355" s="5" t="s">
        <v>315</v>
      </c>
      <c r="L1355" s="3"/>
      <c r="M1355" s="5">
        <v>9.0</v>
      </c>
      <c r="N1355" s="5">
        <v>23.0</v>
      </c>
      <c r="O1355" s="5" t="s">
        <v>890</v>
      </c>
      <c r="P1355" s="3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</row>
    <row r="1356" ht="15.75" customHeight="1">
      <c r="A1356" s="3" t="s">
        <v>747</v>
      </c>
      <c r="B1356" s="3" t="s">
        <v>748</v>
      </c>
      <c r="C1356" s="3" t="s">
        <v>80</v>
      </c>
      <c r="D1356" s="3" t="s">
        <v>826</v>
      </c>
      <c r="E1356" s="3" t="s">
        <v>852</v>
      </c>
      <c r="F1356" s="3">
        <v>6.0</v>
      </c>
      <c r="G1356" s="4">
        <v>-27.77891</v>
      </c>
      <c r="H1356" s="4">
        <v>-48.49956</v>
      </c>
      <c r="I1356" s="5">
        <v>43.0</v>
      </c>
      <c r="J1356" s="12" t="s">
        <v>55</v>
      </c>
      <c r="K1356" s="5" t="s">
        <v>55</v>
      </c>
      <c r="L1356" s="3"/>
      <c r="M1356" s="5">
        <v>7.0</v>
      </c>
      <c r="N1356" s="5">
        <v>17.0</v>
      </c>
      <c r="O1356" s="5" t="s">
        <v>891</v>
      </c>
      <c r="P1356" s="3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</row>
    <row r="1357" ht="15.75" customHeight="1">
      <c r="A1357" s="3" t="s">
        <v>747</v>
      </c>
      <c r="B1357" s="3" t="s">
        <v>748</v>
      </c>
      <c r="C1357" s="3" t="s">
        <v>80</v>
      </c>
      <c r="D1357" s="3" t="s">
        <v>826</v>
      </c>
      <c r="E1357" s="3" t="s">
        <v>852</v>
      </c>
      <c r="F1357" s="3">
        <v>6.0</v>
      </c>
      <c r="G1357" s="4">
        <v>-27.77891</v>
      </c>
      <c r="H1357" s="4">
        <v>-48.49956</v>
      </c>
      <c r="I1357" s="5">
        <v>44.0</v>
      </c>
      <c r="J1357" s="12" t="s">
        <v>474</v>
      </c>
      <c r="K1357" s="5" t="s">
        <v>98</v>
      </c>
      <c r="L1357" s="3"/>
      <c r="M1357" s="5">
        <v>9.0</v>
      </c>
      <c r="N1357" s="5">
        <v>30.0</v>
      </c>
      <c r="O1357" s="5"/>
      <c r="P1357" s="3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</row>
    <row r="1358" ht="15.75" customHeight="1">
      <c r="A1358" s="3" t="s">
        <v>747</v>
      </c>
      <c r="B1358" s="3" t="s">
        <v>748</v>
      </c>
      <c r="C1358" s="3" t="s">
        <v>80</v>
      </c>
      <c r="D1358" s="3" t="s">
        <v>826</v>
      </c>
      <c r="E1358" s="3" t="s">
        <v>852</v>
      </c>
      <c r="F1358" s="3">
        <v>6.0</v>
      </c>
      <c r="G1358" s="4">
        <v>-27.77891</v>
      </c>
      <c r="H1358" s="4">
        <v>-48.49956</v>
      </c>
      <c r="I1358" s="5">
        <v>45.0</v>
      </c>
      <c r="J1358" s="12" t="s">
        <v>779</v>
      </c>
      <c r="K1358" s="5" t="s">
        <v>779</v>
      </c>
      <c r="L1358" s="3"/>
      <c r="M1358" s="5">
        <v>8.0</v>
      </c>
      <c r="N1358" s="5" t="s">
        <v>892</v>
      </c>
      <c r="O1358" s="5"/>
      <c r="P1358" s="3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</row>
    <row r="1359" ht="15.75" customHeight="1">
      <c r="A1359" s="3" t="s">
        <v>747</v>
      </c>
      <c r="B1359" s="3" t="s">
        <v>748</v>
      </c>
      <c r="C1359" s="3" t="s">
        <v>80</v>
      </c>
      <c r="D1359" s="3" t="s">
        <v>826</v>
      </c>
      <c r="E1359" s="3" t="s">
        <v>852</v>
      </c>
      <c r="F1359" s="3">
        <v>6.0</v>
      </c>
      <c r="G1359" s="4">
        <v>-27.77891</v>
      </c>
      <c r="H1359" s="4">
        <v>-48.49956</v>
      </c>
      <c r="I1359" s="5">
        <v>46.0</v>
      </c>
      <c r="J1359" s="14" t="s">
        <v>887</v>
      </c>
      <c r="K1359" s="14" t="s">
        <v>888</v>
      </c>
      <c r="L1359" s="3"/>
      <c r="M1359" s="5">
        <v>9.0</v>
      </c>
      <c r="N1359" s="5" t="s">
        <v>893</v>
      </c>
      <c r="O1359" s="11"/>
      <c r="P1359" s="5" t="s">
        <v>77</v>
      </c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</row>
    <row r="1360" ht="15.75" customHeight="1">
      <c r="A1360" s="3" t="s">
        <v>747</v>
      </c>
      <c r="B1360" s="3" t="s">
        <v>748</v>
      </c>
      <c r="C1360" s="3" t="s">
        <v>80</v>
      </c>
      <c r="D1360" s="3" t="s">
        <v>826</v>
      </c>
      <c r="E1360" s="3" t="s">
        <v>852</v>
      </c>
      <c r="F1360" s="3">
        <v>6.0</v>
      </c>
      <c r="G1360" s="4">
        <v>-27.77891</v>
      </c>
      <c r="H1360" s="4">
        <v>-48.49956</v>
      </c>
      <c r="I1360" s="5">
        <v>47.0</v>
      </c>
      <c r="J1360" s="12" t="s">
        <v>839</v>
      </c>
      <c r="K1360" s="12" t="s">
        <v>839</v>
      </c>
      <c r="L1360" s="3"/>
      <c r="M1360" s="5">
        <v>8.0</v>
      </c>
      <c r="N1360" s="5">
        <v>20.0</v>
      </c>
      <c r="O1360" s="5"/>
      <c r="P1360" s="3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</row>
    <row r="1361" ht="15.75" customHeight="1">
      <c r="A1361" s="3" t="s">
        <v>747</v>
      </c>
      <c r="B1361" s="3" t="s">
        <v>748</v>
      </c>
      <c r="C1361" s="3" t="s">
        <v>80</v>
      </c>
      <c r="D1361" s="3" t="s">
        <v>826</v>
      </c>
      <c r="E1361" s="3" t="s">
        <v>852</v>
      </c>
      <c r="F1361" s="3">
        <v>6.0</v>
      </c>
      <c r="G1361" s="4">
        <v>-27.77891</v>
      </c>
      <c r="H1361" s="4">
        <v>-48.49956</v>
      </c>
      <c r="I1361" s="5">
        <v>48.0</v>
      </c>
      <c r="J1361" s="12" t="s">
        <v>834</v>
      </c>
      <c r="K1361" s="12" t="s">
        <v>834</v>
      </c>
      <c r="L1361" s="3"/>
      <c r="M1361" s="5">
        <v>9.0</v>
      </c>
      <c r="N1361" s="5" t="s">
        <v>894</v>
      </c>
      <c r="O1361" s="5"/>
      <c r="P1361" s="3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</row>
    <row r="1362" ht="15.75" customHeight="1">
      <c r="A1362" s="3" t="s">
        <v>747</v>
      </c>
      <c r="B1362" s="3" t="s">
        <v>748</v>
      </c>
      <c r="C1362" s="3" t="s">
        <v>80</v>
      </c>
      <c r="D1362" s="3" t="s">
        <v>826</v>
      </c>
      <c r="E1362" s="3" t="s">
        <v>852</v>
      </c>
      <c r="F1362" s="3">
        <v>6.0</v>
      </c>
      <c r="G1362" s="4">
        <v>-27.77891</v>
      </c>
      <c r="H1362" s="4">
        <v>-48.49956</v>
      </c>
      <c r="I1362" s="5">
        <v>49.0</v>
      </c>
      <c r="J1362" s="5" t="s">
        <v>50</v>
      </c>
      <c r="K1362" s="5" t="s">
        <v>50</v>
      </c>
      <c r="L1362" s="3"/>
      <c r="M1362" s="5">
        <v>8.0</v>
      </c>
      <c r="N1362" s="5">
        <v>25.0</v>
      </c>
      <c r="O1362" s="5"/>
      <c r="P1362" s="3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</row>
    <row r="1363" ht="15.75" customHeight="1">
      <c r="A1363" s="3" t="s">
        <v>747</v>
      </c>
      <c r="B1363" s="3" t="s">
        <v>748</v>
      </c>
      <c r="C1363" s="3" t="s">
        <v>80</v>
      </c>
      <c r="D1363" s="3" t="s">
        <v>826</v>
      </c>
      <c r="E1363" s="3" t="s">
        <v>852</v>
      </c>
      <c r="F1363" s="3">
        <v>6.0</v>
      </c>
      <c r="G1363" s="4">
        <v>-27.77891</v>
      </c>
      <c r="H1363" s="4">
        <v>-48.49956</v>
      </c>
      <c r="I1363" s="5">
        <v>50.0</v>
      </c>
      <c r="J1363" s="12" t="s">
        <v>779</v>
      </c>
      <c r="K1363" s="12" t="s">
        <v>779</v>
      </c>
      <c r="L1363" s="3"/>
      <c r="M1363" s="5">
        <v>10.0</v>
      </c>
      <c r="N1363" s="5">
        <v>42.0</v>
      </c>
      <c r="O1363" s="5" t="s">
        <v>895</v>
      </c>
      <c r="P1363" s="3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</row>
    <row r="1364" ht="15.75" customHeight="1">
      <c r="A1364" s="3" t="s">
        <v>747</v>
      </c>
      <c r="B1364" s="3" t="s">
        <v>748</v>
      </c>
      <c r="C1364" s="3" t="s">
        <v>80</v>
      </c>
      <c r="D1364" s="3" t="s">
        <v>826</v>
      </c>
      <c r="E1364" s="3" t="s">
        <v>852</v>
      </c>
      <c r="F1364" s="3">
        <v>6.0</v>
      </c>
      <c r="G1364" s="4">
        <v>-27.77891</v>
      </c>
      <c r="H1364" s="4">
        <v>-48.49956</v>
      </c>
      <c r="I1364" s="5">
        <v>51.0</v>
      </c>
      <c r="J1364" s="5" t="s">
        <v>37</v>
      </c>
      <c r="K1364" s="5" t="s">
        <v>37</v>
      </c>
      <c r="L1364" s="3"/>
      <c r="M1364" s="5">
        <v>10.0</v>
      </c>
      <c r="N1364" s="5">
        <v>36.0</v>
      </c>
      <c r="O1364" s="5"/>
      <c r="P1364" s="3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</row>
    <row r="1365" ht="15.75" customHeight="1">
      <c r="A1365" s="3" t="s">
        <v>747</v>
      </c>
      <c r="B1365" s="3" t="s">
        <v>748</v>
      </c>
      <c r="C1365" s="3" t="s">
        <v>80</v>
      </c>
      <c r="D1365" s="3" t="s">
        <v>826</v>
      </c>
      <c r="E1365" s="3" t="s">
        <v>852</v>
      </c>
      <c r="F1365" s="3">
        <v>6.0</v>
      </c>
      <c r="G1365" s="4">
        <v>-27.77891</v>
      </c>
      <c r="H1365" s="4">
        <v>-48.49956</v>
      </c>
      <c r="I1365" s="5">
        <v>52.0</v>
      </c>
      <c r="J1365" s="5" t="s">
        <v>896</v>
      </c>
      <c r="K1365" s="5" t="s">
        <v>443</v>
      </c>
      <c r="L1365" s="3"/>
      <c r="M1365" s="5">
        <v>7.0</v>
      </c>
      <c r="N1365" s="5">
        <v>18.0</v>
      </c>
      <c r="O1365" s="5"/>
      <c r="P1365" s="3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</row>
    <row r="1366" ht="15.75" customHeight="1">
      <c r="A1366" s="3" t="s">
        <v>747</v>
      </c>
      <c r="B1366" s="3" t="s">
        <v>748</v>
      </c>
      <c r="C1366" s="3" t="s">
        <v>80</v>
      </c>
      <c r="D1366" s="3" t="s">
        <v>826</v>
      </c>
      <c r="E1366" s="3" t="s">
        <v>852</v>
      </c>
      <c r="F1366" s="3">
        <v>6.0</v>
      </c>
      <c r="G1366" s="4">
        <v>-27.77891</v>
      </c>
      <c r="H1366" s="4">
        <v>-48.49956</v>
      </c>
      <c r="I1366" s="5">
        <v>53.0</v>
      </c>
      <c r="J1366" s="5" t="s">
        <v>474</v>
      </c>
      <c r="K1366" s="5" t="s">
        <v>98</v>
      </c>
      <c r="L1366" s="3"/>
      <c r="M1366" s="5">
        <v>7.5</v>
      </c>
      <c r="N1366" s="5">
        <v>20.0</v>
      </c>
      <c r="O1366" s="5"/>
      <c r="P1366" s="3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</row>
    <row r="1367" ht="15.75" customHeight="1">
      <c r="A1367" s="3" t="s">
        <v>747</v>
      </c>
      <c r="B1367" s="3" t="s">
        <v>748</v>
      </c>
      <c r="C1367" s="3" t="s">
        <v>80</v>
      </c>
      <c r="D1367" s="3" t="s">
        <v>826</v>
      </c>
      <c r="E1367" s="3" t="s">
        <v>852</v>
      </c>
      <c r="F1367" s="3">
        <v>6.0</v>
      </c>
      <c r="G1367" s="4">
        <v>-27.77891</v>
      </c>
      <c r="H1367" s="4">
        <v>-48.49956</v>
      </c>
      <c r="I1367" s="5">
        <v>54.0</v>
      </c>
      <c r="J1367" s="20" t="s">
        <v>395</v>
      </c>
      <c r="K1367" s="5" t="s">
        <v>315</v>
      </c>
      <c r="L1367" s="3"/>
      <c r="M1367" s="5"/>
      <c r="N1367" s="5"/>
      <c r="O1367" s="5"/>
      <c r="P1367" s="3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</row>
    <row r="1368" ht="15.75" customHeight="1">
      <c r="A1368" s="3" t="s">
        <v>747</v>
      </c>
      <c r="B1368" s="3" t="s">
        <v>748</v>
      </c>
      <c r="C1368" s="3" t="s">
        <v>80</v>
      </c>
      <c r="D1368" s="3" t="s">
        <v>826</v>
      </c>
      <c r="E1368" s="3" t="s">
        <v>852</v>
      </c>
      <c r="F1368" s="3">
        <v>6.0</v>
      </c>
      <c r="G1368" s="4">
        <v>-27.77891</v>
      </c>
      <c r="H1368" s="4">
        <v>-48.49956</v>
      </c>
      <c r="I1368" s="5">
        <v>55.0</v>
      </c>
      <c r="J1368" s="19" t="s">
        <v>897</v>
      </c>
      <c r="K1368" s="5" t="s">
        <v>315</v>
      </c>
      <c r="L1368" s="3"/>
      <c r="M1368" s="5">
        <v>10.0</v>
      </c>
      <c r="N1368" s="5" t="s">
        <v>898</v>
      </c>
      <c r="O1368" s="11"/>
      <c r="P1368" s="5" t="s">
        <v>77</v>
      </c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</row>
    <row r="1369" ht="15.75" customHeight="1">
      <c r="A1369" s="3" t="s">
        <v>747</v>
      </c>
      <c r="B1369" s="3" t="s">
        <v>748</v>
      </c>
      <c r="C1369" s="3" t="s">
        <v>80</v>
      </c>
      <c r="D1369" s="3" t="s">
        <v>826</v>
      </c>
      <c r="E1369" s="3" t="s">
        <v>852</v>
      </c>
      <c r="F1369" s="3">
        <v>6.0</v>
      </c>
      <c r="G1369" s="4">
        <v>-27.77891</v>
      </c>
      <c r="H1369" s="4">
        <v>-48.49956</v>
      </c>
      <c r="I1369" s="5">
        <v>56.0</v>
      </c>
      <c r="J1369" s="5" t="s">
        <v>372</v>
      </c>
      <c r="K1369" s="5" t="s">
        <v>372</v>
      </c>
      <c r="L1369" s="3"/>
      <c r="M1369" s="5">
        <v>5.0</v>
      </c>
      <c r="N1369" s="5">
        <v>20.5</v>
      </c>
      <c r="O1369" s="5"/>
      <c r="P1369" s="3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</row>
    <row r="1370" ht="15.75" customHeight="1">
      <c r="A1370" s="3" t="s">
        <v>747</v>
      </c>
      <c r="B1370" s="3" t="s">
        <v>748</v>
      </c>
      <c r="C1370" s="3" t="s">
        <v>80</v>
      </c>
      <c r="D1370" s="3" t="s">
        <v>826</v>
      </c>
      <c r="E1370" s="3" t="s">
        <v>852</v>
      </c>
      <c r="F1370" s="3">
        <v>6.0</v>
      </c>
      <c r="G1370" s="4">
        <v>-27.77891</v>
      </c>
      <c r="H1370" s="4">
        <v>-48.49956</v>
      </c>
      <c r="I1370" s="5">
        <v>57.0</v>
      </c>
      <c r="J1370" s="5" t="s">
        <v>899</v>
      </c>
      <c r="K1370" s="5" t="s">
        <v>899</v>
      </c>
      <c r="L1370" s="3"/>
      <c r="M1370" s="5">
        <v>10.0</v>
      </c>
      <c r="N1370" s="5">
        <v>37.5</v>
      </c>
      <c r="O1370" s="5"/>
      <c r="P1370" s="3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</row>
    <row r="1371" ht="15.75" customHeight="1">
      <c r="A1371" s="3" t="s">
        <v>747</v>
      </c>
      <c r="B1371" s="3" t="s">
        <v>748</v>
      </c>
      <c r="C1371" s="3" t="s">
        <v>80</v>
      </c>
      <c r="D1371" s="3" t="s">
        <v>826</v>
      </c>
      <c r="E1371" s="3" t="s">
        <v>900</v>
      </c>
      <c r="F1371" s="3">
        <v>7.0</v>
      </c>
      <c r="G1371" s="4">
        <v>-27.77933</v>
      </c>
      <c r="H1371" s="4">
        <v>-48.49887</v>
      </c>
      <c r="I1371" s="5">
        <v>1.0</v>
      </c>
      <c r="J1371" s="5" t="s">
        <v>153</v>
      </c>
      <c r="K1371" s="5" t="s">
        <v>153</v>
      </c>
      <c r="L1371" s="3"/>
      <c r="M1371" s="5">
        <v>7.0</v>
      </c>
      <c r="N1371" s="5">
        <v>21.5</v>
      </c>
      <c r="O1371" s="5"/>
      <c r="P1371" s="3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</row>
    <row r="1372" ht="15.75" customHeight="1">
      <c r="A1372" s="3" t="s">
        <v>747</v>
      </c>
      <c r="B1372" s="3" t="s">
        <v>748</v>
      </c>
      <c r="C1372" s="3" t="s">
        <v>80</v>
      </c>
      <c r="D1372" s="3" t="s">
        <v>826</v>
      </c>
      <c r="E1372" s="3" t="s">
        <v>900</v>
      </c>
      <c r="F1372" s="3">
        <v>7.0</v>
      </c>
      <c r="G1372" s="4">
        <v>-27.77933</v>
      </c>
      <c r="H1372" s="4">
        <v>-48.49887</v>
      </c>
      <c r="I1372" s="5">
        <v>2.0</v>
      </c>
      <c r="J1372" s="5" t="s">
        <v>98</v>
      </c>
      <c r="K1372" s="5" t="s">
        <v>98</v>
      </c>
      <c r="L1372" s="3"/>
      <c r="M1372" s="5">
        <v>6.0</v>
      </c>
      <c r="N1372" s="5">
        <v>32.0</v>
      </c>
      <c r="O1372" s="5"/>
      <c r="P1372" s="3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</row>
    <row r="1373" ht="15.75" customHeight="1">
      <c r="A1373" s="3" t="s">
        <v>747</v>
      </c>
      <c r="B1373" s="3" t="s">
        <v>748</v>
      </c>
      <c r="C1373" s="3" t="s">
        <v>80</v>
      </c>
      <c r="D1373" s="3" t="s">
        <v>826</v>
      </c>
      <c r="E1373" s="3" t="s">
        <v>900</v>
      </c>
      <c r="F1373" s="3">
        <v>7.0</v>
      </c>
      <c r="G1373" s="4">
        <v>-27.77933</v>
      </c>
      <c r="H1373" s="4">
        <v>-48.49887</v>
      </c>
      <c r="I1373" s="5">
        <v>3.0</v>
      </c>
      <c r="J1373" s="3" t="s">
        <v>232</v>
      </c>
      <c r="K1373" s="3" t="s">
        <v>232</v>
      </c>
      <c r="L1373" s="3"/>
      <c r="M1373" s="5">
        <v>5.0</v>
      </c>
      <c r="N1373" s="5">
        <v>25.5</v>
      </c>
      <c r="O1373" s="5" t="s">
        <v>901</v>
      </c>
      <c r="P1373" s="3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</row>
    <row r="1374" ht="15.75" customHeight="1">
      <c r="A1374" s="3" t="s">
        <v>747</v>
      </c>
      <c r="B1374" s="3" t="s">
        <v>748</v>
      </c>
      <c r="C1374" s="3" t="s">
        <v>80</v>
      </c>
      <c r="D1374" s="3" t="s">
        <v>826</v>
      </c>
      <c r="E1374" s="3" t="s">
        <v>900</v>
      </c>
      <c r="F1374" s="3">
        <v>7.0</v>
      </c>
      <c r="G1374" s="4">
        <v>-27.77933</v>
      </c>
      <c r="H1374" s="4">
        <v>-48.49887</v>
      </c>
      <c r="I1374" s="5">
        <v>4.0</v>
      </c>
      <c r="J1374" s="5" t="s">
        <v>54</v>
      </c>
      <c r="K1374" s="5" t="s">
        <v>55</v>
      </c>
      <c r="L1374" s="3"/>
      <c r="M1374" s="5">
        <v>4.0</v>
      </c>
      <c r="N1374" s="5">
        <v>15.0</v>
      </c>
      <c r="O1374" s="5"/>
      <c r="P1374" s="3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</row>
    <row r="1375" ht="15.75" customHeight="1">
      <c r="A1375" s="3" t="s">
        <v>747</v>
      </c>
      <c r="B1375" s="3" t="s">
        <v>748</v>
      </c>
      <c r="C1375" s="3" t="s">
        <v>80</v>
      </c>
      <c r="D1375" s="3" t="s">
        <v>826</v>
      </c>
      <c r="E1375" s="3" t="s">
        <v>900</v>
      </c>
      <c r="F1375" s="3">
        <v>7.0</v>
      </c>
      <c r="G1375" s="4">
        <v>-27.77933</v>
      </c>
      <c r="H1375" s="4">
        <v>-48.49887</v>
      </c>
      <c r="I1375" s="5">
        <v>5.0</v>
      </c>
      <c r="J1375" s="5" t="s">
        <v>154</v>
      </c>
      <c r="K1375" s="5" t="s">
        <v>154</v>
      </c>
      <c r="L1375" s="3"/>
      <c r="M1375" s="5">
        <v>9.0</v>
      </c>
      <c r="N1375" s="5">
        <v>36.0</v>
      </c>
      <c r="O1375" s="5"/>
      <c r="P1375" s="3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</row>
    <row r="1376" ht="15.75" customHeight="1">
      <c r="A1376" s="3" t="s">
        <v>747</v>
      </c>
      <c r="B1376" s="3" t="s">
        <v>748</v>
      </c>
      <c r="C1376" s="3" t="s">
        <v>80</v>
      </c>
      <c r="D1376" s="3" t="s">
        <v>826</v>
      </c>
      <c r="E1376" s="3" t="s">
        <v>900</v>
      </c>
      <c r="F1376" s="3">
        <v>7.0</v>
      </c>
      <c r="G1376" s="4">
        <v>-27.77933</v>
      </c>
      <c r="H1376" s="4">
        <v>-48.49887</v>
      </c>
      <c r="I1376" s="5">
        <v>6.0</v>
      </c>
      <c r="J1376" s="3" t="s">
        <v>232</v>
      </c>
      <c r="K1376" s="3" t="s">
        <v>232</v>
      </c>
      <c r="L1376" s="3"/>
      <c r="M1376" s="5">
        <v>9.0</v>
      </c>
      <c r="N1376" s="5">
        <v>19.5</v>
      </c>
      <c r="O1376" s="5" t="s">
        <v>902</v>
      </c>
      <c r="P1376" s="3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</row>
    <row r="1377" ht="15.75" customHeight="1">
      <c r="A1377" s="3" t="s">
        <v>747</v>
      </c>
      <c r="B1377" s="3" t="s">
        <v>748</v>
      </c>
      <c r="C1377" s="3" t="s">
        <v>80</v>
      </c>
      <c r="D1377" s="3" t="s">
        <v>826</v>
      </c>
      <c r="E1377" s="3" t="s">
        <v>900</v>
      </c>
      <c r="F1377" s="3">
        <v>7.0</v>
      </c>
      <c r="G1377" s="4">
        <v>-27.77933</v>
      </c>
      <c r="H1377" s="4">
        <v>-48.49887</v>
      </c>
      <c r="I1377" s="5">
        <v>7.0</v>
      </c>
      <c r="J1377" s="5" t="s">
        <v>839</v>
      </c>
      <c r="K1377" s="5" t="s">
        <v>839</v>
      </c>
      <c r="L1377" s="3"/>
      <c r="M1377" s="5">
        <v>3.5</v>
      </c>
      <c r="N1377" s="5">
        <v>15.5</v>
      </c>
      <c r="O1377" s="5" t="s">
        <v>903</v>
      </c>
      <c r="P1377" s="3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</row>
    <row r="1378" ht="15.75" customHeight="1">
      <c r="A1378" s="3" t="s">
        <v>747</v>
      </c>
      <c r="B1378" s="3" t="s">
        <v>748</v>
      </c>
      <c r="C1378" s="3" t="s">
        <v>80</v>
      </c>
      <c r="D1378" s="3" t="s">
        <v>826</v>
      </c>
      <c r="E1378" s="3" t="s">
        <v>900</v>
      </c>
      <c r="F1378" s="3">
        <v>7.0</v>
      </c>
      <c r="G1378" s="4">
        <v>-27.77933</v>
      </c>
      <c r="H1378" s="4">
        <v>-48.49887</v>
      </c>
      <c r="I1378" s="5">
        <v>8.0</v>
      </c>
      <c r="J1378" s="5" t="s">
        <v>795</v>
      </c>
      <c r="K1378" s="5" t="s">
        <v>120</v>
      </c>
      <c r="L1378" s="3"/>
      <c r="M1378" s="5">
        <v>4.5</v>
      </c>
      <c r="N1378" s="5">
        <v>15.5</v>
      </c>
      <c r="O1378" s="11"/>
      <c r="P1378" s="5" t="s">
        <v>77</v>
      </c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</row>
    <row r="1379" ht="15.75" customHeight="1">
      <c r="A1379" s="3" t="s">
        <v>747</v>
      </c>
      <c r="B1379" s="3" t="s">
        <v>748</v>
      </c>
      <c r="C1379" s="3" t="s">
        <v>80</v>
      </c>
      <c r="D1379" s="3" t="s">
        <v>826</v>
      </c>
      <c r="E1379" s="3" t="s">
        <v>900</v>
      </c>
      <c r="F1379" s="3">
        <v>7.0</v>
      </c>
      <c r="G1379" s="4">
        <v>-27.77933</v>
      </c>
      <c r="H1379" s="4">
        <v>-48.49887</v>
      </c>
      <c r="I1379" s="5">
        <v>9.0</v>
      </c>
      <c r="J1379" s="5" t="s">
        <v>795</v>
      </c>
      <c r="K1379" s="5" t="s">
        <v>120</v>
      </c>
      <c r="L1379" s="3"/>
      <c r="M1379" s="5">
        <v>7.0</v>
      </c>
      <c r="N1379" s="5">
        <v>17.0</v>
      </c>
      <c r="O1379" s="5"/>
      <c r="P1379" s="3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</row>
    <row r="1380" ht="15.75" customHeight="1">
      <c r="A1380" s="3" t="s">
        <v>747</v>
      </c>
      <c r="B1380" s="3" t="s">
        <v>748</v>
      </c>
      <c r="C1380" s="3" t="s">
        <v>80</v>
      </c>
      <c r="D1380" s="3" t="s">
        <v>826</v>
      </c>
      <c r="E1380" s="3" t="s">
        <v>900</v>
      </c>
      <c r="F1380" s="3">
        <v>7.0</v>
      </c>
      <c r="G1380" s="4">
        <v>-27.77933</v>
      </c>
      <c r="H1380" s="4">
        <v>-48.49887</v>
      </c>
      <c r="I1380" s="5">
        <v>10.0</v>
      </c>
      <c r="J1380" s="5" t="s">
        <v>98</v>
      </c>
      <c r="K1380" s="5" t="s">
        <v>98</v>
      </c>
      <c r="L1380" s="3"/>
      <c r="M1380" s="5">
        <v>6.5</v>
      </c>
      <c r="N1380" s="5" t="s">
        <v>904</v>
      </c>
      <c r="O1380" s="5"/>
      <c r="P1380" s="3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</row>
    <row r="1381" ht="15.75" customHeight="1">
      <c r="A1381" s="3" t="s">
        <v>747</v>
      </c>
      <c r="B1381" s="3" t="s">
        <v>748</v>
      </c>
      <c r="C1381" s="3" t="s">
        <v>80</v>
      </c>
      <c r="D1381" s="3" t="s">
        <v>826</v>
      </c>
      <c r="E1381" s="3" t="s">
        <v>900</v>
      </c>
      <c r="F1381" s="3">
        <v>7.0</v>
      </c>
      <c r="G1381" s="4">
        <v>-27.77933</v>
      </c>
      <c r="H1381" s="4">
        <v>-48.49887</v>
      </c>
      <c r="I1381" s="5">
        <v>11.0</v>
      </c>
      <c r="J1381" s="5" t="s">
        <v>98</v>
      </c>
      <c r="K1381" s="5" t="s">
        <v>98</v>
      </c>
      <c r="L1381" s="3"/>
      <c r="M1381" s="5">
        <v>10.0</v>
      </c>
      <c r="N1381" s="5">
        <v>27.0</v>
      </c>
      <c r="O1381" s="5"/>
      <c r="P1381" s="3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</row>
    <row r="1382" ht="15.75" customHeight="1">
      <c r="A1382" s="3" t="s">
        <v>747</v>
      </c>
      <c r="B1382" s="3" t="s">
        <v>748</v>
      </c>
      <c r="C1382" s="3" t="s">
        <v>80</v>
      </c>
      <c r="D1382" s="3" t="s">
        <v>826</v>
      </c>
      <c r="E1382" s="3" t="s">
        <v>900</v>
      </c>
      <c r="F1382" s="3">
        <v>7.0</v>
      </c>
      <c r="G1382" s="4">
        <v>-27.77933</v>
      </c>
      <c r="H1382" s="4">
        <v>-48.49887</v>
      </c>
      <c r="I1382" s="5">
        <v>12.0</v>
      </c>
      <c r="J1382" s="5" t="s">
        <v>905</v>
      </c>
      <c r="K1382" s="5" t="s">
        <v>37</v>
      </c>
      <c r="L1382" s="3"/>
      <c r="M1382" s="5">
        <v>6.0</v>
      </c>
      <c r="N1382" s="5">
        <v>18.5</v>
      </c>
      <c r="O1382" s="5"/>
      <c r="P1382" s="3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</row>
    <row r="1383" ht="15.75" customHeight="1">
      <c r="A1383" s="3" t="s">
        <v>747</v>
      </c>
      <c r="B1383" s="3" t="s">
        <v>748</v>
      </c>
      <c r="C1383" s="3" t="s">
        <v>80</v>
      </c>
      <c r="D1383" s="3" t="s">
        <v>826</v>
      </c>
      <c r="E1383" s="3" t="s">
        <v>900</v>
      </c>
      <c r="F1383" s="3">
        <v>7.0</v>
      </c>
      <c r="G1383" s="4">
        <v>-27.77933</v>
      </c>
      <c r="H1383" s="4">
        <v>-48.49887</v>
      </c>
      <c r="I1383" s="5">
        <v>13.0</v>
      </c>
      <c r="J1383" s="5" t="s">
        <v>98</v>
      </c>
      <c r="K1383" s="5" t="s">
        <v>98</v>
      </c>
      <c r="L1383" s="3"/>
      <c r="M1383" s="5">
        <v>7.0</v>
      </c>
      <c r="N1383" s="5">
        <v>18.0</v>
      </c>
      <c r="O1383" s="5"/>
      <c r="P1383" s="3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</row>
    <row r="1384" ht="15.75" customHeight="1">
      <c r="A1384" s="3" t="s">
        <v>747</v>
      </c>
      <c r="B1384" s="3" t="s">
        <v>748</v>
      </c>
      <c r="C1384" s="3" t="s">
        <v>80</v>
      </c>
      <c r="D1384" s="3" t="s">
        <v>826</v>
      </c>
      <c r="E1384" s="3" t="s">
        <v>900</v>
      </c>
      <c r="F1384" s="3">
        <v>7.0</v>
      </c>
      <c r="G1384" s="4">
        <v>-27.77933</v>
      </c>
      <c r="H1384" s="4">
        <v>-48.49887</v>
      </c>
      <c r="I1384" s="5">
        <v>14.0</v>
      </c>
      <c r="J1384" s="3" t="s">
        <v>906</v>
      </c>
      <c r="K1384" s="3" t="s">
        <v>906</v>
      </c>
      <c r="L1384" s="3"/>
      <c r="M1384" s="5">
        <v>5.0</v>
      </c>
      <c r="N1384" s="5">
        <v>15.0</v>
      </c>
      <c r="O1384" s="5" t="s">
        <v>907</v>
      </c>
      <c r="P1384" s="3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</row>
    <row r="1385" ht="15.75" customHeight="1">
      <c r="A1385" s="3" t="s">
        <v>747</v>
      </c>
      <c r="B1385" s="3" t="s">
        <v>748</v>
      </c>
      <c r="C1385" s="3" t="s">
        <v>80</v>
      </c>
      <c r="D1385" s="3" t="s">
        <v>826</v>
      </c>
      <c r="E1385" s="3" t="s">
        <v>900</v>
      </c>
      <c r="F1385" s="3">
        <v>7.0</v>
      </c>
      <c r="G1385" s="4">
        <v>-27.77933</v>
      </c>
      <c r="H1385" s="4">
        <v>-48.49887</v>
      </c>
      <c r="I1385" s="5">
        <v>15.0</v>
      </c>
      <c r="J1385" s="5" t="s">
        <v>756</v>
      </c>
      <c r="K1385" s="5" t="s">
        <v>752</v>
      </c>
      <c r="L1385" s="3"/>
      <c r="M1385" s="5">
        <v>8.0</v>
      </c>
      <c r="N1385" s="5">
        <v>27.0</v>
      </c>
      <c r="O1385" s="5"/>
      <c r="P1385" s="3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</row>
    <row r="1386" ht="15.75" customHeight="1">
      <c r="A1386" s="3" t="s">
        <v>747</v>
      </c>
      <c r="B1386" s="3" t="s">
        <v>748</v>
      </c>
      <c r="C1386" s="3" t="s">
        <v>80</v>
      </c>
      <c r="D1386" s="3" t="s">
        <v>826</v>
      </c>
      <c r="E1386" s="3" t="s">
        <v>900</v>
      </c>
      <c r="F1386" s="3">
        <v>7.0</v>
      </c>
      <c r="G1386" s="4">
        <v>-27.77933</v>
      </c>
      <c r="H1386" s="4">
        <v>-48.49887</v>
      </c>
      <c r="I1386" s="5">
        <v>16.0</v>
      </c>
      <c r="J1386" s="5" t="s">
        <v>98</v>
      </c>
      <c r="K1386" s="5" t="s">
        <v>98</v>
      </c>
      <c r="L1386" s="3"/>
      <c r="M1386" s="5">
        <v>9.0</v>
      </c>
      <c r="N1386" s="5">
        <v>57.0</v>
      </c>
      <c r="O1386" s="5"/>
      <c r="P1386" s="3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</row>
    <row r="1387" ht="15.75" customHeight="1">
      <c r="A1387" s="3" t="s">
        <v>747</v>
      </c>
      <c r="B1387" s="3" t="s">
        <v>748</v>
      </c>
      <c r="C1387" s="3" t="s">
        <v>80</v>
      </c>
      <c r="D1387" s="3" t="s">
        <v>826</v>
      </c>
      <c r="E1387" s="3" t="s">
        <v>900</v>
      </c>
      <c r="F1387" s="3">
        <v>7.0</v>
      </c>
      <c r="G1387" s="4">
        <v>-27.77933</v>
      </c>
      <c r="H1387" s="4">
        <v>-48.49887</v>
      </c>
      <c r="I1387" s="5">
        <v>17.0</v>
      </c>
      <c r="J1387" s="5" t="s">
        <v>153</v>
      </c>
      <c r="K1387" s="5" t="s">
        <v>153</v>
      </c>
      <c r="L1387" s="3"/>
      <c r="M1387" s="5">
        <v>7.0</v>
      </c>
      <c r="N1387" s="5">
        <v>21.0</v>
      </c>
      <c r="O1387" s="5"/>
      <c r="P1387" s="3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</row>
    <row r="1388" ht="15.75" customHeight="1">
      <c r="A1388" s="3" t="s">
        <v>747</v>
      </c>
      <c r="B1388" s="3" t="s">
        <v>748</v>
      </c>
      <c r="C1388" s="3" t="s">
        <v>80</v>
      </c>
      <c r="D1388" s="3" t="s">
        <v>826</v>
      </c>
      <c r="E1388" s="3" t="s">
        <v>900</v>
      </c>
      <c r="F1388" s="3">
        <v>7.0</v>
      </c>
      <c r="G1388" s="4">
        <v>-27.77933</v>
      </c>
      <c r="H1388" s="4">
        <v>-48.49887</v>
      </c>
      <c r="I1388" s="5">
        <v>18.0</v>
      </c>
      <c r="J1388" s="5" t="s">
        <v>40</v>
      </c>
      <c r="K1388" s="5" t="s">
        <v>40</v>
      </c>
      <c r="L1388" s="3"/>
      <c r="M1388" s="5">
        <v>7.0</v>
      </c>
      <c r="N1388" s="5" t="s">
        <v>908</v>
      </c>
      <c r="O1388" s="5" t="s">
        <v>909</v>
      </c>
      <c r="P1388" s="3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</row>
    <row r="1389" ht="15.75" customHeight="1">
      <c r="A1389" s="3" t="s">
        <v>747</v>
      </c>
      <c r="B1389" s="3" t="s">
        <v>748</v>
      </c>
      <c r="C1389" s="3" t="s">
        <v>80</v>
      </c>
      <c r="D1389" s="3" t="s">
        <v>826</v>
      </c>
      <c r="E1389" s="3" t="s">
        <v>900</v>
      </c>
      <c r="F1389" s="3">
        <v>7.0</v>
      </c>
      <c r="G1389" s="4">
        <v>-27.77933</v>
      </c>
      <c r="H1389" s="4">
        <v>-48.49887</v>
      </c>
      <c r="I1389" s="5">
        <v>19.0</v>
      </c>
      <c r="J1389" s="5" t="s">
        <v>910</v>
      </c>
      <c r="K1389" s="5" t="s">
        <v>911</v>
      </c>
      <c r="L1389" s="3"/>
      <c r="M1389" s="5">
        <v>7.0</v>
      </c>
      <c r="N1389" s="5">
        <v>30.0</v>
      </c>
      <c r="O1389" s="5" t="s">
        <v>912</v>
      </c>
      <c r="P1389" s="3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</row>
    <row r="1390" ht="15.75" customHeight="1">
      <c r="A1390" s="3" t="s">
        <v>747</v>
      </c>
      <c r="B1390" s="3" t="s">
        <v>748</v>
      </c>
      <c r="C1390" s="3" t="s">
        <v>80</v>
      </c>
      <c r="D1390" s="3" t="s">
        <v>826</v>
      </c>
      <c r="E1390" s="3" t="s">
        <v>900</v>
      </c>
      <c r="F1390" s="3">
        <v>7.0</v>
      </c>
      <c r="G1390" s="4">
        <v>-27.77933</v>
      </c>
      <c r="H1390" s="4">
        <v>-48.49887</v>
      </c>
      <c r="I1390" s="5">
        <v>20.0</v>
      </c>
      <c r="J1390" s="5" t="s">
        <v>153</v>
      </c>
      <c r="K1390" s="5" t="s">
        <v>153</v>
      </c>
      <c r="L1390" s="3"/>
      <c r="M1390" s="5">
        <v>6.0</v>
      </c>
      <c r="N1390" s="5">
        <v>20.0</v>
      </c>
      <c r="O1390" s="5"/>
      <c r="P1390" s="3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</row>
    <row r="1391" ht="15.75" customHeight="1">
      <c r="A1391" s="3" t="s">
        <v>747</v>
      </c>
      <c r="B1391" s="3" t="s">
        <v>748</v>
      </c>
      <c r="C1391" s="3" t="s">
        <v>80</v>
      </c>
      <c r="D1391" s="3" t="s">
        <v>826</v>
      </c>
      <c r="E1391" s="3" t="s">
        <v>900</v>
      </c>
      <c r="F1391" s="3">
        <v>7.0</v>
      </c>
      <c r="G1391" s="4">
        <v>-27.77933</v>
      </c>
      <c r="H1391" s="4">
        <v>-48.49887</v>
      </c>
      <c r="I1391" s="5">
        <v>21.0</v>
      </c>
      <c r="J1391" s="3" t="s">
        <v>369</v>
      </c>
      <c r="K1391" s="3" t="s">
        <v>369</v>
      </c>
      <c r="L1391" s="3"/>
      <c r="M1391" s="5">
        <v>12.0</v>
      </c>
      <c r="N1391" s="5">
        <v>57.0</v>
      </c>
      <c r="O1391" s="5" t="s">
        <v>913</v>
      </c>
      <c r="P1391" s="3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</row>
    <row r="1392" ht="15.75" customHeight="1">
      <c r="A1392" s="3" t="s">
        <v>747</v>
      </c>
      <c r="B1392" s="3" t="s">
        <v>748</v>
      </c>
      <c r="C1392" s="3" t="s">
        <v>80</v>
      </c>
      <c r="D1392" s="3" t="s">
        <v>826</v>
      </c>
      <c r="E1392" s="3" t="s">
        <v>900</v>
      </c>
      <c r="F1392" s="3">
        <v>7.0</v>
      </c>
      <c r="G1392" s="4">
        <v>-27.77933</v>
      </c>
      <c r="H1392" s="4">
        <v>-48.49887</v>
      </c>
      <c r="I1392" s="5">
        <v>22.0</v>
      </c>
      <c r="J1392" s="5" t="s">
        <v>154</v>
      </c>
      <c r="K1392" s="5" t="s">
        <v>154</v>
      </c>
      <c r="L1392" s="3"/>
      <c r="M1392" s="5">
        <v>6.0</v>
      </c>
      <c r="N1392" s="5">
        <v>19.0</v>
      </c>
      <c r="O1392" s="5"/>
      <c r="P1392" s="3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</row>
    <row r="1393" ht="15.75" customHeight="1">
      <c r="A1393" s="3" t="s">
        <v>747</v>
      </c>
      <c r="B1393" s="3" t="s">
        <v>748</v>
      </c>
      <c r="C1393" s="3" t="s">
        <v>80</v>
      </c>
      <c r="D1393" s="3" t="s">
        <v>826</v>
      </c>
      <c r="E1393" s="3" t="s">
        <v>900</v>
      </c>
      <c r="F1393" s="3">
        <v>7.0</v>
      </c>
      <c r="G1393" s="4">
        <v>-27.77933</v>
      </c>
      <c r="H1393" s="4">
        <v>-48.49887</v>
      </c>
      <c r="I1393" s="5">
        <v>23.0</v>
      </c>
      <c r="J1393" s="5" t="s">
        <v>153</v>
      </c>
      <c r="K1393" s="5" t="s">
        <v>153</v>
      </c>
      <c r="L1393" s="3"/>
      <c r="M1393" s="5">
        <v>6.0</v>
      </c>
      <c r="N1393" s="5">
        <v>36.0</v>
      </c>
      <c r="O1393" s="5"/>
      <c r="P1393" s="3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</row>
    <row r="1394" ht="15.75" customHeight="1">
      <c r="A1394" s="3" t="s">
        <v>747</v>
      </c>
      <c r="B1394" s="3" t="s">
        <v>748</v>
      </c>
      <c r="C1394" s="3" t="s">
        <v>80</v>
      </c>
      <c r="D1394" s="3" t="s">
        <v>826</v>
      </c>
      <c r="E1394" s="3" t="s">
        <v>900</v>
      </c>
      <c r="F1394" s="3">
        <v>7.0</v>
      </c>
      <c r="G1394" s="4">
        <v>-27.77933</v>
      </c>
      <c r="H1394" s="4">
        <v>-48.49887</v>
      </c>
      <c r="I1394" s="5">
        <v>24.0</v>
      </c>
      <c r="J1394" s="5" t="s">
        <v>153</v>
      </c>
      <c r="K1394" s="5" t="s">
        <v>153</v>
      </c>
      <c r="L1394" s="3"/>
      <c r="M1394" s="5">
        <v>7.0</v>
      </c>
      <c r="N1394" s="5" t="s">
        <v>914</v>
      </c>
      <c r="O1394" s="5"/>
      <c r="P1394" s="3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</row>
    <row r="1395" ht="15.75" customHeight="1">
      <c r="A1395" s="3" t="s">
        <v>747</v>
      </c>
      <c r="B1395" s="3" t="s">
        <v>748</v>
      </c>
      <c r="C1395" s="3" t="s">
        <v>80</v>
      </c>
      <c r="D1395" s="3" t="s">
        <v>826</v>
      </c>
      <c r="E1395" s="3" t="s">
        <v>900</v>
      </c>
      <c r="F1395" s="3">
        <v>7.0</v>
      </c>
      <c r="G1395" s="4">
        <v>-27.77933</v>
      </c>
      <c r="H1395" s="4">
        <v>-48.49887</v>
      </c>
      <c r="I1395" s="5">
        <v>25.0</v>
      </c>
      <c r="J1395" s="5" t="s">
        <v>154</v>
      </c>
      <c r="K1395" s="5" t="s">
        <v>154</v>
      </c>
      <c r="L1395" s="3"/>
      <c r="M1395" s="5">
        <v>8.0</v>
      </c>
      <c r="N1395" s="5">
        <v>25.0</v>
      </c>
      <c r="O1395" s="5"/>
      <c r="P1395" s="3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</row>
    <row r="1396" ht="15.75" customHeight="1">
      <c r="A1396" s="3" t="s">
        <v>747</v>
      </c>
      <c r="B1396" s="3" t="s">
        <v>748</v>
      </c>
      <c r="C1396" s="3" t="s">
        <v>80</v>
      </c>
      <c r="D1396" s="3" t="s">
        <v>826</v>
      </c>
      <c r="E1396" s="3" t="s">
        <v>900</v>
      </c>
      <c r="F1396" s="3">
        <v>7.0</v>
      </c>
      <c r="G1396" s="4">
        <v>-27.77933</v>
      </c>
      <c r="H1396" s="4">
        <v>-48.49887</v>
      </c>
      <c r="I1396" s="5">
        <v>26.0</v>
      </c>
      <c r="J1396" s="5" t="s">
        <v>154</v>
      </c>
      <c r="K1396" s="5" t="s">
        <v>154</v>
      </c>
      <c r="L1396" s="3"/>
      <c r="M1396" s="5">
        <v>9.0</v>
      </c>
      <c r="N1396" s="5">
        <v>31.0</v>
      </c>
      <c r="O1396" s="5"/>
      <c r="P1396" s="3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</row>
    <row r="1397" ht="15.75" customHeight="1">
      <c r="A1397" s="3" t="s">
        <v>747</v>
      </c>
      <c r="B1397" s="3" t="s">
        <v>748</v>
      </c>
      <c r="C1397" s="3" t="s">
        <v>80</v>
      </c>
      <c r="D1397" s="3" t="s">
        <v>826</v>
      </c>
      <c r="E1397" s="3" t="s">
        <v>900</v>
      </c>
      <c r="F1397" s="3">
        <v>7.0</v>
      </c>
      <c r="G1397" s="4">
        <v>-27.77933</v>
      </c>
      <c r="H1397" s="4">
        <v>-48.49887</v>
      </c>
      <c r="I1397" s="5">
        <v>27.0</v>
      </c>
      <c r="J1397" s="5" t="s">
        <v>98</v>
      </c>
      <c r="K1397" s="5" t="s">
        <v>98</v>
      </c>
      <c r="L1397" s="3"/>
      <c r="M1397" s="5">
        <v>10.0</v>
      </c>
      <c r="N1397" s="5" t="s">
        <v>915</v>
      </c>
      <c r="O1397" s="5"/>
      <c r="P1397" s="3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</row>
    <row r="1398" ht="15.75" customHeight="1">
      <c r="A1398" s="3" t="s">
        <v>747</v>
      </c>
      <c r="B1398" s="3" t="s">
        <v>748</v>
      </c>
      <c r="C1398" s="3" t="s">
        <v>80</v>
      </c>
      <c r="D1398" s="3" t="s">
        <v>826</v>
      </c>
      <c r="E1398" s="3" t="s">
        <v>900</v>
      </c>
      <c r="F1398" s="3">
        <v>7.0</v>
      </c>
      <c r="G1398" s="4">
        <v>-27.77933</v>
      </c>
      <c r="H1398" s="4">
        <v>-48.49887</v>
      </c>
      <c r="I1398" s="5">
        <v>28.0</v>
      </c>
      <c r="J1398" s="5" t="s">
        <v>910</v>
      </c>
      <c r="K1398" s="5" t="s">
        <v>911</v>
      </c>
      <c r="L1398" s="3"/>
      <c r="M1398" s="5">
        <v>10.0</v>
      </c>
      <c r="N1398" s="5" t="s">
        <v>916</v>
      </c>
      <c r="O1398" s="5" t="s">
        <v>917</v>
      </c>
      <c r="P1398" s="3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</row>
    <row r="1399" ht="15.75" customHeight="1">
      <c r="A1399" s="3" t="s">
        <v>747</v>
      </c>
      <c r="B1399" s="3" t="s">
        <v>748</v>
      </c>
      <c r="C1399" s="3" t="s">
        <v>80</v>
      </c>
      <c r="D1399" s="3" t="s">
        <v>826</v>
      </c>
      <c r="E1399" s="3" t="s">
        <v>900</v>
      </c>
      <c r="F1399" s="3">
        <v>7.0</v>
      </c>
      <c r="G1399" s="4">
        <v>-27.77933</v>
      </c>
      <c r="H1399" s="4">
        <v>-48.49887</v>
      </c>
      <c r="I1399" s="5">
        <v>29.0</v>
      </c>
      <c r="J1399" s="5" t="s">
        <v>153</v>
      </c>
      <c r="K1399" s="5" t="s">
        <v>153</v>
      </c>
      <c r="L1399" s="3"/>
      <c r="M1399" s="5">
        <v>8.0</v>
      </c>
      <c r="N1399" s="5">
        <v>40.0</v>
      </c>
      <c r="O1399" s="5"/>
      <c r="P1399" s="3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</row>
    <row r="1400" ht="15.75" customHeight="1">
      <c r="A1400" s="3" t="s">
        <v>747</v>
      </c>
      <c r="B1400" s="3" t="s">
        <v>748</v>
      </c>
      <c r="C1400" s="3" t="s">
        <v>80</v>
      </c>
      <c r="D1400" s="3" t="s">
        <v>826</v>
      </c>
      <c r="E1400" s="3" t="s">
        <v>900</v>
      </c>
      <c r="F1400" s="3">
        <v>7.0</v>
      </c>
      <c r="G1400" s="4">
        <v>-27.77933</v>
      </c>
      <c r="H1400" s="4">
        <v>-48.49887</v>
      </c>
      <c r="I1400" s="5">
        <v>30.0</v>
      </c>
      <c r="J1400" s="19" t="s">
        <v>897</v>
      </c>
      <c r="K1400" s="5" t="s">
        <v>315</v>
      </c>
      <c r="L1400" s="3"/>
      <c r="M1400" s="5">
        <v>7.0</v>
      </c>
      <c r="N1400" s="5">
        <v>17.0</v>
      </c>
      <c r="O1400" s="11"/>
      <c r="P1400" s="5" t="s">
        <v>918</v>
      </c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</row>
    <row r="1401" ht="15.75" customHeight="1">
      <c r="A1401" s="3" t="s">
        <v>747</v>
      </c>
      <c r="B1401" s="3" t="s">
        <v>748</v>
      </c>
      <c r="C1401" s="3" t="s">
        <v>80</v>
      </c>
      <c r="D1401" s="3" t="s">
        <v>826</v>
      </c>
      <c r="E1401" s="3" t="s">
        <v>900</v>
      </c>
      <c r="F1401" s="3">
        <v>7.0</v>
      </c>
      <c r="G1401" s="4">
        <v>-27.77933</v>
      </c>
      <c r="H1401" s="4">
        <v>-48.49887</v>
      </c>
      <c r="I1401" s="5">
        <v>31.0</v>
      </c>
      <c r="J1401" s="5" t="s">
        <v>421</v>
      </c>
      <c r="K1401" s="5" t="s">
        <v>421</v>
      </c>
      <c r="L1401" s="3"/>
      <c r="M1401" s="5">
        <v>7.0</v>
      </c>
      <c r="N1401" s="5">
        <v>27.0</v>
      </c>
      <c r="O1401" s="5"/>
      <c r="P1401" s="3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</row>
    <row r="1402" ht="15.75" customHeight="1">
      <c r="A1402" s="3" t="s">
        <v>747</v>
      </c>
      <c r="B1402" s="3" t="s">
        <v>748</v>
      </c>
      <c r="C1402" s="3" t="s">
        <v>80</v>
      </c>
      <c r="D1402" s="3" t="s">
        <v>826</v>
      </c>
      <c r="E1402" s="3" t="s">
        <v>900</v>
      </c>
      <c r="F1402" s="3">
        <v>7.0</v>
      </c>
      <c r="G1402" s="4">
        <v>-27.77933</v>
      </c>
      <c r="H1402" s="4">
        <v>-48.49887</v>
      </c>
      <c r="I1402" s="5">
        <v>32.0</v>
      </c>
      <c r="J1402" s="5" t="s">
        <v>919</v>
      </c>
      <c r="K1402" s="5" t="s">
        <v>919</v>
      </c>
      <c r="L1402" s="3"/>
      <c r="M1402" s="5">
        <v>7.0</v>
      </c>
      <c r="N1402" s="5">
        <v>24.0</v>
      </c>
      <c r="O1402" s="3"/>
      <c r="P1402" s="5" t="s">
        <v>920</v>
      </c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</row>
    <row r="1403" ht="15.75" customHeight="1">
      <c r="A1403" s="3" t="s">
        <v>747</v>
      </c>
      <c r="B1403" s="3" t="s">
        <v>748</v>
      </c>
      <c r="C1403" s="3" t="s">
        <v>80</v>
      </c>
      <c r="D1403" s="3" t="s">
        <v>826</v>
      </c>
      <c r="E1403" s="3" t="s">
        <v>900</v>
      </c>
      <c r="F1403" s="3">
        <v>7.0</v>
      </c>
      <c r="G1403" s="4">
        <v>-27.77933</v>
      </c>
      <c r="H1403" s="4">
        <v>-48.49887</v>
      </c>
      <c r="I1403" s="5">
        <v>33.0</v>
      </c>
      <c r="J1403" s="5" t="s">
        <v>921</v>
      </c>
      <c r="K1403" s="5" t="s">
        <v>639</v>
      </c>
      <c r="L1403" s="3"/>
      <c r="M1403" s="5">
        <v>8.0</v>
      </c>
      <c r="N1403" s="5">
        <v>23.0</v>
      </c>
      <c r="O1403" s="3"/>
      <c r="P1403" s="5" t="s">
        <v>77</v>
      </c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</row>
    <row r="1404" ht="15.75" customHeight="1">
      <c r="A1404" s="3" t="s">
        <v>747</v>
      </c>
      <c r="B1404" s="3" t="s">
        <v>748</v>
      </c>
      <c r="C1404" s="3" t="s">
        <v>80</v>
      </c>
      <c r="D1404" s="3" t="s">
        <v>826</v>
      </c>
      <c r="E1404" s="3" t="s">
        <v>900</v>
      </c>
      <c r="F1404" s="3">
        <v>7.0</v>
      </c>
      <c r="G1404" s="4">
        <v>-27.77933</v>
      </c>
      <c r="H1404" s="4">
        <v>-48.49887</v>
      </c>
      <c r="I1404" s="5">
        <v>34.0</v>
      </c>
      <c r="J1404" s="5" t="s">
        <v>730</v>
      </c>
      <c r="K1404" s="5" t="s">
        <v>730</v>
      </c>
      <c r="L1404" s="3"/>
      <c r="M1404" s="5">
        <v>7.5</v>
      </c>
      <c r="N1404" s="5">
        <v>19.0</v>
      </c>
      <c r="O1404" s="5"/>
      <c r="P1404" s="3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</row>
    <row r="1405" ht="15.75" customHeight="1">
      <c r="A1405" s="3" t="s">
        <v>747</v>
      </c>
      <c r="B1405" s="3" t="s">
        <v>748</v>
      </c>
      <c r="C1405" s="3" t="s">
        <v>80</v>
      </c>
      <c r="D1405" s="3" t="s">
        <v>826</v>
      </c>
      <c r="E1405" s="3" t="s">
        <v>900</v>
      </c>
      <c r="F1405" s="3">
        <v>7.0</v>
      </c>
      <c r="G1405" s="4">
        <v>-27.77933</v>
      </c>
      <c r="H1405" s="4">
        <v>-48.49887</v>
      </c>
      <c r="I1405" s="5">
        <v>35.0</v>
      </c>
      <c r="J1405" s="5" t="s">
        <v>179</v>
      </c>
      <c r="K1405" s="5" t="s">
        <v>179</v>
      </c>
      <c r="L1405" s="3"/>
      <c r="M1405" s="5">
        <v>9.0</v>
      </c>
      <c r="N1405" s="5">
        <v>36.0</v>
      </c>
      <c r="O1405" s="5" t="s">
        <v>922</v>
      </c>
      <c r="P1405" s="3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</row>
    <row r="1406" ht="15.75" customHeight="1">
      <c r="A1406" s="3" t="s">
        <v>747</v>
      </c>
      <c r="B1406" s="3" t="s">
        <v>748</v>
      </c>
      <c r="C1406" s="3" t="s">
        <v>80</v>
      </c>
      <c r="D1406" s="3" t="s">
        <v>826</v>
      </c>
      <c r="E1406" s="3" t="s">
        <v>900</v>
      </c>
      <c r="F1406" s="3">
        <v>7.0</v>
      </c>
      <c r="G1406" s="4">
        <v>-27.77933</v>
      </c>
      <c r="H1406" s="4">
        <v>-48.49887</v>
      </c>
      <c r="I1406" s="5">
        <v>36.0</v>
      </c>
      <c r="J1406" s="5" t="s">
        <v>98</v>
      </c>
      <c r="K1406" s="5" t="s">
        <v>98</v>
      </c>
      <c r="L1406" s="3"/>
      <c r="M1406" s="5">
        <v>7.0</v>
      </c>
      <c r="N1406" s="5" t="s">
        <v>75</v>
      </c>
      <c r="O1406" s="5"/>
      <c r="P1406" s="3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</row>
    <row r="1407" ht="15.75" customHeight="1">
      <c r="A1407" s="3" t="s">
        <v>747</v>
      </c>
      <c r="B1407" s="3" t="s">
        <v>748</v>
      </c>
      <c r="C1407" s="3" t="s">
        <v>80</v>
      </c>
      <c r="D1407" s="3" t="s">
        <v>826</v>
      </c>
      <c r="E1407" s="3" t="s">
        <v>900</v>
      </c>
      <c r="F1407" s="3">
        <v>7.0</v>
      </c>
      <c r="G1407" s="4">
        <v>-27.77933</v>
      </c>
      <c r="H1407" s="4">
        <v>-48.49887</v>
      </c>
      <c r="I1407" s="5">
        <v>37.0</v>
      </c>
      <c r="J1407" s="5" t="s">
        <v>154</v>
      </c>
      <c r="K1407" s="5" t="s">
        <v>154</v>
      </c>
      <c r="L1407" s="3"/>
      <c r="M1407" s="5">
        <v>9.0</v>
      </c>
      <c r="N1407" s="5">
        <v>24.0</v>
      </c>
      <c r="O1407" s="5"/>
      <c r="P1407" s="3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</row>
    <row r="1408" ht="15.75" customHeight="1">
      <c r="A1408" s="3" t="s">
        <v>747</v>
      </c>
      <c r="B1408" s="3" t="s">
        <v>748</v>
      </c>
      <c r="C1408" s="3" t="s">
        <v>80</v>
      </c>
      <c r="D1408" s="3" t="s">
        <v>826</v>
      </c>
      <c r="E1408" s="3" t="s">
        <v>900</v>
      </c>
      <c r="F1408" s="3">
        <v>7.0</v>
      </c>
      <c r="G1408" s="4">
        <v>-27.77933</v>
      </c>
      <c r="H1408" s="4">
        <v>-48.49887</v>
      </c>
      <c r="I1408" s="5">
        <v>38.0</v>
      </c>
      <c r="J1408" s="19" t="s">
        <v>836</v>
      </c>
      <c r="K1408" s="5" t="s">
        <v>315</v>
      </c>
      <c r="L1408" s="3"/>
      <c r="M1408" s="5">
        <v>7.0</v>
      </c>
      <c r="N1408" s="5">
        <v>18.5</v>
      </c>
      <c r="O1408" s="5" t="s">
        <v>923</v>
      </c>
      <c r="P1408" s="3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</row>
    <row r="1409" ht="15.75" customHeight="1">
      <c r="A1409" s="3" t="s">
        <v>747</v>
      </c>
      <c r="B1409" s="3" t="s">
        <v>748</v>
      </c>
      <c r="C1409" s="3" t="s">
        <v>80</v>
      </c>
      <c r="D1409" s="3" t="s">
        <v>826</v>
      </c>
      <c r="E1409" s="3" t="s">
        <v>924</v>
      </c>
      <c r="F1409" s="3">
        <v>8.0</v>
      </c>
      <c r="G1409" s="4">
        <v>-27.779</v>
      </c>
      <c r="H1409" s="4">
        <v>-48.4988</v>
      </c>
      <c r="I1409" s="5">
        <v>1.0</v>
      </c>
      <c r="J1409" s="5" t="s">
        <v>452</v>
      </c>
      <c r="K1409" s="5" t="s">
        <v>925</v>
      </c>
      <c r="L1409" s="3"/>
      <c r="M1409" s="5">
        <v>6.0</v>
      </c>
      <c r="N1409" s="5" t="s">
        <v>352</v>
      </c>
      <c r="O1409" s="5" t="s">
        <v>926</v>
      </c>
      <c r="P1409" s="3" t="s">
        <v>77</v>
      </c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</row>
    <row r="1410" ht="15.75" customHeight="1">
      <c r="A1410" s="3" t="s">
        <v>747</v>
      </c>
      <c r="B1410" s="3" t="s">
        <v>748</v>
      </c>
      <c r="C1410" s="3" t="s">
        <v>80</v>
      </c>
      <c r="D1410" s="3" t="s">
        <v>826</v>
      </c>
      <c r="E1410" s="3" t="s">
        <v>924</v>
      </c>
      <c r="F1410" s="3">
        <v>8.0</v>
      </c>
      <c r="G1410" s="4">
        <v>-27.779</v>
      </c>
      <c r="H1410" s="4">
        <v>-48.4988</v>
      </c>
      <c r="I1410" s="5">
        <v>2.0</v>
      </c>
      <c r="J1410" s="5" t="s">
        <v>104</v>
      </c>
      <c r="K1410" s="5" t="s">
        <v>104</v>
      </c>
      <c r="L1410" s="3"/>
      <c r="M1410" s="5">
        <v>7.0</v>
      </c>
      <c r="N1410" s="5" t="s">
        <v>927</v>
      </c>
      <c r="O1410" s="5"/>
      <c r="P1410" s="3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</row>
    <row r="1411" ht="15.75" customHeight="1">
      <c r="A1411" s="3" t="s">
        <v>747</v>
      </c>
      <c r="B1411" s="3" t="s">
        <v>748</v>
      </c>
      <c r="C1411" s="3" t="s">
        <v>80</v>
      </c>
      <c r="D1411" s="3" t="s">
        <v>826</v>
      </c>
      <c r="E1411" s="3" t="s">
        <v>924</v>
      </c>
      <c r="F1411" s="3">
        <v>8.0</v>
      </c>
      <c r="G1411" s="4">
        <v>-27.779</v>
      </c>
      <c r="H1411" s="4">
        <v>-48.4988</v>
      </c>
      <c r="I1411" s="5">
        <v>3.0</v>
      </c>
      <c r="J1411" s="5" t="s">
        <v>31</v>
      </c>
      <c r="K1411" s="5" t="s">
        <v>31</v>
      </c>
      <c r="L1411" s="3"/>
      <c r="M1411" s="5">
        <v>6.0</v>
      </c>
      <c r="N1411" s="5">
        <v>20.0</v>
      </c>
      <c r="O1411" s="5"/>
      <c r="P1411" s="3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</row>
    <row r="1412" ht="15.75" customHeight="1">
      <c r="A1412" s="3" t="s">
        <v>747</v>
      </c>
      <c r="B1412" s="3" t="s">
        <v>748</v>
      </c>
      <c r="C1412" s="3" t="s">
        <v>80</v>
      </c>
      <c r="D1412" s="3" t="s">
        <v>826</v>
      </c>
      <c r="E1412" s="3" t="s">
        <v>924</v>
      </c>
      <c r="F1412" s="3">
        <v>8.0</v>
      </c>
      <c r="G1412" s="4">
        <v>-27.779</v>
      </c>
      <c r="H1412" s="4">
        <v>-48.4988</v>
      </c>
      <c r="I1412" s="5">
        <v>4.0</v>
      </c>
      <c r="J1412" s="5" t="s">
        <v>191</v>
      </c>
      <c r="K1412" s="5" t="s">
        <v>191</v>
      </c>
      <c r="L1412" s="3"/>
      <c r="M1412" s="5">
        <v>9.0</v>
      </c>
      <c r="N1412" s="5">
        <v>40.5</v>
      </c>
      <c r="O1412" s="5"/>
      <c r="P1412" s="3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</row>
    <row r="1413" ht="15.75" customHeight="1">
      <c r="A1413" s="3" t="s">
        <v>747</v>
      </c>
      <c r="B1413" s="3" t="s">
        <v>748</v>
      </c>
      <c r="C1413" s="3" t="s">
        <v>80</v>
      </c>
      <c r="D1413" s="3" t="s">
        <v>826</v>
      </c>
      <c r="E1413" s="3" t="s">
        <v>924</v>
      </c>
      <c r="F1413" s="3">
        <v>8.0</v>
      </c>
      <c r="G1413" s="4">
        <v>-27.779</v>
      </c>
      <c r="H1413" s="4">
        <v>-48.4988</v>
      </c>
      <c r="I1413" s="5">
        <v>5.0</v>
      </c>
      <c r="J1413" s="5" t="s">
        <v>928</v>
      </c>
      <c r="K1413" s="5" t="s">
        <v>49</v>
      </c>
      <c r="L1413" s="3"/>
      <c r="M1413" s="5">
        <v>10.0</v>
      </c>
      <c r="N1413" s="5">
        <v>27.0</v>
      </c>
      <c r="O1413" s="5" t="s">
        <v>929</v>
      </c>
      <c r="P1413" s="3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</row>
    <row r="1414" ht="15.75" customHeight="1">
      <c r="A1414" s="3" t="s">
        <v>747</v>
      </c>
      <c r="B1414" s="3" t="s">
        <v>748</v>
      </c>
      <c r="C1414" s="3" t="s">
        <v>80</v>
      </c>
      <c r="D1414" s="3" t="s">
        <v>826</v>
      </c>
      <c r="E1414" s="3" t="s">
        <v>924</v>
      </c>
      <c r="F1414" s="3">
        <v>8.0</v>
      </c>
      <c r="G1414" s="4">
        <v>-27.779</v>
      </c>
      <c r="H1414" s="4">
        <v>-48.4988</v>
      </c>
      <c r="I1414" s="5">
        <v>6.0</v>
      </c>
      <c r="J1414" s="5" t="s">
        <v>104</v>
      </c>
      <c r="K1414" s="5" t="s">
        <v>104</v>
      </c>
      <c r="L1414" s="3"/>
      <c r="M1414" s="5">
        <v>8.0</v>
      </c>
      <c r="N1414" s="5">
        <v>25.0</v>
      </c>
      <c r="O1414" s="5"/>
      <c r="P1414" s="3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</row>
    <row r="1415" ht="15.75" customHeight="1">
      <c r="A1415" s="3" t="s">
        <v>747</v>
      </c>
      <c r="B1415" s="3" t="s">
        <v>748</v>
      </c>
      <c r="C1415" s="3" t="s">
        <v>80</v>
      </c>
      <c r="D1415" s="3" t="s">
        <v>826</v>
      </c>
      <c r="E1415" s="3" t="s">
        <v>924</v>
      </c>
      <c r="F1415" s="3">
        <v>8.0</v>
      </c>
      <c r="G1415" s="4">
        <v>-27.779</v>
      </c>
      <c r="H1415" s="4">
        <v>-48.4988</v>
      </c>
      <c r="I1415" s="5">
        <v>7.0</v>
      </c>
      <c r="J1415" s="5" t="s">
        <v>191</v>
      </c>
      <c r="K1415" s="5" t="s">
        <v>191</v>
      </c>
      <c r="L1415" s="3"/>
      <c r="M1415" s="5">
        <v>9.0</v>
      </c>
      <c r="N1415" s="5">
        <v>37.5</v>
      </c>
      <c r="O1415" s="5"/>
      <c r="P1415" s="3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</row>
    <row r="1416" ht="15.75" customHeight="1">
      <c r="A1416" s="3" t="s">
        <v>747</v>
      </c>
      <c r="B1416" s="3" t="s">
        <v>748</v>
      </c>
      <c r="C1416" s="3" t="s">
        <v>80</v>
      </c>
      <c r="D1416" s="3" t="s">
        <v>826</v>
      </c>
      <c r="E1416" s="3" t="s">
        <v>924</v>
      </c>
      <c r="F1416" s="3">
        <v>8.0</v>
      </c>
      <c r="G1416" s="4">
        <v>-27.779</v>
      </c>
      <c r="H1416" s="4">
        <v>-48.4988</v>
      </c>
      <c r="I1416" s="5">
        <v>8.0</v>
      </c>
      <c r="J1416" s="5" t="s">
        <v>191</v>
      </c>
      <c r="K1416" s="5" t="s">
        <v>191</v>
      </c>
      <c r="L1416" s="3"/>
      <c r="M1416" s="5">
        <v>5.0</v>
      </c>
      <c r="N1416" s="5">
        <v>36.5</v>
      </c>
      <c r="O1416" s="5"/>
      <c r="P1416" s="3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</row>
    <row r="1417" ht="15.75" customHeight="1">
      <c r="A1417" s="3" t="s">
        <v>747</v>
      </c>
      <c r="B1417" s="3" t="s">
        <v>748</v>
      </c>
      <c r="C1417" s="3" t="s">
        <v>80</v>
      </c>
      <c r="D1417" s="3" t="s">
        <v>826</v>
      </c>
      <c r="E1417" s="3" t="s">
        <v>924</v>
      </c>
      <c r="F1417" s="3">
        <v>8.0</v>
      </c>
      <c r="G1417" s="4">
        <v>-27.779</v>
      </c>
      <c r="H1417" s="4">
        <v>-48.4988</v>
      </c>
      <c r="I1417" s="5">
        <v>9.0</v>
      </c>
      <c r="J1417" s="5" t="s">
        <v>930</v>
      </c>
      <c r="K1417" s="5" t="s">
        <v>930</v>
      </c>
      <c r="L1417" s="3"/>
      <c r="M1417" s="5">
        <v>8.0</v>
      </c>
      <c r="N1417" s="5">
        <v>18.0</v>
      </c>
      <c r="O1417" s="5" t="s">
        <v>931</v>
      </c>
      <c r="P1417" s="3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</row>
    <row r="1418" ht="15.75" customHeight="1">
      <c r="A1418" s="3" t="s">
        <v>747</v>
      </c>
      <c r="B1418" s="3" t="s">
        <v>748</v>
      </c>
      <c r="C1418" s="3" t="s">
        <v>80</v>
      </c>
      <c r="D1418" s="3" t="s">
        <v>826</v>
      </c>
      <c r="E1418" s="3" t="s">
        <v>924</v>
      </c>
      <c r="F1418" s="3">
        <v>8.0</v>
      </c>
      <c r="G1418" s="4">
        <v>-27.779</v>
      </c>
      <c r="H1418" s="4">
        <v>-48.4988</v>
      </c>
      <c r="I1418" s="5">
        <v>10.0</v>
      </c>
      <c r="J1418" s="3" t="s">
        <v>369</v>
      </c>
      <c r="K1418" s="3" t="s">
        <v>369</v>
      </c>
      <c r="L1418" s="3"/>
      <c r="M1418" s="5">
        <v>8.0</v>
      </c>
      <c r="N1418" s="5">
        <v>58.5</v>
      </c>
      <c r="O1418" s="5" t="s">
        <v>932</v>
      </c>
      <c r="P1418" s="3" t="s">
        <v>686</v>
      </c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</row>
    <row r="1419" ht="15.75" customHeight="1">
      <c r="A1419" s="3" t="s">
        <v>747</v>
      </c>
      <c r="B1419" s="3" t="s">
        <v>748</v>
      </c>
      <c r="C1419" s="3" t="s">
        <v>80</v>
      </c>
      <c r="D1419" s="3" t="s">
        <v>826</v>
      </c>
      <c r="E1419" s="3" t="s">
        <v>924</v>
      </c>
      <c r="F1419" s="3">
        <v>8.0</v>
      </c>
      <c r="G1419" s="4">
        <v>-27.779</v>
      </c>
      <c r="H1419" s="4">
        <v>-48.4988</v>
      </c>
      <c r="I1419" s="5">
        <v>11.0</v>
      </c>
      <c r="J1419" s="5" t="s">
        <v>933</v>
      </c>
      <c r="K1419" s="5" t="s">
        <v>933</v>
      </c>
      <c r="L1419" s="3"/>
      <c r="M1419" s="5">
        <v>4.0</v>
      </c>
      <c r="N1419" s="5">
        <v>16.5</v>
      </c>
      <c r="O1419" s="5" t="s">
        <v>934</v>
      </c>
      <c r="P1419" s="3" t="s">
        <v>90</v>
      </c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</row>
    <row r="1420" ht="15.75" customHeight="1">
      <c r="A1420" s="3" t="s">
        <v>747</v>
      </c>
      <c r="B1420" s="3" t="s">
        <v>748</v>
      </c>
      <c r="C1420" s="3" t="s">
        <v>80</v>
      </c>
      <c r="D1420" s="3" t="s">
        <v>826</v>
      </c>
      <c r="E1420" s="3" t="s">
        <v>924</v>
      </c>
      <c r="F1420" s="3">
        <v>8.0</v>
      </c>
      <c r="G1420" s="4">
        <v>-27.779</v>
      </c>
      <c r="H1420" s="4">
        <v>-48.4988</v>
      </c>
      <c r="I1420" s="5">
        <v>12.0</v>
      </c>
      <c r="J1420" s="5" t="s">
        <v>730</v>
      </c>
      <c r="K1420" s="5" t="s">
        <v>730</v>
      </c>
      <c r="L1420" s="3"/>
      <c r="M1420" s="5">
        <v>10.0</v>
      </c>
      <c r="N1420" s="5">
        <v>26.0</v>
      </c>
      <c r="O1420" s="5" t="s">
        <v>935</v>
      </c>
      <c r="P1420" s="3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</row>
    <row r="1421" ht="15.75" customHeight="1">
      <c r="A1421" s="3" t="s">
        <v>747</v>
      </c>
      <c r="B1421" s="3" t="s">
        <v>748</v>
      </c>
      <c r="C1421" s="3" t="s">
        <v>80</v>
      </c>
      <c r="D1421" s="3" t="s">
        <v>826</v>
      </c>
      <c r="E1421" s="3" t="s">
        <v>924</v>
      </c>
      <c r="F1421" s="3">
        <v>8.0</v>
      </c>
      <c r="G1421" s="4">
        <v>-27.779</v>
      </c>
      <c r="H1421" s="4">
        <v>-48.4988</v>
      </c>
      <c r="I1421" s="5">
        <v>13.0</v>
      </c>
      <c r="J1421" s="5" t="s">
        <v>175</v>
      </c>
      <c r="K1421" s="5" t="s">
        <v>175</v>
      </c>
      <c r="L1421" s="3"/>
      <c r="M1421" s="5">
        <v>6.0</v>
      </c>
      <c r="N1421" s="5">
        <v>16.0</v>
      </c>
      <c r="O1421" s="5"/>
      <c r="P1421" s="3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</row>
    <row r="1422" ht="15.75" customHeight="1">
      <c r="A1422" s="3" t="s">
        <v>747</v>
      </c>
      <c r="B1422" s="3" t="s">
        <v>748</v>
      </c>
      <c r="C1422" s="3" t="s">
        <v>80</v>
      </c>
      <c r="D1422" s="3" t="s">
        <v>826</v>
      </c>
      <c r="E1422" s="3" t="s">
        <v>924</v>
      </c>
      <c r="F1422" s="3">
        <v>8.0</v>
      </c>
      <c r="G1422" s="4">
        <v>-27.779</v>
      </c>
      <c r="H1422" s="4">
        <v>-48.4988</v>
      </c>
      <c r="I1422" s="5">
        <v>14.0</v>
      </c>
      <c r="J1422" s="12" t="s">
        <v>167</v>
      </c>
      <c r="K1422" s="12" t="s">
        <v>167</v>
      </c>
      <c r="L1422" s="3"/>
      <c r="M1422" s="5">
        <v>5.0</v>
      </c>
      <c r="N1422" s="5">
        <v>28.5</v>
      </c>
      <c r="O1422" s="5"/>
      <c r="P1422" s="3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</row>
    <row r="1423" ht="15.75" customHeight="1">
      <c r="A1423" s="3" t="s">
        <v>747</v>
      </c>
      <c r="B1423" s="3" t="s">
        <v>748</v>
      </c>
      <c r="C1423" s="3" t="s">
        <v>80</v>
      </c>
      <c r="D1423" s="3" t="s">
        <v>826</v>
      </c>
      <c r="E1423" s="3" t="s">
        <v>924</v>
      </c>
      <c r="F1423" s="3">
        <v>8.0</v>
      </c>
      <c r="G1423" s="4">
        <v>-27.779</v>
      </c>
      <c r="H1423" s="4">
        <v>-48.4988</v>
      </c>
      <c r="I1423" s="5">
        <v>15.0</v>
      </c>
      <c r="J1423" s="5" t="s">
        <v>154</v>
      </c>
      <c r="K1423" s="5" t="s">
        <v>154</v>
      </c>
      <c r="L1423" s="3"/>
      <c r="M1423" s="5">
        <v>10.0</v>
      </c>
      <c r="N1423" s="5">
        <v>29.5</v>
      </c>
      <c r="O1423" s="5"/>
      <c r="P1423" s="3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</row>
    <row r="1424" ht="15.75" customHeight="1">
      <c r="A1424" s="3" t="s">
        <v>747</v>
      </c>
      <c r="B1424" s="3" t="s">
        <v>748</v>
      </c>
      <c r="C1424" s="3" t="s">
        <v>80</v>
      </c>
      <c r="D1424" s="3" t="s">
        <v>826</v>
      </c>
      <c r="E1424" s="3" t="s">
        <v>924</v>
      </c>
      <c r="F1424" s="3">
        <v>8.0</v>
      </c>
      <c r="G1424" s="4">
        <v>-27.779</v>
      </c>
      <c r="H1424" s="4">
        <v>-48.4988</v>
      </c>
      <c r="I1424" s="5">
        <v>16.0</v>
      </c>
      <c r="J1424" s="5" t="s">
        <v>175</v>
      </c>
      <c r="K1424" s="5" t="s">
        <v>175</v>
      </c>
      <c r="L1424" s="3"/>
      <c r="M1424" s="5">
        <v>8.0</v>
      </c>
      <c r="N1424" s="5">
        <v>21.0</v>
      </c>
      <c r="O1424" s="5"/>
      <c r="P1424" s="3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</row>
    <row r="1425" ht="15.75" customHeight="1">
      <c r="A1425" s="3" t="s">
        <v>747</v>
      </c>
      <c r="B1425" s="3" t="s">
        <v>748</v>
      </c>
      <c r="C1425" s="3" t="s">
        <v>80</v>
      </c>
      <c r="D1425" s="3" t="s">
        <v>826</v>
      </c>
      <c r="E1425" s="3" t="s">
        <v>924</v>
      </c>
      <c r="F1425" s="3">
        <v>8.0</v>
      </c>
      <c r="G1425" s="4">
        <v>-27.779</v>
      </c>
      <c r="H1425" s="4">
        <v>-48.4988</v>
      </c>
      <c r="I1425" s="5">
        <v>17.0</v>
      </c>
      <c r="J1425" s="5" t="s">
        <v>727</v>
      </c>
      <c r="K1425" s="5" t="s">
        <v>37</v>
      </c>
      <c r="L1425" s="3"/>
      <c r="M1425" s="5">
        <v>9.0</v>
      </c>
      <c r="N1425" s="5">
        <v>18.5</v>
      </c>
      <c r="O1425" s="5"/>
      <c r="P1425" s="3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</row>
    <row r="1426" ht="15.75" customHeight="1">
      <c r="A1426" s="3" t="s">
        <v>747</v>
      </c>
      <c r="B1426" s="3" t="s">
        <v>748</v>
      </c>
      <c r="C1426" s="3" t="s">
        <v>80</v>
      </c>
      <c r="D1426" s="3" t="s">
        <v>826</v>
      </c>
      <c r="E1426" s="3" t="s">
        <v>924</v>
      </c>
      <c r="F1426" s="3">
        <v>8.0</v>
      </c>
      <c r="G1426" s="4">
        <v>-27.779</v>
      </c>
      <c r="H1426" s="4">
        <v>-48.4988</v>
      </c>
      <c r="I1426" s="5">
        <v>18.0</v>
      </c>
      <c r="J1426" s="5" t="s">
        <v>96</v>
      </c>
      <c r="K1426" s="5" t="s">
        <v>97</v>
      </c>
      <c r="L1426" s="3"/>
      <c r="M1426" s="5">
        <v>7.0</v>
      </c>
      <c r="N1426" s="5">
        <v>30.0</v>
      </c>
      <c r="O1426" s="5"/>
      <c r="P1426" s="3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</row>
    <row r="1427" ht="15.75" customHeight="1">
      <c r="A1427" s="3" t="s">
        <v>747</v>
      </c>
      <c r="B1427" s="3" t="s">
        <v>748</v>
      </c>
      <c r="C1427" s="3" t="s">
        <v>80</v>
      </c>
      <c r="D1427" s="3" t="s">
        <v>826</v>
      </c>
      <c r="E1427" s="3" t="s">
        <v>924</v>
      </c>
      <c r="F1427" s="3">
        <v>8.0</v>
      </c>
      <c r="G1427" s="4">
        <v>-27.779</v>
      </c>
      <c r="H1427" s="4">
        <v>-48.4988</v>
      </c>
      <c r="I1427" s="5">
        <v>19.0</v>
      </c>
      <c r="J1427" s="5" t="s">
        <v>154</v>
      </c>
      <c r="K1427" s="5" t="s">
        <v>154</v>
      </c>
      <c r="L1427" s="3"/>
      <c r="M1427" s="5">
        <v>10.0</v>
      </c>
      <c r="N1427" s="5" t="s">
        <v>936</v>
      </c>
      <c r="O1427" s="5"/>
      <c r="P1427" s="3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</row>
    <row r="1428" ht="15.75" customHeight="1">
      <c r="A1428" s="3" t="s">
        <v>747</v>
      </c>
      <c r="B1428" s="3" t="s">
        <v>748</v>
      </c>
      <c r="C1428" s="3" t="s">
        <v>80</v>
      </c>
      <c r="D1428" s="3" t="s">
        <v>826</v>
      </c>
      <c r="E1428" s="3" t="s">
        <v>924</v>
      </c>
      <c r="F1428" s="3">
        <v>8.0</v>
      </c>
      <c r="G1428" s="4">
        <v>-27.779</v>
      </c>
      <c r="H1428" s="4">
        <v>-48.4988</v>
      </c>
      <c r="I1428" s="5">
        <v>20.0</v>
      </c>
      <c r="J1428" s="5" t="s">
        <v>175</v>
      </c>
      <c r="K1428" s="5" t="s">
        <v>175</v>
      </c>
      <c r="L1428" s="3"/>
      <c r="M1428" s="5">
        <v>8.0</v>
      </c>
      <c r="N1428" s="5">
        <v>16.0</v>
      </c>
      <c r="O1428" s="5"/>
      <c r="P1428" s="3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</row>
    <row r="1429" ht="15.75" customHeight="1">
      <c r="A1429" s="3" t="s">
        <v>747</v>
      </c>
      <c r="B1429" s="3" t="s">
        <v>748</v>
      </c>
      <c r="C1429" s="3" t="s">
        <v>80</v>
      </c>
      <c r="D1429" s="3" t="s">
        <v>826</v>
      </c>
      <c r="E1429" s="3" t="s">
        <v>924</v>
      </c>
      <c r="F1429" s="3">
        <v>8.0</v>
      </c>
      <c r="G1429" s="4">
        <v>-27.779</v>
      </c>
      <c r="H1429" s="4">
        <v>-48.4988</v>
      </c>
      <c r="I1429" s="5">
        <v>21.0</v>
      </c>
      <c r="J1429" s="5" t="s">
        <v>162</v>
      </c>
      <c r="K1429" s="5" t="s">
        <v>162</v>
      </c>
      <c r="L1429" s="3"/>
      <c r="M1429" s="5">
        <v>12.0</v>
      </c>
      <c r="N1429" s="5">
        <v>75.0</v>
      </c>
      <c r="O1429" s="5"/>
      <c r="P1429" s="3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</row>
    <row r="1430" ht="15.75" customHeight="1">
      <c r="A1430" s="3" t="s">
        <v>747</v>
      </c>
      <c r="B1430" s="3" t="s">
        <v>748</v>
      </c>
      <c r="C1430" s="3" t="s">
        <v>80</v>
      </c>
      <c r="D1430" s="3" t="s">
        <v>826</v>
      </c>
      <c r="E1430" s="3" t="s">
        <v>924</v>
      </c>
      <c r="F1430" s="3">
        <v>8.0</v>
      </c>
      <c r="G1430" s="4">
        <v>-27.779</v>
      </c>
      <c r="H1430" s="4">
        <v>-48.4988</v>
      </c>
      <c r="I1430" s="5">
        <v>22.0</v>
      </c>
      <c r="J1430" s="5" t="s">
        <v>154</v>
      </c>
      <c r="K1430" s="5" t="s">
        <v>154</v>
      </c>
      <c r="L1430" s="3"/>
      <c r="M1430" s="5">
        <v>12.0</v>
      </c>
      <c r="N1430" s="5" t="s">
        <v>937</v>
      </c>
      <c r="O1430" s="5"/>
      <c r="P1430" s="3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</row>
    <row r="1431" ht="15.75" customHeight="1">
      <c r="A1431" s="3" t="s">
        <v>747</v>
      </c>
      <c r="B1431" s="3" t="s">
        <v>748</v>
      </c>
      <c r="C1431" s="3" t="s">
        <v>80</v>
      </c>
      <c r="D1431" s="3" t="s">
        <v>826</v>
      </c>
      <c r="E1431" s="3" t="s">
        <v>924</v>
      </c>
      <c r="F1431" s="3">
        <v>8.0</v>
      </c>
      <c r="G1431" s="4">
        <v>-27.779</v>
      </c>
      <c r="H1431" s="4">
        <v>-48.4988</v>
      </c>
      <c r="I1431" s="5">
        <v>23.0</v>
      </c>
      <c r="J1431" s="5" t="s">
        <v>191</v>
      </c>
      <c r="K1431" s="5" t="s">
        <v>191</v>
      </c>
      <c r="L1431" s="3"/>
      <c r="M1431" s="5">
        <v>7.0</v>
      </c>
      <c r="N1431" s="5">
        <v>23.0</v>
      </c>
      <c r="O1431" s="5"/>
      <c r="P1431" s="3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</row>
    <row r="1432" ht="15.75" customHeight="1">
      <c r="A1432" s="3" t="s">
        <v>747</v>
      </c>
      <c r="B1432" s="3" t="s">
        <v>748</v>
      </c>
      <c r="C1432" s="3" t="s">
        <v>80</v>
      </c>
      <c r="D1432" s="3" t="s">
        <v>826</v>
      </c>
      <c r="E1432" s="3" t="s">
        <v>924</v>
      </c>
      <c r="F1432" s="3">
        <v>8.0</v>
      </c>
      <c r="G1432" s="4">
        <v>-27.779</v>
      </c>
      <c r="H1432" s="4">
        <v>-48.4988</v>
      </c>
      <c r="I1432" s="5">
        <v>24.0</v>
      </c>
      <c r="J1432" s="5" t="s">
        <v>98</v>
      </c>
      <c r="K1432" s="5" t="s">
        <v>98</v>
      </c>
      <c r="L1432" s="3"/>
      <c r="M1432" s="5">
        <v>9.0</v>
      </c>
      <c r="N1432" s="5">
        <v>30.0</v>
      </c>
      <c r="O1432" s="5"/>
      <c r="P1432" s="3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</row>
    <row r="1433" ht="15.75" customHeight="1">
      <c r="A1433" s="3" t="s">
        <v>747</v>
      </c>
      <c r="B1433" s="3" t="s">
        <v>748</v>
      </c>
      <c r="C1433" s="3" t="s">
        <v>80</v>
      </c>
      <c r="D1433" s="3" t="s">
        <v>826</v>
      </c>
      <c r="E1433" s="3" t="s">
        <v>924</v>
      </c>
      <c r="F1433" s="3">
        <v>8.0</v>
      </c>
      <c r="G1433" s="4">
        <v>-27.779</v>
      </c>
      <c r="H1433" s="4">
        <v>-48.4988</v>
      </c>
      <c r="I1433" s="5">
        <v>25.0</v>
      </c>
      <c r="J1433" s="5" t="s">
        <v>98</v>
      </c>
      <c r="K1433" s="5" t="s">
        <v>98</v>
      </c>
      <c r="L1433" s="3"/>
      <c r="M1433" s="5">
        <v>12.0</v>
      </c>
      <c r="N1433" s="5" t="s">
        <v>938</v>
      </c>
      <c r="O1433" s="5"/>
      <c r="P1433" s="3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</row>
    <row r="1434" ht="15.75" customHeight="1">
      <c r="A1434" s="3" t="s">
        <v>747</v>
      </c>
      <c r="B1434" s="3" t="s">
        <v>748</v>
      </c>
      <c r="C1434" s="3" t="s">
        <v>80</v>
      </c>
      <c r="D1434" s="3" t="s">
        <v>826</v>
      </c>
      <c r="E1434" s="3" t="s">
        <v>924</v>
      </c>
      <c r="F1434" s="3">
        <v>8.0</v>
      </c>
      <c r="G1434" s="4">
        <v>-27.779</v>
      </c>
      <c r="H1434" s="4">
        <v>-48.4988</v>
      </c>
      <c r="I1434" s="5">
        <v>26.0</v>
      </c>
      <c r="J1434" s="5" t="s">
        <v>323</v>
      </c>
      <c r="K1434" s="5" t="s">
        <v>323</v>
      </c>
      <c r="L1434" s="3"/>
      <c r="M1434" s="5">
        <v>7.0</v>
      </c>
      <c r="N1434" s="5">
        <v>19.0</v>
      </c>
      <c r="O1434" s="5"/>
      <c r="P1434" s="3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</row>
    <row r="1435" ht="15.75" customHeight="1">
      <c r="A1435" s="3" t="s">
        <v>747</v>
      </c>
      <c r="B1435" s="3" t="s">
        <v>748</v>
      </c>
      <c r="C1435" s="3" t="s">
        <v>80</v>
      </c>
      <c r="D1435" s="3" t="s">
        <v>826</v>
      </c>
      <c r="E1435" s="3" t="s">
        <v>924</v>
      </c>
      <c r="F1435" s="3">
        <v>8.0</v>
      </c>
      <c r="G1435" s="4">
        <v>-27.779</v>
      </c>
      <c r="H1435" s="4">
        <v>-48.4988</v>
      </c>
      <c r="I1435" s="5">
        <v>27.0</v>
      </c>
      <c r="J1435" s="5" t="s">
        <v>839</v>
      </c>
      <c r="K1435" s="5" t="s">
        <v>839</v>
      </c>
      <c r="L1435" s="3"/>
      <c r="M1435" s="5">
        <v>4.5</v>
      </c>
      <c r="N1435" s="5">
        <v>15.0</v>
      </c>
      <c r="O1435" s="5"/>
      <c r="P1435" s="3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</row>
    <row r="1436" ht="15.75" customHeight="1">
      <c r="A1436" s="3" t="s">
        <v>747</v>
      </c>
      <c r="B1436" s="3" t="s">
        <v>748</v>
      </c>
      <c r="C1436" s="3" t="s">
        <v>80</v>
      </c>
      <c r="D1436" s="3" t="s">
        <v>826</v>
      </c>
      <c r="E1436" s="3" t="s">
        <v>924</v>
      </c>
      <c r="F1436" s="3">
        <v>8.0</v>
      </c>
      <c r="G1436" s="4">
        <v>-27.779</v>
      </c>
      <c r="H1436" s="4">
        <v>-48.4988</v>
      </c>
      <c r="I1436" s="5">
        <v>28.0</v>
      </c>
      <c r="J1436" s="5" t="s">
        <v>108</v>
      </c>
      <c r="K1436" s="5" t="s">
        <v>108</v>
      </c>
      <c r="L1436" s="3"/>
      <c r="M1436" s="5">
        <v>5.0</v>
      </c>
      <c r="N1436" s="5">
        <v>33.0</v>
      </c>
      <c r="O1436" s="5"/>
      <c r="P1436" s="3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</row>
    <row r="1437" ht="15.75" customHeight="1">
      <c r="A1437" s="3" t="s">
        <v>747</v>
      </c>
      <c r="B1437" s="3" t="s">
        <v>748</v>
      </c>
      <c r="C1437" s="3" t="s">
        <v>80</v>
      </c>
      <c r="D1437" s="3" t="s">
        <v>826</v>
      </c>
      <c r="E1437" s="3" t="s">
        <v>924</v>
      </c>
      <c r="F1437" s="3">
        <v>8.0</v>
      </c>
      <c r="G1437" s="4">
        <v>-27.779</v>
      </c>
      <c r="H1437" s="4">
        <v>-48.4988</v>
      </c>
      <c r="I1437" s="5">
        <v>29.0</v>
      </c>
      <c r="J1437" s="5" t="s">
        <v>164</v>
      </c>
      <c r="K1437" s="5" t="s">
        <v>164</v>
      </c>
      <c r="L1437" s="3"/>
      <c r="M1437" s="5">
        <v>10.0</v>
      </c>
      <c r="N1437" s="5">
        <v>42.5</v>
      </c>
      <c r="O1437" s="5"/>
      <c r="P1437" s="3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</row>
    <row r="1438" ht="15.75" customHeight="1">
      <c r="A1438" s="3" t="s">
        <v>747</v>
      </c>
      <c r="B1438" s="3" t="s">
        <v>748</v>
      </c>
      <c r="C1438" s="3" t="s">
        <v>80</v>
      </c>
      <c r="D1438" s="3" t="s">
        <v>826</v>
      </c>
      <c r="E1438" s="3" t="s">
        <v>924</v>
      </c>
      <c r="F1438" s="3">
        <v>8.0</v>
      </c>
      <c r="G1438" s="4">
        <v>-27.779</v>
      </c>
      <c r="H1438" s="4">
        <v>-48.4988</v>
      </c>
      <c r="I1438" s="5">
        <v>30.0</v>
      </c>
      <c r="J1438" s="5" t="s">
        <v>761</v>
      </c>
      <c r="K1438" s="5" t="s">
        <v>761</v>
      </c>
      <c r="L1438" s="3"/>
      <c r="M1438" s="5">
        <v>12.0</v>
      </c>
      <c r="N1438" s="5">
        <v>61.5</v>
      </c>
      <c r="O1438" s="5"/>
      <c r="P1438" s="3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</row>
    <row r="1439" ht="15.75" customHeight="1">
      <c r="A1439" s="3" t="s">
        <v>747</v>
      </c>
      <c r="B1439" s="3" t="s">
        <v>748</v>
      </c>
      <c r="C1439" s="3" t="s">
        <v>80</v>
      </c>
      <c r="D1439" s="3" t="s">
        <v>826</v>
      </c>
      <c r="E1439" s="3" t="s">
        <v>924</v>
      </c>
      <c r="F1439" s="3">
        <v>8.0</v>
      </c>
      <c r="G1439" s="4">
        <v>-27.779</v>
      </c>
      <c r="H1439" s="4">
        <v>-48.4988</v>
      </c>
      <c r="I1439" s="5">
        <v>31.0</v>
      </c>
      <c r="J1439" s="5" t="s">
        <v>98</v>
      </c>
      <c r="K1439" s="5" t="s">
        <v>98</v>
      </c>
      <c r="L1439" s="3"/>
      <c r="M1439" s="5">
        <v>7.0</v>
      </c>
      <c r="N1439" s="5">
        <v>23.0</v>
      </c>
      <c r="O1439" s="5"/>
      <c r="P1439" s="3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</row>
    <row r="1440" ht="15.75" customHeight="1">
      <c r="A1440" s="3" t="s">
        <v>747</v>
      </c>
      <c r="B1440" s="3" t="s">
        <v>748</v>
      </c>
      <c r="C1440" s="3" t="s">
        <v>80</v>
      </c>
      <c r="D1440" s="3" t="s">
        <v>826</v>
      </c>
      <c r="E1440" s="3" t="s">
        <v>924</v>
      </c>
      <c r="F1440" s="3">
        <v>8.0</v>
      </c>
      <c r="G1440" s="4">
        <v>-27.779</v>
      </c>
      <c r="H1440" s="4">
        <v>-48.4988</v>
      </c>
      <c r="I1440" s="5">
        <v>32.0</v>
      </c>
      <c r="J1440" s="14" t="s">
        <v>232</v>
      </c>
      <c r="K1440" s="14" t="s">
        <v>232</v>
      </c>
      <c r="L1440" s="3"/>
      <c r="M1440" s="5">
        <v>10.0</v>
      </c>
      <c r="N1440" s="5">
        <v>27.0</v>
      </c>
      <c r="O1440" s="5"/>
      <c r="P1440" s="3" t="s">
        <v>939</v>
      </c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</row>
    <row r="1441" ht="15.75" customHeight="1">
      <c r="A1441" s="3" t="s">
        <v>747</v>
      </c>
      <c r="B1441" s="3" t="s">
        <v>748</v>
      </c>
      <c r="C1441" s="3" t="s">
        <v>80</v>
      </c>
      <c r="D1441" s="3" t="s">
        <v>826</v>
      </c>
      <c r="E1441" s="3" t="s">
        <v>924</v>
      </c>
      <c r="F1441" s="3">
        <v>8.0</v>
      </c>
      <c r="G1441" s="4">
        <v>-27.779</v>
      </c>
      <c r="H1441" s="4">
        <v>-48.4988</v>
      </c>
      <c r="I1441" s="5">
        <v>33.0</v>
      </c>
      <c r="J1441" s="5" t="s">
        <v>98</v>
      </c>
      <c r="K1441" s="5" t="s">
        <v>98</v>
      </c>
      <c r="L1441" s="3"/>
      <c r="M1441" s="5">
        <v>6.0</v>
      </c>
      <c r="N1441" s="5">
        <v>18.0</v>
      </c>
      <c r="O1441" s="5"/>
      <c r="P1441" s="3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</row>
    <row r="1442" ht="15.75" customHeight="1">
      <c r="A1442" s="3" t="s">
        <v>747</v>
      </c>
      <c r="B1442" s="3" t="s">
        <v>748</v>
      </c>
      <c r="C1442" s="3" t="s">
        <v>80</v>
      </c>
      <c r="D1442" s="3" t="s">
        <v>826</v>
      </c>
      <c r="E1442" s="3" t="s">
        <v>924</v>
      </c>
      <c r="F1442" s="3">
        <v>8.0</v>
      </c>
      <c r="G1442" s="4">
        <v>-27.779</v>
      </c>
      <c r="H1442" s="4">
        <v>-48.4988</v>
      </c>
      <c r="I1442" s="5">
        <v>34.0</v>
      </c>
      <c r="J1442" s="5" t="s">
        <v>98</v>
      </c>
      <c r="K1442" s="5" t="s">
        <v>98</v>
      </c>
      <c r="L1442" s="3"/>
      <c r="M1442" s="5">
        <v>9.0</v>
      </c>
      <c r="N1442" s="5">
        <v>18.0</v>
      </c>
      <c r="O1442" s="5"/>
      <c r="P1442" s="3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</row>
    <row r="1443" ht="15.75" customHeight="1">
      <c r="A1443" s="3" t="s">
        <v>940</v>
      </c>
      <c r="B1443" s="3" t="s">
        <v>941</v>
      </c>
      <c r="C1443" s="3" t="s">
        <v>19</v>
      </c>
      <c r="D1443" s="3" t="s">
        <v>942</v>
      </c>
      <c r="E1443" s="3" t="s">
        <v>943</v>
      </c>
      <c r="F1443" s="3">
        <v>1.0</v>
      </c>
      <c r="G1443" s="4">
        <v>-27.81928</v>
      </c>
      <c r="H1443" s="4">
        <v>-48.56205</v>
      </c>
      <c r="I1443" s="5">
        <v>1.0</v>
      </c>
      <c r="J1443" s="5" t="s">
        <v>944</v>
      </c>
      <c r="K1443" s="5" t="s">
        <v>944</v>
      </c>
      <c r="L1443" s="3"/>
      <c r="M1443" s="5">
        <v>4.5</v>
      </c>
      <c r="N1443" s="5">
        <v>31.0</v>
      </c>
      <c r="O1443" s="5"/>
      <c r="P1443" s="3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</row>
    <row r="1444" ht="15.75" customHeight="1">
      <c r="A1444" s="3" t="s">
        <v>940</v>
      </c>
      <c r="B1444" s="3" t="s">
        <v>941</v>
      </c>
      <c r="C1444" s="3" t="s">
        <v>19</v>
      </c>
      <c r="D1444" s="3" t="s">
        <v>942</v>
      </c>
      <c r="E1444" s="3" t="s">
        <v>943</v>
      </c>
      <c r="F1444" s="3">
        <v>1.0</v>
      </c>
      <c r="G1444" s="4">
        <v>-27.81928</v>
      </c>
      <c r="H1444" s="4">
        <v>-48.56205</v>
      </c>
      <c r="I1444" s="5">
        <v>2.0</v>
      </c>
      <c r="J1444" s="5" t="s">
        <v>153</v>
      </c>
      <c r="K1444" s="5" t="s">
        <v>153</v>
      </c>
      <c r="L1444" s="3"/>
      <c r="M1444" s="5">
        <v>5.0</v>
      </c>
      <c r="N1444" s="5" t="s">
        <v>945</v>
      </c>
      <c r="O1444" s="5"/>
      <c r="P1444" s="3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</row>
    <row r="1445" ht="15.75" customHeight="1">
      <c r="A1445" s="3" t="s">
        <v>940</v>
      </c>
      <c r="B1445" s="3" t="s">
        <v>941</v>
      </c>
      <c r="C1445" s="3" t="s">
        <v>19</v>
      </c>
      <c r="D1445" s="3" t="s">
        <v>942</v>
      </c>
      <c r="E1445" s="3" t="s">
        <v>943</v>
      </c>
      <c r="F1445" s="3">
        <v>1.0</v>
      </c>
      <c r="G1445" s="4">
        <v>-27.81928</v>
      </c>
      <c r="H1445" s="4">
        <v>-48.56205</v>
      </c>
      <c r="I1445" s="5">
        <v>3.0</v>
      </c>
      <c r="J1445" s="5" t="s">
        <v>95</v>
      </c>
      <c r="K1445" s="5" t="s">
        <v>95</v>
      </c>
      <c r="L1445" s="3"/>
      <c r="M1445" s="5">
        <v>4.0</v>
      </c>
      <c r="N1445" s="5" t="s">
        <v>946</v>
      </c>
      <c r="O1445" s="5"/>
      <c r="P1445" s="3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</row>
    <row r="1446" ht="15.75" customHeight="1">
      <c r="A1446" s="3" t="s">
        <v>940</v>
      </c>
      <c r="B1446" s="3" t="s">
        <v>941</v>
      </c>
      <c r="C1446" s="3" t="s">
        <v>19</v>
      </c>
      <c r="D1446" s="3" t="s">
        <v>942</v>
      </c>
      <c r="E1446" s="3" t="s">
        <v>943</v>
      </c>
      <c r="F1446" s="3">
        <v>1.0</v>
      </c>
      <c r="G1446" s="4">
        <v>-27.81928</v>
      </c>
      <c r="H1446" s="4">
        <v>-48.56205</v>
      </c>
      <c r="I1446" s="5">
        <v>4.0</v>
      </c>
      <c r="J1446" s="5" t="s">
        <v>947</v>
      </c>
      <c r="K1446" s="5" t="s">
        <v>947</v>
      </c>
      <c r="L1446" s="3"/>
      <c r="M1446" s="5">
        <v>4.0</v>
      </c>
      <c r="N1446" s="5" t="s">
        <v>948</v>
      </c>
      <c r="O1446" s="5"/>
      <c r="P1446" s="3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</row>
    <row r="1447" ht="15.75" customHeight="1">
      <c r="A1447" s="3" t="s">
        <v>940</v>
      </c>
      <c r="B1447" s="3" t="s">
        <v>941</v>
      </c>
      <c r="C1447" s="3" t="s">
        <v>19</v>
      </c>
      <c r="D1447" s="3" t="s">
        <v>942</v>
      </c>
      <c r="E1447" s="3" t="s">
        <v>943</v>
      </c>
      <c r="F1447" s="3">
        <v>1.0</v>
      </c>
      <c r="G1447" s="4">
        <v>-27.81928</v>
      </c>
      <c r="H1447" s="4">
        <v>-48.56205</v>
      </c>
      <c r="I1447" s="5">
        <v>5.0</v>
      </c>
      <c r="J1447" s="5" t="s">
        <v>100</v>
      </c>
      <c r="K1447" s="5" t="s">
        <v>100</v>
      </c>
      <c r="L1447" s="3"/>
      <c r="M1447" s="5">
        <v>8.0</v>
      </c>
      <c r="N1447" s="5" t="s">
        <v>949</v>
      </c>
      <c r="O1447" s="5"/>
      <c r="P1447" s="3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</row>
    <row r="1448" ht="15.75" customHeight="1">
      <c r="A1448" s="3" t="s">
        <v>940</v>
      </c>
      <c r="B1448" s="3" t="s">
        <v>941</v>
      </c>
      <c r="C1448" s="3" t="s">
        <v>19</v>
      </c>
      <c r="D1448" s="3" t="s">
        <v>942</v>
      </c>
      <c r="E1448" s="3" t="s">
        <v>943</v>
      </c>
      <c r="F1448" s="3">
        <v>1.0</v>
      </c>
      <c r="G1448" s="4">
        <v>-27.81928</v>
      </c>
      <c r="H1448" s="4">
        <v>-48.56205</v>
      </c>
      <c r="I1448" s="5">
        <v>6.0</v>
      </c>
      <c r="J1448" s="5" t="s">
        <v>100</v>
      </c>
      <c r="K1448" s="5" t="s">
        <v>100</v>
      </c>
      <c r="L1448" s="3"/>
      <c r="M1448" s="5">
        <v>8.0</v>
      </c>
      <c r="N1448" s="5" t="s">
        <v>950</v>
      </c>
      <c r="O1448" s="5"/>
      <c r="P1448" s="3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</row>
    <row r="1449" ht="15.75" customHeight="1">
      <c r="A1449" s="3" t="s">
        <v>940</v>
      </c>
      <c r="B1449" s="3" t="s">
        <v>941</v>
      </c>
      <c r="C1449" s="3" t="s">
        <v>19</v>
      </c>
      <c r="D1449" s="3" t="s">
        <v>942</v>
      </c>
      <c r="E1449" s="3" t="s">
        <v>943</v>
      </c>
      <c r="F1449" s="3">
        <v>1.0</v>
      </c>
      <c r="G1449" s="4">
        <v>-27.81928</v>
      </c>
      <c r="H1449" s="4">
        <v>-48.56205</v>
      </c>
      <c r="I1449" s="5">
        <v>7.0</v>
      </c>
      <c r="J1449" s="5" t="s">
        <v>951</v>
      </c>
      <c r="K1449" s="5" t="s">
        <v>951</v>
      </c>
      <c r="L1449" s="3"/>
      <c r="M1449" s="5">
        <v>7.0</v>
      </c>
      <c r="N1449" s="5">
        <v>20.0</v>
      </c>
      <c r="O1449" s="5"/>
      <c r="P1449" s="3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</row>
    <row r="1450" ht="15.75" customHeight="1">
      <c r="A1450" s="3" t="s">
        <v>940</v>
      </c>
      <c r="B1450" s="3" t="s">
        <v>941</v>
      </c>
      <c r="C1450" s="3" t="s">
        <v>19</v>
      </c>
      <c r="D1450" s="3" t="s">
        <v>942</v>
      </c>
      <c r="E1450" s="3" t="s">
        <v>943</v>
      </c>
      <c r="F1450" s="3">
        <v>1.0</v>
      </c>
      <c r="G1450" s="4">
        <v>-27.81928</v>
      </c>
      <c r="H1450" s="4">
        <v>-48.56205</v>
      </c>
      <c r="I1450" s="5">
        <v>8.0</v>
      </c>
      <c r="J1450" s="5" t="s">
        <v>421</v>
      </c>
      <c r="K1450" s="5" t="s">
        <v>421</v>
      </c>
      <c r="L1450" s="3"/>
      <c r="M1450" s="5">
        <v>11.0</v>
      </c>
      <c r="N1450" s="5">
        <v>61.0</v>
      </c>
      <c r="O1450" s="5"/>
      <c r="P1450" s="3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</row>
    <row r="1451" ht="15.75" customHeight="1">
      <c r="A1451" s="3" t="s">
        <v>940</v>
      </c>
      <c r="B1451" s="3" t="s">
        <v>941</v>
      </c>
      <c r="C1451" s="3" t="s">
        <v>19</v>
      </c>
      <c r="D1451" s="3" t="s">
        <v>942</v>
      </c>
      <c r="E1451" s="3" t="s">
        <v>943</v>
      </c>
      <c r="F1451" s="3">
        <v>1.0</v>
      </c>
      <c r="G1451" s="4">
        <v>-27.81928</v>
      </c>
      <c r="H1451" s="4">
        <v>-48.56205</v>
      </c>
      <c r="I1451" s="5">
        <v>9.0</v>
      </c>
      <c r="J1451" s="5" t="s">
        <v>947</v>
      </c>
      <c r="K1451" s="5" t="s">
        <v>947</v>
      </c>
      <c r="L1451" s="3"/>
      <c r="M1451" s="5">
        <v>7.0</v>
      </c>
      <c r="N1451" s="5">
        <v>39.0</v>
      </c>
      <c r="O1451" s="5"/>
      <c r="P1451" s="3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</row>
    <row r="1452" ht="15.75" customHeight="1">
      <c r="A1452" s="3" t="s">
        <v>940</v>
      </c>
      <c r="B1452" s="3" t="s">
        <v>941</v>
      </c>
      <c r="C1452" s="3" t="s">
        <v>19</v>
      </c>
      <c r="D1452" s="3" t="s">
        <v>942</v>
      </c>
      <c r="E1452" s="3" t="s">
        <v>952</v>
      </c>
      <c r="F1452" s="3">
        <v>2.0</v>
      </c>
      <c r="G1452" s="22">
        <v>-27.81935</v>
      </c>
      <c r="H1452" s="4">
        <v>-48.56221</v>
      </c>
      <c r="I1452" s="5">
        <v>1.0</v>
      </c>
      <c r="J1452" s="5" t="s">
        <v>947</v>
      </c>
      <c r="K1452" s="5" t="s">
        <v>947</v>
      </c>
      <c r="L1452" s="3"/>
      <c r="M1452" s="5">
        <v>6.0</v>
      </c>
      <c r="N1452" s="5" t="s">
        <v>953</v>
      </c>
      <c r="O1452" s="5"/>
      <c r="P1452" s="3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</row>
    <row r="1453" ht="15.75" customHeight="1">
      <c r="A1453" s="3" t="s">
        <v>940</v>
      </c>
      <c r="B1453" s="3" t="s">
        <v>941</v>
      </c>
      <c r="C1453" s="3" t="s">
        <v>19</v>
      </c>
      <c r="D1453" s="3" t="s">
        <v>942</v>
      </c>
      <c r="E1453" s="3" t="s">
        <v>952</v>
      </c>
      <c r="F1453" s="3">
        <v>2.0</v>
      </c>
      <c r="G1453" s="22">
        <v>-27.81935</v>
      </c>
      <c r="H1453" s="4">
        <v>-48.56221</v>
      </c>
      <c r="I1453" s="5">
        <v>2.0</v>
      </c>
      <c r="J1453" s="5" t="s">
        <v>100</v>
      </c>
      <c r="K1453" s="5" t="s">
        <v>100</v>
      </c>
      <c r="L1453" s="3"/>
      <c r="M1453" s="5">
        <v>7.0</v>
      </c>
      <c r="N1453" s="5" t="s">
        <v>954</v>
      </c>
      <c r="O1453" s="5"/>
      <c r="P1453" s="3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</row>
    <row r="1454" ht="15.75" customHeight="1">
      <c r="A1454" s="3" t="s">
        <v>940</v>
      </c>
      <c r="B1454" s="3" t="s">
        <v>941</v>
      </c>
      <c r="C1454" s="3" t="s">
        <v>19</v>
      </c>
      <c r="D1454" s="3" t="s">
        <v>942</v>
      </c>
      <c r="E1454" s="3" t="s">
        <v>952</v>
      </c>
      <c r="F1454" s="3">
        <v>2.0</v>
      </c>
      <c r="G1454" s="22">
        <v>-27.81935</v>
      </c>
      <c r="H1454" s="4">
        <v>-48.56221</v>
      </c>
      <c r="I1454" s="5">
        <v>3.0</v>
      </c>
      <c r="J1454" s="5" t="s">
        <v>100</v>
      </c>
      <c r="K1454" s="5" t="s">
        <v>100</v>
      </c>
      <c r="L1454" s="3"/>
      <c r="M1454" s="5">
        <v>8.0</v>
      </c>
      <c r="N1454" s="5" t="s">
        <v>955</v>
      </c>
      <c r="O1454" s="5"/>
      <c r="P1454" s="3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</row>
    <row r="1455" ht="15.75" customHeight="1">
      <c r="A1455" s="3" t="s">
        <v>940</v>
      </c>
      <c r="B1455" s="3" t="s">
        <v>941</v>
      </c>
      <c r="C1455" s="3" t="s">
        <v>19</v>
      </c>
      <c r="D1455" s="3" t="s">
        <v>942</v>
      </c>
      <c r="E1455" s="3" t="s">
        <v>952</v>
      </c>
      <c r="F1455" s="3">
        <v>2.0</v>
      </c>
      <c r="G1455" s="22">
        <v>-27.81935</v>
      </c>
      <c r="H1455" s="4">
        <v>-48.56221</v>
      </c>
      <c r="I1455" s="5">
        <v>4.0</v>
      </c>
      <c r="J1455" s="5" t="s">
        <v>100</v>
      </c>
      <c r="K1455" s="5" t="s">
        <v>100</v>
      </c>
      <c r="L1455" s="3"/>
      <c r="M1455" s="5">
        <v>7.0</v>
      </c>
      <c r="N1455" s="5" t="s">
        <v>956</v>
      </c>
      <c r="O1455" s="5"/>
      <c r="P1455" s="3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</row>
    <row r="1456" ht="15.75" customHeight="1">
      <c r="A1456" s="3" t="s">
        <v>940</v>
      </c>
      <c r="B1456" s="3" t="s">
        <v>941</v>
      </c>
      <c r="C1456" s="3" t="s">
        <v>19</v>
      </c>
      <c r="D1456" s="3" t="s">
        <v>942</v>
      </c>
      <c r="E1456" s="3" t="s">
        <v>952</v>
      </c>
      <c r="F1456" s="3">
        <v>2.0</v>
      </c>
      <c r="G1456" s="22">
        <v>-27.81935</v>
      </c>
      <c r="H1456" s="4">
        <v>-48.56221</v>
      </c>
      <c r="I1456" s="5">
        <v>5.0</v>
      </c>
      <c r="J1456" s="5" t="s">
        <v>324</v>
      </c>
      <c r="K1456" s="5" t="s">
        <v>324</v>
      </c>
      <c r="L1456" s="3"/>
      <c r="M1456" s="5">
        <v>9.0</v>
      </c>
      <c r="N1456" s="5" t="s">
        <v>957</v>
      </c>
      <c r="O1456" s="5"/>
      <c r="P1456" s="3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</row>
    <row r="1457" ht="15.75" customHeight="1">
      <c r="A1457" s="3" t="s">
        <v>940</v>
      </c>
      <c r="B1457" s="3" t="s">
        <v>941</v>
      </c>
      <c r="C1457" s="3" t="s">
        <v>19</v>
      </c>
      <c r="D1457" s="3" t="s">
        <v>942</v>
      </c>
      <c r="E1457" s="3" t="s">
        <v>952</v>
      </c>
      <c r="F1457" s="3">
        <v>2.0</v>
      </c>
      <c r="G1457" s="22">
        <v>-27.81935</v>
      </c>
      <c r="H1457" s="4">
        <v>-48.56221</v>
      </c>
      <c r="I1457" s="5">
        <v>6.0</v>
      </c>
      <c r="J1457" s="5" t="s">
        <v>324</v>
      </c>
      <c r="K1457" s="5" t="s">
        <v>324</v>
      </c>
      <c r="L1457" s="3"/>
      <c r="M1457" s="5">
        <v>3.5</v>
      </c>
      <c r="N1457" s="5">
        <v>19.0</v>
      </c>
      <c r="O1457" s="5"/>
      <c r="P1457" s="3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</row>
    <row r="1458" ht="15.75" customHeight="1">
      <c r="A1458" s="3" t="s">
        <v>940</v>
      </c>
      <c r="B1458" s="3" t="s">
        <v>941</v>
      </c>
      <c r="C1458" s="3" t="s">
        <v>19</v>
      </c>
      <c r="D1458" s="3" t="s">
        <v>942</v>
      </c>
      <c r="E1458" s="3" t="s">
        <v>952</v>
      </c>
      <c r="F1458" s="3">
        <v>2.0</v>
      </c>
      <c r="G1458" s="22">
        <v>-27.81935</v>
      </c>
      <c r="H1458" s="4">
        <v>-48.56221</v>
      </c>
      <c r="I1458" s="5">
        <v>7.0</v>
      </c>
      <c r="J1458" s="5" t="s">
        <v>100</v>
      </c>
      <c r="K1458" s="5" t="s">
        <v>100</v>
      </c>
      <c r="L1458" s="3"/>
      <c r="M1458" s="5">
        <v>6.0</v>
      </c>
      <c r="N1458" s="5">
        <v>23.0</v>
      </c>
      <c r="O1458" s="5"/>
      <c r="P1458" s="3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</row>
    <row r="1459" ht="15.75" customHeight="1">
      <c r="A1459" s="3" t="s">
        <v>940</v>
      </c>
      <c r="B1459" s="3" t="s">
        <v>941</v>
      </c>
      <c r="C1459" s="3" t="s">
        <v>19</v>
      </c>
      <c r="D1459" s="3" t="s">
        <v>942</v>
      </c>
      <c r="E1459" s="3" t="s">
        <v>952</v>
      </c>
      <c r="F1459" s="3">
        <v>2.0</v>
      </c>
      <c r="G1459" s="22">
        <v>-27.81935</v>
      </c>
      <c r="H1459" s="4">
        <v>-48.56221</v>
      </c>
      <c r="I1459" s="5">
        <v>8.0</v>
      </c>
      <c r="J1459" s="5" t="s">
        <v>324</v>
      </c>
      <c r="K1459" s="5" t="s">
        <v>324</v>
      </c>
      <c r="L1459" s="3"/>
      <c r="M1459" s="5">
        <v>8.0</v>
      </c>
      <c r="N1459" s="5">
        <v>87.0</v>
      </c>
      <c r="O1459" s="5"/>
      <c r="P1459" s="3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</row>
    <row r="1460" ht="15.75" customHeight="1">
      <c r="A1460" s="3" t="s">
        <v>940</v>
      </c>
      <c r="B1460" s="3" t="s">
        <v>941</v>
      </c>
      <c r="C1460" s="3" t="s">
        <v>19</v>
      </c>
      <c r="D1460" s="3" t="s">
        <v>942</v>
      </c>
      <c r="E1460" s="3" t="s">
        <v>952</v>
      </c>
      <c r="F1460" s="3">
        <v>2.0</v>
      </c>
      <c r="G1460" s="22">
        <v>-27.81935</v>
      </c>
      <c r="H1460" s="4">
        <v>-48.56221</v>
      </c>
      <c r="I1460" s="5">
        <v>9.0</v>
      </c>
      <c r="J1460" s="5" t="s">
        <v>324</v>
      </c>
      <c r="K1460" s="5" t="s">
        <v>324</v>
      </c>
      <c r="L1460" s="3"/>
      <c r="M1460" s="5">
        <v>6.0</v>
      </c>
      <c r="N1460" s="5">
        <v>16.5</v>
      </c>
      <c r="O1460" s="5"/>
      <c r="P1460" s="3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</row>
    <row r="1461" ht="15.75" customHeight="1">
      <c r="A1461" s="3" t="s">
        <v>940</v>
      </c>
      <c r="B1461" s="3" t="s">
        <v>941</v>
      </c>
      <c r="C1461" s="3" t="s">
        <v>19</v>
      </c>
      <c r="D1461" s="3" t="s">
        <v>942</v>
      </c>
      <c r="E1461" s="3" t="s">
        <v>952</v>
      </c>
      <c r="F1461" s="3">
        <v>2.0</v>
      </c>
      <c r="G1461" s="22">
        <v>-27.81935</v>
      </c>
      <c r="H1461" s="4">
        <v>-48.56221</v>
      </c>
      <c r="I1461" s="5">
        <v>10.0</v>
      </c>
      <c r="J1461" s="5" t="s">
        <v>100</v>
      </c>
      <c r="K1461" s="5" t="s">
        <v>100</v>
      </c>
      <c r="L1461" s="3"/>
      <c r="M1461" s="5">
        <v>9.0</v>
      </c>
      <c r="N1461" s="5">
        <v>61.5</v>
      </c>
      <c r="O1461" s="5"/>
      <c r="P1461" s="3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</row>
    <row r="1462" ht="15.75" customHeight="1">
      <c r="A1462" s="3" t="s">
        <v>940</v>
      </c>
      <c r="B1462" s="3" t="s">
        <v>941</v>
      </c>
      <c r="C1462" s="3" t="s">
        <v>19</v>
      </c>
      <c r="D1462" s="3" t="s">
        <v>942</v>
      </c>
      <c r="E1462" s="3" t="s">
        <v>952</v>
      </c>
      <c r="F1462" s="3">
        <v>2.0</v>
      </c>
      <c r="G1462" s="22">
        <v>-27.81935</v>
      </c>
      <c r="H1462" s="4">
        <v>-48.56221</v>
      </c>
      <c r="I1462" s="5">
        <v>11.0</v>
      </c>
      <c r="J1462" s="5" t="s">
        <v>379</v>
      </c>
      <c r="K1462" s="5" t="s">
        <v>379</v>
      </c>
      <c r="L1462" s="3"/>
      <c r="M1462" s="5">
        <v>8.0</v>
      </c>
      <c r="N1462" s="5">
        <v>38.5</v>
      </c>
      <c r="O1462" s="5"/>
      <c r="P1462" s="3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</row>
    <row r="1463" ht="15.75" customHeight="1">
      <c r="A1463" s="3" t="s">
        <v>940</v>
      </c>
      <c r="B1463" s="3" t="s">
        <v>941</v>
      </c>
      <c r="C1463" s="3" t="s">
        <v>19</v>
      </c>
      <c r="D1463" s="3" t="s">
        <v>942</v>
      </c>
      <c r="E1463" s="3" t="s">
        <v>952</v>
      </c>
      <c r="F1463" s="3">
        <v>2.0</v>
      </c>
      <c r="G1463" s="22">
        <v>-27.81935</v>
      </c>
      <c r="H1463" s="4">
        <v>-48.56221</v>
      </c>
      <c r="I1463" s="5">
        <v>12.0</v>
      </c>
      <c r="J1463" s="5" t="s">
        <v>324</v>
      </c>
      <c r="K1463" s="5" t="s">
        <v>324</v>
      </c>
      <c r="L1463" s="3"/>
      <c r="M1463" s="5">
        <v>10.0</v>
      </c>
      <c r="N1463" s="5" t="s">
        <v>958</v>
      </c>
      <c r="O1463" s="5"/>
      <c r="P1463" s="3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</row>
    <row r="1464" ht="15.75" customHeight="1">
      <c r="A1464" s="3" t="s">
        <v>940</v>
      </c>
      <c r="B1464" s="3" t="s">
        <v>941</v>
      </c>
      <c r="C1464" s="3" t="s">
        <v>19</v>
      </c>
      <c r="D1464" s="3" t="s">
        <v>942</v>
      </c>
      <c r="E1464" s="3" t="s">
        <v>952</v>
      </c>
      <c r="F1464" s="3">
        <v>2.0</v>
      </c>
      <c r="G1464" s="22">
        <v>-27.81935</v>
      </c>
      <c r="H1464" s="4">
        <v>-48.56221</v>
      </c>
      <c r="I1464" s="5">
        <v>13.0</v>
      </c>
      <c r="J1464" s="5" t="s">
        <v>104</v>
      </c>
      <c r="K1464" s="5" t="s">
        <v>104</v>
      </c>
      <c r="L1464" s="3"/>
      <c r="M1464" s="5">
        <v>8.0</v>
      </c>
      <c r="N1464" s="5">
        <v>63.5</v>
      </c>
      <c r="O1464" s="5"/>
      <c r="P1464" s="3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</row>
    <row r="1465" ht="15.75" customHeight="1">
      <c r="A1465" s="3" t="s">
        <v>940</v>
      </c>
      <c r="B1465" s="3" t="s">
        <v>941</v>
      </c>
      <c r="C1465" s="3" t="s">
        <v>19</v>
      </c>
      <c r="D1465" s="3" t="s">
        <v>942</v>
      </c>
      <c r="E1465" s="3" t="s">
        <v>952</v>
      </c>
      <c r="F1465" s="3">
        <v>2.0</v>
      </c>
      <c r="G1465" s="22">
        <v>-27.81935</v>
      </c>
      <c r="H1465" s="4">
        <v>-48.56221</v>
      </c>
      <c r="I1465" s="5">
        <v>14.0</v>
      </c>
      <c r="J1465" s="5" t="s">
        <v>959</v>
      </c>
      <c r="K1465" s="5" t="s">
        <v>326</v>
      </c>
      <c r="L1465" s="3"/>
      <c r="M1465" s="5">
        <v>6.0</v>
      </c>
      <c r="N1465" s="5">
        <v>16.5</v>
      </c>
      <c r="O1465" s="5" t="s">
        <v>960</v>
      </c>
      <c r="P1465" s="3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</row>
    <row r="1466" ht="15.75" customHeight="1">
      <c r="A1466" s="3" t="s">
        <v>940</v>
      </c>
      <c r="B1466" s="3" t="s">
        <v>941</v>
      </c>
      <c r="C1466" s="3" t="s">
        <v>19</v>
      </c>
      <c r="D1466" s="3" t="s">
        <v>942</v>
      </c>
      <c r="E1466" s="3" t="s">
        <v>952</v>
      </c>
      <c r="F1466" s="3">
        <v>2.0</v>
      </c>
      <c r="G1466" s="22">
        <v>-27.81935</v>
      </c>
      <c r="H1466" s="4">
        <v>-48.56221</v>
      </c>
      <c r="I1466" s="5">
        <v>15.0</v>
      </c>
      <c r="J1466" s="5" t="s">
        <v>372</v>
      </c>
      <c r="K1466" s="5" t="s">
        <v>372</v>
      </c>
      <c r="L1466" s="3"/>
      <c r="M1466" s="5">
        <v>7.0</v>
      </c>
      <c r="N1466" s="5">
        <v>33.0</v>
      </c>
      <c r="O1466" s="5"/>
      <c r="P1466" s="3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</row>
    <row r="1467" ht="15.75" customHeight="1">
      <c r="A1467" s="3" t="s">
        <v>940</v>
      </c>
      <c r="B1467" s="3" t="s">
        <v>941</v>
      </c>
      <c r="C1467" s="3" t="s">
        <v>19</v>
      </c>
      <c r="D1467" s="3" t="s">
        <v>942</v>
      </c>
      <c r="E1467" s="3" t="s">
        <v>952</v>
      </c>
      <c r="F1467" s="3">
        <v>2.0</v>
      </c>
      <c r="G1467" s="22">
        <v>-27.81935</v>
      </c>
      <c r="H1467" s="4">
        <v>-48.56221</v>
      </c>
      <c r="I1467" s="5">
        <v>16.0</v>
      </c>
      <c r="J1467" s="5" t="s">
        <v>95</v>
      </c>
      <c r="K1467" s="5" t="s">
        <v>95</v>
      </c>
      <c r="L1467" s="3"/>
      <c r="M1467" s="5">
        <v>7.0</v>
      </c>
      <c r="N1467" s="5">
        <v>21.0</v>
      </c>
      <c r="O1467" s="5"/>
      <c r="P1467" s="3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</row>
    <row r="1468" ht="15.75" customHeight="1">
      <c r="A1468" s="3" t="s">
        <v>940</v>
      </c>
      <c r="B1468" s="3" t="s">
        <v>941</v>
      </c>
      <c r="C1468" s="3" t="s">
        <v>19</v>
      </c>
      <c r="D1468" s="3" t="s">
        <v>942</v>
      </c>
      <c r="E1468" s="3" t="s">
        <v>952</v>
      </c>
      <c r="F1468" s="3">
        <v>2.0</v>
      </c>
      <c r="G1468" s="22">
        <v>-27.81935</v>
      </c>
      <c r="H1468" s="4">
        <v>-48.56221</v>
      </c>
      <c r="I1468" s="5">
        <v>17.0</v>
      </c>
      <c r="J1468" s="5" t="s">
        <v>947</v>
      </c>
      <c r="K1468" s="5" t="s">
        <v>947</v>
      </c>
      <c r="L1468" s="3"/>
      <c r="M1468" s="5">
        <v>8.0</v>
      </c>
      <c r="N1468" s="5" t="s">
        <v>961</v>
      </c>
      <c r="O1468" s="5"/>
      <c r="P1468" s="3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</row>
    <row r="1469" ht="15.75" customHeight="1">
      <c r="A1469" s="3" t="s">
        <v>940</v>
      </c>
      <c r="B1469" s="3" t="s">
        <v>941</v>
      </c>
      <c r="C1469" s="3" t="s">
        <v>19</v>
      </c>
      <c r="D1469" s="3" t="s">
        <v>942</v>
      </c>
      <c r="E1469" s="3" t="s">
        <v>952</v>
      </c>
      <c r="F1469" s="3">
        <v>2.0</v>
      </c>
      <c r="G1469" s="22">
        <v>-27.81935</v>
      </c>
      <c r="H1469" s="4">
        <v>-48.56221</v>
      </c>
      <c r="I1469" s="5">
        <v>18.0</v>
      </c>
      <c r="J1469" s="5" t="s">
        <v>947</v>
      </c>
      <c r="K1469" s="5" t="s">
        <v>947</v>
      </c>
      <c r="L1469" s="3"/>
      <c r="M1469" s="5">
        <v>6.0</v>
      </c>
      <c r="N1469" s="5" t="s">
        <v>962</v>
      </c>
      <c r="O1469" s="5"/>
      <c r="P1469" s="3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</row>
    <row r="1470" ht="15.75" customHeight="1">
      <c r="A1470" s="3" t="s">
        <v>940</v>
      </c>
      <c r="B1470" s="3" t="s">
        <v>941</v>
      </c>
      <c r="C1470" s="3" t="s">
        <v>19</v>
      </c>
      <c r="D1470" s="3" t="s">
        <v>942</v>
      </c>
      <c r="E1470" s="3" t="s">
        <v>952</v>
      </c>
      <c r="F1470" s="3">
        <v>2.0</v>
      </c>
      <c r="G1470" s="22">
        <v>-27.81935</v>
      </c>
      <c r="H1470" s="4">
        <v>-48.56221</v>
      </c>
      <c r="I1470" s="5">
        <v>19.0</v>
      </c>
      <c r="J1470" s="5" t="s">
        <v>947</v>
      </c>
      <c r="K1470" s="5" t="s">
        <v>947</v>
      </c>
      <c r="L1470" s="3"/>
      <c r="M1470" s="5">
        <v>6.0</v>
      </c>
      <c r="N1470" s="5">
        <v>26.0</v>
      </c>
      <c r="O1470" s="5"/>
      <c r="P1470" s="3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</row>
    <row r="1471" ht="15.75" customHeight="1">
      <c r="A1471" s="3" t="s">
        <v>940</v>
      </c>
      <c r="B1471" s="3" t="s">
        <v>941</v>
      </c>
      <c r="C1471" s="3" t="s">
        <v>19</v>
      </c>
      <c r="D1471" s="3" t="s">
        <v>942</v>
      </c>
      <c r="E1471" s="3" t="s">
        <v>952</v>
      </c>
      <c r="F1471" s="3">
        <v>2.0</v>
      </c>
      <c r="G1471" s="22">
        <v>-27.81935</v>
      </c>
      <c r="H1471" s="4">
        <v>-48.56221</v>
      </c>
      <c r="I1471" s="5">
        <v>20.0</v>
      </c>
      <c r="J1471" s="5" t="s">
        <v>639</v>
      </c>
      <c r="K1471" s="5" t="s">
        <v>639</v>
      </c>
      <c r="L1471" s="3"/>
      <c r="M1471" s="5">
        <v>7.0</v>
      </c>
      <c r="N1471" s="5">
        <v>21.5</v>
      </c>
      <c r="O1471" s="5" t="s">
        <v>963</v>
      </c>
      <c r="P1471" s="3" t="s">
        <v>77</v>
      </c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</row>
    <row r="1472" ht="15.75" customHeight="1">
      <c r="A1472" s="3" t="s">
        <v>940</v>
      </c>
      <c r="B1472" s="3" t="s">
        <v>941</v>
      </c>
      <c r="C1472" s="3" t="s">
        <v>19</v>
      </c>
      <c r="D1472" s="3" t="s">
        <v>942</v>
      </c>
      <c r="E1472" s="3" t="s">
        <v>952</v>
      </c>
      <c r="F1472" s="3">
        <v>2.0</v>
      </c>
      <c r="G1472" s="22">
        <v>-27.81935</v>
      </c>
      <c r="H1472" s="4">
        <v>-48.56221</v>
      </c>
      <c r="I1472" s="5">
        <v>21.0</v>
      </c>
      <c r="J1472" s="5" t="s">
        <v>951</v>
      </c>
      <c r="K1472" s="5" t="s">
        <v>951</v>
      </c>
      <c r="L1472" s="3"/>
      <c r="M1472" s="5">
        <v>6.0</v>
      </c>
      <c r="N1472" s="5">
        <v>20.0</v>
      </c>
      <c r="O1472" s="5" t="s">
        <v>964</v>
      </c>
      <c r="P1472" s="3" t="s">
        <v>654</v>
      </c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</row>
    <row r="1473" ht="15.75" customHeight="1">
      <c r="A1473" s="3" t="s">
        <v>940</v>
      </c>
      <c r="B1473" s="3" t="s">
        <v>941</v>
      </c>
      <c r="C1473" s="3" t="s">
        <v>19</v>
      </c>
      <c r="D1473" s="3" t="s">
        <v>942</v>
      </c>
      <c r="E1473" s="3" t="s">
        <v>965</v>
      </c>
      <c r="F1473" s="3">
        <v>3.0</v>
      </c>
      <c r="G1473" s="4">
        <v>-27.81909</v>
      </c>
      <c r="H1473" s="22">
        <v>-48.56245</v>
      </c>
      <c r="I1473" s="5">
        <v>1.0</v>
      </c>
      <c r="J1473" s="5" t="s">
        <v>966</v>
      </c>
      <c r="K1473" s="5" t="s">
        <v>966</v>
      </c>
      <c r="L1473" s="3"/>
      <c r="M1473" s="5">
        <v>4.5</v>
      </c>
      <c r="N1473" s="5">
        <v>17.0</v>
      </c>
      <c r="O1473" s="5"/>
      <c r="P1473" s="3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</row>
    <row r="1474" ht="15.75" customHeight="1">
      <c r="A1474" s="3" t="s">
        <v>940</v>
      </c>
      <c r="B1474" s="3" t="s">
        <v>941</v>
      </c>
      <c r="C1474" s="3" t="s">
        <v>19</v>
      </c>
      <c r="D1474" s="3" t="s">
        <v>942</v>
      </c>
      <c r="E1474" s="3" t="s">
        <v>965</v>
      </c>
      <c r="F1474" s="3">
        <v>3.0</v>
      </c>
      <c r="G1474" s="4">
        <v>-27.81909</v>
      </c>
      <c r="H1474" s="22">
        <v>-48.56245</v>
      </c>
      <c r="I1474" s="5">
        <v>2.0</v>
      </c>
      <c r="J1474" s="5" t="s">
        <v>95</v>
      </c>
      <c r="K1474" s="5" t="s">
        <v>95</v>
      </c>
      <c r="L1474" s="3"/>
      <c r="M1474" s="5">
        <v>5.0</v>
      </c>
      <c r="N1474" s="5">
        <v>15.0</v>
      </c>
      <c r="O1474" s="5"/>
      <c r="P1474" s="3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</row>
    <row r="1475" ht="15.75" customHeight="1">
      <c r="A1475" s="3" t="s">
        <v>940</v>
      </c>
      <c r="B1475" s="3" t="s">
        <v>941</v>
      </c>
      <c r="C1475" s="3" t="s">
        <v>19</v>
      </c>
      <c r="D1475" s="3" t="s">
        <v>942</v>
      </c>
      <c r="E1475" s="3" t="s">
        <v>965</v>
      </c>
      <c r="F1475" s="3">
        <v>3.0</v>
      </c>
      <c r="G1475" s="4">
        <v>-27.81909</v>
      </c>
      <c r="H1475" s="22">
        <v>-48.56245</v>
      </c>
      <c r="I1475" s="5">
        <v>3.0</v>
      </c>
      <c r="J1475" s="5" t="s">
        <v>684</v>
      </c>
      <c r="K1475" s="5" t="s">
        <v>730</v>
      </c>
      <c r="L1475" s="3"/>
      <c r="M1475" s="5">
        <v>9.0</v>
      </c>
      <c r="N1475" s="5" t="s">
        <v>967</v>
      </c>
      <c r="O1475" s="5"/>
      <c r="P1475" s="3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</row>
    <row r="1476" ht="15.75" customHeight="1">
      <c r="A1476" s="3" t="s">
        <v>940</v>
      </c>
      <c r="B1476" s="3" t="s">
        <v>941</v>
      </c>
      <c r="C1476" s="3" t="s">
        <v>19</v>
      </c>
      <c r="D1476" s="3" t="s">
        <v>942</v>
      </c>
      <c r="E1476" s="3" t="s">
        <v>965</v>
      </c>
      <c r="F1476" s="3">
        <v>3.0</v>
      </c>
      <c r="G1476" s="4">
        <v>-27.81909</v>
      </c>
      <c r="H1476" s="22">
        <v>-48.56245</v>
      </c>
      <c r="I1476" s="5">
        <v>4.0</v>
      </c>
      <c r="J1476" s="5" t="s">
        <v>324</v>
      </c>
      <c r="K1476" s="5" t="s">
        <v>324</v>
      </c>
      <c r="L1476" s="3"/>
      <c r="M1476" s="5">
        <v>8.0</v>
      </c>
      <c r="N1476" s="5">
        <v>48.0</v>
      </c>
      <c r="O1476" s="5"/>
      <c r="P1476" s="3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</row>
    <row r="1477" ht="15.75" customHeight="1">
      <c r="A1477" s="3" t="s">
        <v>940</v>
      </c>
      <c r="B1477" s="3" t="s">
        <v>941</v>
      </c>
      <c r="C1477" s="3" t="s">
        <v>19</v>
      </c>
      <c r="D1477" s="3" t="s">
        <v>942</v>
      </c>
      <c r="E1477" s="3" t="s">
        <v>965</v>
      </c>
      <c r="F1477" s="3">
        <v>3.0</v>
      </c>
      <c r="G1477" s="4">
        <v>-27.81909</v>
      </c>
      <c r="H1477" s="22">
        <v>-48.56245</v>
      </c>
      <c r="I1477" s="5">
        <v>5.0</v>
      </c>
      <c r="J1477" s="5" t="s">
        <v>83</v>
      </c>
      <c r="K1477" s="5" t="s">
        <v>83</v>
      </c>
      <c r="L1477" s="3"/>
      <c r="M1477" s="5">
        <v>12.0</v>
      </c>
      <c r="N1477" s="5" t="s">
        <v>968</v>
      </c>
      <c r="O1477" s="5"/>
      <c r="P1477" s="3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</row>
    <row r="1478" ht="15.75" customHeight="1">
      <c r="A1478" s="3" t="s">
        <v>940</v>
      </c>
      <c r="B1478" s="3" t="s">
        <v>941</v>
      </c>
      <c r="C1478" s="3" t="s">
        <v>19</v>
      </c>
      <c r="D1478" s="3" t="s">
        <v>942</v>
      </c>
      <c r="E1478" s="3" t="s">
        <v>965</v>
      </c>
      <c r="F1478" s="3">
        <v>3.0</v>
      </c>
      <c r="G1478" s="4">
        <v>-27.81909</v>
      </c>
      <c r="H1478" s="22">
        <v>-48.56245</v>
      </c>
      <c r="I1478" s="5">
        <v>6.0</v>
      </c>
      <c r="J1478" s="5" t="s">
        <v>108</v>
      </c>
      <c r="K1478" s="5" t="s">
        <v>108</v>
      </c>
      <c r="L1478" s="3"/>
      <c r="M1478" s="5">
        <v>12.0</v>
      </c>
      <c r="N1478" s="5">
        <v>84.5</v>
      </c>
      <c r="O1478" s="5"/>
      <c r="P1478" s="3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</row>
    <row r="1479" ht="15.75" customHeight="1">
      <c r="A1479" s="3" t="s">
        <v>940</v>
      </c>
      <c r="B1479" s="3" t="s">
        <v>941</v>
      </c>
      <c r="C1479" s="3" t="s">
        <v>19</v>
      </c>
      <c r="D1479" s="3" t="s">
        <v>942</v>
      </c>
      <c r="E1479" s="3" t="s">
        <v>965</v>
      </c>
      <c r="F1479" s="3">
        <v>3.0</v>
      </c>
      <c r="G1479" s="4">
        <v>-27.81909</v>
      </c>
      <c r="H1479" s="22">
        <v>-48.56245</v>
      </c>
      <c r="I1479" s="5">
        <v>7.0</v>
      </c>
      <c r="J1479" s="5" t="s">
        <v>947</v>
      </c>
      <c r="K1479" s="5" t="s">
        <v>947</v>
      </c>
      <c r="L1479" s="3"/>
      <c r="M1479" s="5">
        <v>6.0</v>
      </c>
      <c r="N1479" s="5">
        <v>15.0</v>
      </c>
      <c r="O1479" s="5"/>
      <c r="P1479" s="3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</row>
    <row r="1480" ht="15.75" customHeight="1">
      <c r="A1480" s="3" t="s">
        <v>940</v>
      </c>
      <c r="B1480" s="3" t="s">
        <v>941</v>
      </c>
      <c r="C1480" s="3" t="s">
        <v>19</v>
      </c>
      <c r="D1480" s="3" t="s">
        <v>942</v>
      </c>
      <c r="E1480" s="3" t="s">
        <v>965</v>
      </c>
      <c r="F1480" s="3">
        <v>3.0</v>
      </c>
      <c r="G1480" s="4">
        <v>-27.81909</v>
      </c>
      <c r="H1480" s="22">
        <v>-48.56245</v>
      </c>
      <c r="I1480" s="5">
        <v>8.0</v>
      </c>
      <c r="J1480" s="5" t="s">
        <v>754</v>
      </c>
      <c r="K1480" s="5" t="s">
        <v>754</v>
      </c>
      <c r="L1480" s="3"/>
      <c r="M1480" s="5">
        <v>7.0</v>
      </c>
      <c r="N1480" s="5">
        <v>1605.0</v>
      </c>
      <c r="O1480" s="5" t="s">
        <v>969</v>
      </c>
      <c r="P1480" s="3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</row>
    <row r="1481" ht="15.75" customHeight="1">
      <c r="A1481" s="3" t="s">
        <v>940</v>
      </c>
      <c r="B1481" s="3" t="s">
        <v>941</v>
      </c>
      <c r="C1481" s="3" t="s">
        <v>19</v>
      </c>
      <c r="D1481" s="3" t="s">
        <v>942</v>
      </c>
      <c r="E1481" s="3" t="s">
        <v>965</v>
      </c>
      <c r="F1481" s="3">
        <v>3.0</v>
      </c>
      <c r="G1481" s="4">
        <v>-27.81909</v>
      </c>
      <c r="H1481" s="22">
        <v>-48.56245</v>
      </c>
      <c r="I1481" s="5">
        <v>9.0</v>
      </c>
      <c r="J1481" s="5" t="s">
        <v>754</v>
      </c>
      <c r="K1481" s="5" t="s">
        <v>754</v>
      </c>
      <c r="L1481" s="3"/>
      <c r="M1481" s="5">
        <v>12.0</v>
      </c>
      <c r="N1481" s="5">
        <v>87.0</v>
      </c>
      <c r="O1481" s="5" t="s">
        <v>970</v>
      </c>
      <c r="P1481" s="3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</row>
    <row r="1482" ht="15.75" customHeight="1">
      <c r="A1482" s="3" t="s">
        <v>940</v>
      </c>
      <c r="B1482" s="3" t="s">
        <v>941</v>
      </c>
      <c r="C1482" s="3" t="s">
        <v>19</v>
      </c>
      <c r="D1482" s="3" t="s">
        <v>942</v>
      </c>
      <c r="E1482" s="3" t="s">
        <v>965</v>
      </c>
      <c r="F1482" s="3">
        <v>3.0</v>
      </c>
      <c r="G1482" s="4">
        <v>-27.81909</v>
      </c>
      <c r="H1482" s="22">
        <v>-48.56245</v>
      </c>
      <c r="I1482" s="5">
        <v>10.0</v>
      </c>
      <c r="J1482" s="5" t="s">
        <v>324</v>
      </c>
      <c r="K1482" s="5" t="s">
        <v>324</v>
      </c>
      <c r="L1482" s="3"/>
      <c r="M1482" s="5">
        <v>6052.0</v>
      </c>
      <c r="N1482" s="5"/>
      <c r="O1482" s="5"/>
      <c r="P1482" s="3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</row>
    <row r="1483" ht="15.75" customHeight="1">
      <c r="A1483" s="3" t="s">
        <v>940</v>
      </c>
      <c r="B1483" s="3" t="s">
        <v>941</v>
      </c>
      <c r="C1483" s="3" t="s">
        <v>19</v>
      </c>
      <c r="D1483" s="3" t="s">
        <v>942</v>
      </c>
      <c r="E1483" s="3" t="s">
        <v>965</v>
      </c>
      <c r="F1483" s="3">
        <v>3.0</v>
      </c>
      <c r="G1483" s="4">
        <v>-27.81909</v>
      </c>
      <c r="H1483" s="22">
        <v>-48.56245</v>
      </c>
      <c r="I1483" s="5">
        <v>11.0</v>
      </c>
      <c r="J1483" s="5" t="s">
        <v>323</v>
      </c>
      <c r="K1483" s="5" t="s">
        <v>323</v>
      </c>
      <c r="L1483" s="3"/>
      <c r="M1483" s="5">
        <v>11.0</v>
      </c>
      <c r="N1483" s="5">
        <v>40.5</v>
      </c>
      <c r="O1483" s="5"/>
      <c r="P1483" s="3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</row>
    <row r="1484" ht="15.75" customHeight="1">
      <c r="A1484" s="3" t="s">
        <v>940</v>
      </c>
      <c r="B1484" s="3" t="s">
        <v>941</v>
      </c>
      <c r="C1484" s="3" t="s">
        <v>19</v>
      </c>
      <c r="D1484" s="3" t="s">
        <v>942</v>
      </c>
      <c r="E1484" s="3" t="s">
        <v>965</v>
      </c>
      <c r="F1484" s="3">
        <v>3.0</v>
      </c>
      <c r="G1484" s="4">
        <v>-27.81909</v>
      </c>
      <c r="H1484" s="22">
        <v>-48.56245</v>
      </c>
      <c r="I1484" s="5">
        <v>12.0</v>
      </c>
      <c r="J1484" s="5" t="s">
        <v>95</v>
      </c>
      <c r="K1484" s="5" t="s">
        <v>95</v>
      </c>
      <c r="L1484" s="3"/>
      <c r="M1484" s="5">
        <v>6.0</v>
      </c>
      <c r="N1484" s="5">
        <v>19.0</v>
      </c>
      <c r="O1484" s="5"/>
      <c r="P1484" s="3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</row>
    <row r="1485" ht="15.75" customHeight="1">
      <c r="A1485" s="3" t="s">
        <v>940</v>
      </c>
      <c r="B1485" s="3" t="s">
        <v>941</v>
      </c>
      <c r="C1485" s="3" t="s">
        <v>19</v>
      </c>
      <c r="D1485" s="3" t="s">
        <v>942</v>
      </c>
      <c r="E1485" s="3" t="s">
        <v>965</v>
      </c>
      <c r="F1485" s="3">
        <v>3.0</v>
      </c>
      <c r="G1485" s="4">
        <v>-27.81909</v>
      </c>
      <c r="H1485" s="22">
        <v>-48.56245</v>
      </c>
      <c r="I1485" s="5">
        <v>13.0</v>
      </c>
      <c r="J1485" s="5" t="s">
        <v>947</v>
      </c>
      <c r="K1485" s="5" t="s">
        <v>947</v>
      </c>
      <c r="L1485" s="3"/>
      <c r="M1485" s="5">
        <v>4.5</v>
      </c>
      <c r="N1485" s="5">
        <v>20.5</v>
      </c>
      <c r="O1485" s="11"/>
      <c r="P1485" s="5" t="s">
        <v>90</v>
      </c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</row>
    <row r="1486" ht="15.75" customHeight="1">
      <c r="A1486" s="3" t="s">
        <v>940</v>
      </c>
      <c r="B1486" s="3" t="s">
        <v>941</v>
      </c>
      <c r="C1486" s="3" t="s">
        <v>19</v>
      </c>
      <c r="D1486" s="3" t="s">
        <v>942</v>
      </c>
      <c r="E1486" s="3" t="s">
        <v>965</v>
      </c>
      <c r="F1486" s="3">
        <v>3.0</v>
      </c>
      <c r="G1486" s="4">
        <v>-27.81909</v>
      </c>
      <c r="H1486" s="22">
        <v>-48.56245</v>
      </c>
      <c r="I1486" s="5">
        <v>14.0</v>
      </c>
      <c r="J1486" s="5" t="s">
        <v>947</v>
      </c>
      <c r="K1486" s="5" t="s">
        <v>947</v>
      </c>
      <c r="L1486" s="3"/>
      <c r="M1486" s="5">
        <v>5.0</v>
      </c>
      <c r="N1486" s="5" t="s">
        <v>971</v>
      </c>
      <c r="O1486" s="5"/>
      <c r="P1486" s="3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</row>
    <row r="1487" ht="15.75" customHeight="1">
      <c r="A1487" s="3" t="s">
        <v>940</v>
      </c>
      <c r="B1487" s="3" t="s">
        <v>941</v>
      </c>
      <c r="C1487" s="3" t="s">
        <v>19</v>
      </c>
      <c r="D1487" s="3" t="s">
        <v>942</v>
      </c>
      <c r="E1487" s="3" t="s">
        <v>965</v>
      </c>
      <c r="F1487" s="3">
        <v>3.0</v>
      </c>
      <c r="G1487" s="4">
        <v>-27.81909</v>
      </c>
      <c r="H1487" s="22">
        <v>-48.56245</v>
      </c>
      <c r="I1487" s="5">
        <v>15.0</v>
      </c>
      <c r="J1487" s="5" t="s">
        <v>947</v>
      </c>
      <c r="K1487" s="5" t="s">
        <v>947</v>
      </c>
      <c r="L1487" s="3"/>
      <c r="M1487" s="5">
        <v>6.0</v>
      </c>
      <c r="N1487" s="5" t="s">
        <v>972</v>
      </c>
      <c r="O1487" s="5"/>
      <c r="P1487" s="3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</row>
    <row r="1488" ht="15.75" customHeight="1">
      <c r="A1488" s="3" t="s">
        <v>940</v>
      </c>
      <c r="B1488" s="3" t="s">
        <v>941</v>
      </c>
      <c r="C1488" s="3" t="s">
        <v>19</v>
      </c>
      <c r="D1488" s="3" t="s">
        <v>942</v>
      </c>
      <c r="E1488" s="3" t="s">
        <v>965</v>
      </c>
      <c r="F1488" s="3">
        <v>3.0</v>
      </c>
      <c r="G1488" s="4">
        <v>-27.81909</v>
      </c>
      <c r="H1488" s="22">
        <v>-48.56245</v>
      </c>
      <c r="I1488" s="5">
        <v>16.0</v>
      </c>
      <c r="J1488" s="5" t="s">
        <v>947</v>
      </c>
      <c r="K1488" s="5" t="s">
        <v>947</v>
      </c>
      <c r="L1488" s="3"/>
      <c r="M1488" s="5">
        <v>5.0</v>
      </c>
      <c r="N1488" s="5">
        <v>17.0</v>
      </c>
      <c r="O1488" s="5"/>
      <c r="P1488" s="3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</row>
    <row r="1489" ht="15.75" customHeight="1">
      <c r="A1489" s="3" t="s">
        <v>940</v>
      </c>
      <c r="B1489" s="3" t="s">
        <v>941</v>
      </c>
      <c r="C1489" s="3" t="s">
        <v>19</v>
      </c>
      <c r="D1489" s="3" t="s">
        <v>942</v>
      </c>
      <c r="E1489" s="3" t="s">
        <v>965</v>
      </c>
      <c r="F1489" s="3">
        <v>3.0</v>
      </c>
      <c r="G1489" s="4">
        <v>-27.81909</v>
      </c>
      <c r="H1489" s="22">
        <v>-48.56245</v>
      </c>
      <c r="I1489" s="5">
        <v>17.0</v>
      </c>
      <c r="J1489" s="5" t="s">
        <v>421</v>
      </c>
      <c r="K1489" s="5" t="s">
        <v>421</v>
      </c>
      <c r="L1489" s="3"/>
      <c r="M1489" s="5">
        <v>10.0</v>
      </c>
      <c r="N1489" s="5">
        <v>27.0</v>
      </c>
      <c r="O1489" s="5"/>
      <c r="P1489" s="3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</row>
    <row r="1490" ht="15.75" customHeight="1">
      <c r="A1490" s="3" t="s">
        <v>940</v>
      </c>
      <c r="B1490" s="3" t="s">
        <v>941</v>
      </c>
      <c r="C1490" s="3" t="s">
        <v>19</v>
      </c>
      <c r="D1490" s="3" t="s">
        <v>942</v>
      </c>
      <c r="E1490" s="3" t="s">
        <v>965</v>
      </c>
      <c r="F1490" s="3">
        <v>3.0</v>
      </c>
      <c r="G1490" s="4">
        <v>-27.81909</v>
      </c>
      <c r="H1490" s="22">
        <v>-48.56245</v>
      </c>
      <c r="I1490" s="5">
        <v>18.0</v>
      </c>
      <c r="J1490" s="5" t="s">
        <v>947</v>
      </c>
      <c r="K1490" s="5" t="s">
        <v>947</v>
      </c>
      <c r="L1490" s="3"/>
      <c r="M1490" s="5">
        <v>5.0</v>
      </c>
      <c r="N1490" s="5">
        <v>23.0</v>
      </c>
      <c r="O1490" s="5"/>
      <c r="P1490" s="3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</row>
    <row r="1491" ht="15.75" customHeight="1">
      <c r="A1491" s="3" t="s">
        <v>940</v>
      </c>
      <c r="B1491" s="3" t="s">
        <v>941</v>
      </c>
      <c r="C1491" s="3" t="s">
        <v>19</v>
      </c>
      <c r="D1491" s="3" t="s">
        <v>942</v>
      </c>
      <c r="E1491" s="3" t="s">
        <v>973</v>
      </c>
      <c r="F1491" s="3">
        <v>4.0</v>
      </c>
      <c r="G1491" s="22" t="s">
        <v>974</v>
      </c>
      <c r="H1491" s="22" t="s">
        <v>975</v>
      </c>
      <c r="I1491" s="5">
        <v>1.0</v>
      </c>
      <c r="J1491" s="5" t="s">
        <v>947</v>
      </c>
      <c r="K1491" s="5" t="s">
        <v>947</v>
      </c>
      <c r="L1491" s="3"/>
      <c r="M1491" s="5">
        <v>6.0</v>
      </c>
      <c r="N1491" s="5" t="s">
        <v>976</v>
      </c>
      <c r="O1491" s="5"/>
      <c r="P1491" s="3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</row>
    <row r="1492" ht="15.75" customHeight="1">
      <c r="A1492" s="3" t="s">
        <v>940</v>
      </c>
      <c r="B1492" s="3" t="s">
        <v>941</v>
      </c>
      <c r="C1492" s="3" t="s">
        <v>19</v>
      </c>
      <c r="D1492" s="3" t="s">
        <v>942</v>
      </c>
      <c r="E1492" s="3" t="s">
        <v>973</v>
      </c>
      <c r="F1492" s="3">
        <v>4.0</v>
      </c>
      <c r="G1492" s="22" t="s">
        <v>974</v>
      </c>
      <c r="H1492" s="22" t="s">
        <v>975</v>
      </c>
      <c r="I1492" s="5">
        <v>2.0</v>
      </c>
      <c r="J1492" s="5" t="s">
        <v>947</v>
      </c>
      <c r="K1492" s="5" t="s">
        <v>947</v>
      </c>
      <c r="L1492" s="3"/>
      <c r="M1492" s="5">
        <v>5.0</v>
      </c>
      <c r="N1492" s="5">
        <v>20.0</v>
      </c>
      <c r="O1492" s="5"/>
      <c r="P1492" s="3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</row>
    <row r="1493" ht="15.75" customHeight="1">
      <c r="A1493" s="3" t="s">
        <v>940</v>
      </c>
      <c r="B1493" s="3" t="s">
        <v>941</v>
      </c>
      <c r="C1493" s="3" t="s">
        <v>19</v>
      </c>
      <c r="D1493" s="3" t="s">
        <v>942</v>
      </c>
      <c r="E1493" s="3" t="s">
        <v>973</v>
      </c>
      <c r="F1493" s="3">
        <v>4.0</v>
      </c>
      <c r="G1493" s="22" t="s">
        <v>974</v>
      </c>
      <c r="H1493" s="22" t="s">
        <v>975</v>
      </c>
      <c r="I1493" s="5">
        <v>3.0</v>
      </c>
      <c r="J1493" s="5" t="s">
        <v>324</v>
      </c>
      <c r="K1493" s="5" t="s">
        <v>324</v>
      </c>
      <c r="L1493" s="3"/>
      <c r="M1493" s="5">
        <v>9.0</v>
      </c>
      <c r="N1493" s="5" t="s">
        <v>977</v>
      </c>
      <c r="O1493" s="5"/>
      <c r="P1493" s="3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</row>
    <row r="1494" ht="15.75" customHeight="1">
      <c r="A1494" s="3" t="s">
        <v>940</v>
      </c>
      <c r="B1494" s="3" t="s">
        <v>941</v>
      </c>
      <c r="C1494" s="3" t="s">
        <v>19</v>
      </c>
      <c r="D1494" s="3" t="s">
        <v>942</v>
      </c>
      <c r="E1494" s="3" t="s">
        <v>973</v>
      </c>
      <c r="F1494" s="3">
        <v>4.0</v>
      </c>
      <c r="G1494" s="22" t="s">
        <v>974</v>
      </c>
      <c r="H1494" s="22" t="s">
        <v>975</v>
      </c>
      <c r="I1494" s="5">
        <v>4.0</v>
      </c>
      <c r="J1494" s="5" t="s">
        <v>98</v>
      </c>
      <c r="K1494" s="5" t="s">
        <v>98</v>
      </c>
      <c r="L1494" s="3"/>
      <c r="M1494" s="5">
        <v>9.0</v>
      </c>
      <c r="N1494" s="5">
        <v>32.0</v>
      </c>
      <c r="O1494" s="5"/>
      <c r="P1494" s="3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</row>
    <row r="1495" ht="15.75" customHeight="1">
      <c r="A1495" s="3" t="s">
        <v>940</v>
      </c>
      <c r="B1495" s="3" t="s">
        <v>941</v>
      </c>
      <c r="C1495" s="3" t="s">
        <v>19</v>
      </c>
      <c r="D1495" s="3" t="s">
        <v>942</v>
      </c>
      <c r="E1495" s="3" t="s">
        <v>973</v>
      </c>
      <c r="F1495" s="3">
        <v>4.0</v>
      </c>
      <c r="G1495" s="22" t="s">
        <v>974</v>
      </c>
      <c r="H1495" s="22" t="s">
        <v>975</v>
      </c>
      <c r="I1495" s="5">
        <v>5.0</v>
      </c>
      <c r="J1495" s="3" t="s">
        <v>978</v>
      </c>
      <c r="K1495" s="3" t="s">
        <v>488</v>
      </c>
      <c r="L1495" s="3"/>
      <c r="M1495" s="5">
        <v>10.0</v>
      </c>
      <c r="N1495" s="5">
        <v>60.0</v>
      </c>
      <c r="O1495" s="5" t="s">
        <v>979</v>
      </c>
      <c r="P1495" s="3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</row>
    <row r="1496" ht="15.75" customHeight="1">
      <c r="A1496" s="3" t="s">
        <v>940</v>
      </c>
      <c r="B1496" s="3" t="s">
        <v>941</v>
      </c>
      <c r="C1496" s="3" t="s">
        <v>19</v>
      </c>
      <c r="D1496" s="3" t="s">
        <v>942</v>
      </c>
      <c r="E1496" s="3" t="s">
        <v>973</v>
      </c>
      <c r="F1496" s="3">
        <v>4.0</v>
      </c>
      <c r="G1496" s="22" t="s">
        <v>974</v>
      </c>
      <c r="H1496" s="22" t="s">
        <v>975</v>
      </c>
      <c r="I1496" s="5">
        <v>6.0</v>
      </c>
      <c r="J1496" s="5" t="s">
        <v>324</v>
      </c>
      <c r="K1496" s="5" t="s">
        <v>324</v>
      </c>
      <c r="L1496" s="3"/>
      <c r="M1496" s="5">
        <v>7.0</v>
      </c>
      <c r="N1496" s="5">
        <v>29.5</v>
      </c>
      <c r="O1496" s="5"/>
      <c r="P1496" s="3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</row>
    <row r="1497" ht="15.75" customHeight="1">
      <c r="A1497" s="3" t="s">
        <v>940</v>
      </c>
      <c r="B1497" s="3" t="s">
        <v>941</v>
      </c>
      <c r="C1497" s="3" t="s">
        <v>19</v>
      </c>
      <c r="D1497" s="3" t="s">
        <v>942</v>
      </c>
      <c r="E1497" s="3" t="s">
        <v>973</v>
      </c>
      <c r="F1497" s="3">
        <v>4.0</v>
      </c>
      <c r="G1497" s="22" t="s">
        <v>974</v>
      </c>
      <c r="H1497" s="22" t="s">
        <v>975</v>
      </c>
      <c r="I1497" s="5">
        <v>7.0</v>
      </c>
      <c r="J1497" s="5" t="s">
        <v>324</v>
      </c>
      <c r="K1497" s="5" t="s">
        <v>324</v>
      </c>
      <c r="L1497" s="3"/>
      <c r="M1497" s="5">
        <v>9.0</v>
      </c>
      <c r="N1497" s="5">
        <v>54.0</v>
      </c>
      <c r="O1497" s="5"/>
      <c r="P1497" s="3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</row>
    <row r="1498" ht="15.75" customHeight="1">
      <c r="A1498" s="3" t="s">
        <v>940</v>
      </c>
      <c r="B1498" s="3" t="s">
        <v>941</v>
      </c>
      <c r="C1498" s="3" t="s">
        <v>19</v>
      </c>
      <c r="D1498" s="3" t="s">
        <v>942</v>
      </c>
      <c r="E1498" s="3" t="s">
        <v>973</v>
      </c>
      <c r="F1498" s="3">
        <v>4.0</v>
      </c>
      <c r="G1498" s="22" t="s">
        <v>974</v>
      </c>
      <c r="H1498" s="22" t="s">
        <v>975</v>
      </c>
      <c r="I1498" s="5">
        <v>8.0</v>
      </c>
      <c r="J1498" s="5" t="s">
        <v>947</v>
      </c>
      <c r="K1498" s="5" t="s">
        <v>947</v>
      </c>
      <c r="L1498" s="3"/>
      <c r="M1498" s="5">
        <v>6.0</v>
      </c>
      <c r="N1498" s="5">
        <v>21.0</v>
      </c>
      <c r="O1498" s="5"/>
      <c r="P1498" s="3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</row>
    <row r="1499" ht="15.75" customHeight="1">
      <c r="A1499" s="3" t="s">
        <v>940</v>
      </c>
      <c r="B1499" s="3" t="s">
        <v>941</v>
      </c>
      <c r="C1499" s="3" t="s">
        <v>19</v>
      </c>
      <c r="D1499" s="3" t="s">
        <v>942</v>
      </c>
      <c r="E1499" s="3" t="s">
        <v>973</v>
      </c>
      <c r="F1499" s="3">
        <v>4.0</v>
      </c>
      <c r="G1499" s="22" t="s">
        <v>974</v>
      </c>
      <c r="H1499" s="22" t="s">
        <v>975</v>
      </c>
      <c r="I1499" s="5">
        <v>9.0</v>
      </c>
      <c r="J1499" s="5" t="s">
        <v>24</v>
      </c>
      <c r="K1499" s="5" t="s">
        <v>24</v>
      </c>
      <c r="L1499" s="3"/>
      <c r="M1499" s="5">
        <v>7.0</v>
      </c>
      <c r="N1499" s="5">
        <v>23.5</v>
      </c>
      <c r="O1499" s="5"/>
      <c r="P1499" s="3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</row>
    <row r="1500" ht="15.75" customHeight="1">
      <c r="A1500" s="3" t="s">
        <v>940</v>
      </c>
      <c r="B1500" s="3" t="s">
        <v>941</v>
      </c>
      <c r="C1500" s="3" t="s">
        <v>19</v>
      </c>
      <c r="D1500" s="3" t="s">
        <v>942</v>
      </c>
      <c r="E1500" s="3" t="s">
        <v>973</v>
      </c>
      <c r="F1500" s="3">
        <v>4.0</v>
      </c>
      <c r="G1500" s="22" t="s">
        <v>974</v>
      </c>
      <c r="H1500" s="22" t="s">
        <v>975</v>
      </c>
      <c r="I1500" s="5">
        <v>10.0</v>
      </c>
      <c r="J1500" s="5" t="s">
        <v>324</v>
      </c>
      <c r="K1500" s="5" t="s">
        <v>324</v>
      </c>
      <c r="L1500" s="3"/>
      <c r="M1500" s="5">
        <v>12.0</v>
      </c>
      <c r="N1500" s="5" t="s">
        <v>980</v>
      </c>
      <c r="O1500" s="5"/>
      <c r="P1500" s="3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</row>
    <row r="1501" ht="15.75" customHeight="1">
      <c r="A1501" s="3" t="s">
        <v>940</v>
      </c>
      <c r="B1501" s="3" t="s">
        <v>941</v>
      </c>
      <c r="C1501" s="3" t="s">
        <v>19</v>
      </c>
      <c r="D1501" s="3" t="s">
        <v>942</v>
      </c>
      <c r="E1501" s="3" t="s">
        <v>973</v>
      </c>
      <c r="F1501" s="3">
        <v>4.0</v>
      </c>
      <c r="G1501" s="22" t="s">
        <v>974</v>
      </c>
      <c r="H1501" s="22" t="s">
        <v>975</v>
      </c>
      <c r="I1501" s="5">
        <v>11.0</v>
      </c>
      <c r="J1501" s="5" t="s">
        <v>187</v>
      </c>
      <c r="K1501" s="5" t="s">
        <v>187</v>
      </c>
      <c r="L1501" s="3"/>
      <c r="M1501" s="5">
        <v>5.0</v>
      </c>
      <c r="N1501" s="5" t="s">
        <v>981</v>
      </c>
      <c r="O1501" s="5"/>
      <c r="P1501" s="5" t="s">
        <v>77</v>
      </c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</row>
    <row r="1502" ht="15.75" customHeight="1">
      <c r="A1502" s="3" t="s">
        <v>940</v>
      </c>
      <c r="B1502" s="3" t="s">
        <v>941</v>
      </c>
      <c r="C1502" s="3" t="s">
        <v>19</v>
      </c>
      <c r="D1502" s="3" t="s">
        <v>942</v>
      </c>
      <c r="E1502" s="3" t="s">
        <v>973</v>
      </c>
      <c r="F1502" s="3">
        <v>4.0</v>
      </c>
      <c r="G1502" s="22" t="s">
        <v>974</v>
      </c>
      <c r="H1502" s="22" t="s">
        <v>975</v>
      </c>
      <c r="I1502" s="5">
        <v>12.0</v>
      </c>
      <c r="J1502" s="5" t="s">
        <v>324</v>
      </c>
      <c r="K1502" s="5" t="s">
        <v>324</v>
      </c>
      <c r="L1502" s="3"/>
      <c r="M1502" s="5">
        <v>12.0</v>
      </c>
      <c r="N1502" s="5">
        <v>70.0</v>
      </c>
      <c r="O1502" s="5"/>
      <c r="P1502" s="3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</row>
    <row r="1503" ht="15.75" customHeight="1">
      <c r="A1503" s="3" t="s">
        <v>940</v>
      </c>
      <c r="B1503" s="3" t="s">
        <v>941</v>
      </c>
      <c r="C1503" s="3" t="s">
        <v>19</v>
      </c>
      <c r="D1503" s="3" t="s">
        <v>942</v>
      </c>
      <c r="E1503" s="3" t="s">
        <v>973</v>
      </c>
      <c r="F1503" s="3">
        <v>4.0</v>
      </c>
      <c r="G1503" s="22" t="s">
        <v>974</v>
      </c>
      <c r="H1503" s="22" t="s">
        <v>975</v>
      </c>
      <c r="I1503" s="5">
        <v>13.0</v>
      </c>
      <c r="J1503" s="5" t="s">
        <v>982</v>
      </c>
      <c r="K1503" s="5" t="s">
        <v>983</v>
      </c>
      <c r="L1503" s="3"/>
      <c r="M1503" s="5">
        <v>4.0</v>
      </c>
      <c r="N1503" s="5" t="s">
        <v>984</v>
      </c>
      <c r="O1503" s="5" t="s">
        <v>985</v>
      </c>
      <c r="P1503" s="3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</row>
    <row r="1504" ht="15.75" customHeight="1">
      <c r="A1504" s="3" t="s">
        <v>940</v>
      </c>
      <c r="B1504" s="3" t="s">
        <v>941</v>
      </c>
      <c r="C1504" s="3" t="s">
        <v>19</v>
      </c>
      <c r="D1504" s="3" t="s">
        <v>942</v>
      </c>
      <c r="E1504" s="3" t="s">
        <v>973</v>
      </c>
      <c r="F1504" s="3">
        <v>4.0</v>
      </c>
      <c r="G1504" s="22" t="s">
        <v>974</v>
      </c>
      <c r="H1504" s="22" t="s">
        <v>975</v>
      </c>
      <c r="I1504" s="5">
        <v>14.0</v>
      </c>
      <c r="J1504" s="5" t="s">
        <v>421</v>
      </c>
      <c r="K1504" s="5" t="s">
        <v>421</v>
      </c>
      <c r="L1504" s="3"/>
      <c r="M1504" s="5">
        <v>6.0</v>
      </c>
      <c r="N1504" s="5">
        <v>15.0</v>
      </c>
      <c r="O1504" s="5"/>
      <c r="P1504" s="3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</row>
    <row r="1505" ht="15.75" customHeight="1">
      <c r="A1505" s="3" t="s">
        <v>940</v>
      </c>
      <c r="B1505" s="3" t="s">
        <v>941</v>
      </c>
      <c r="C1505" s="3" t="s">
        <v>80</v>
      </c>
      <c r="D1505" s="3" t="s">
        <v>986</v>
      </c>
      <c r="E1505" s="3" t="s">
        <v>987</v>
      </c>
      <c r="F1505" s="3">
        <v>5.0</v>
      </c>
      <c r="G1505" s="4">
        <v>-27.82277</v>
      </c>
      <c r="H1505" s="22">
        <v>-48.56266</v>
      </c>
      <c r="I1505" s="5">
        <v>1.0</v>
      </c>
      <c r="J1505" s="5" t="s">
        <v>154</v>
      </c>
      <c r="K1505" s="5" t="s">
        <v>154</v>
      </c>
      <c r="L1505" s="3"/>
      <c r="M1505" s="5">
        <v>13.0</v>
      </c>
      <c r="N1505" s="5">
        <v>108.0</v>
      </c>
      <c r="O1505" s="5"/>
      <c r="P1505" s="3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</row>
    <row r="1506" ht="15.75" customHeight="1">
      <c r="A1506" s="3" t="s">
        <v>940</v>
      </c>
      <c r="B1506" s="3" t="s">
        <v>941</v>
      </c>
      <c r="C1506" s="3" t="s">
        <v>80</v>
      </c>
      <c r="D1506" s="3" t="s">
        <v>986</v>
      </c>
      <c r="E1506" s="3" t="s">
        <v>987</v>
      </c>
      <c r="F1506" s="3">
        <v>5.0</v>
      </c>
      <c r="G1506" s="4">
        <v>-27.82277</v>
      </c>
      <c r="H1506" s="22">
        <v>-48.56266</v>
      </c>
      <c r="I1506" s="5">
        <v>2.0</v>
      </c>
      <c r="J1506" s="5" t="s">
        <v>108</v>
      </c>
      <c r="K1506" s="5" t="s">
        <v>108</v>
      </c>
      <c r="L1506" s="3"/>
      <c r="M1506" s="5">
        <v>6.0</v>
      </c>
      <c r="N1506" s="5">
        <v>64.0</v>
      </c>
      <c r="O1506" s="5"/>
      <c r="P1506" s="3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</row>
    <row r="1507" ht="15.75" customHeight="1">
      <c r="A1507" s="3" t="s">
        <v>940</v>
      </c>
      <c r="B1507" s="3" t="s">
        <v>941</v>
      </c>
      <c r="C1507" s="3" t="s">
        <v>80</v>
      </c>
      <c r="D1507" s="3" t="s">
        <v>986</v>
      </c>
      <c r="E1507" s="3" t="s">
        <v>987</v>
      </c>
      <c r="F1507" s="3">
        <v>5.0</v>
      </c>
      <c r="G1507" s="4">
        <v>-27.82277</v>
      </c>
      <c r="H1507" s="22">
        <v>-48.56266</v>
      </c>
      <c r="I1507" s="5">
        <v>3.0</v>
      </c>
      <c r="J1507" s="5" t="s">
        <v>105</v>
      </c>
      <c r="K1507" s="5" t="s">
        <v>105</v>
      </c>
      <c r="L1507" s="3"/>
      <c r="M1507" s="5">
        <v>5.0</v>
      </c>
      <c r="N1507" s="5">
        <v>17.5</v>
      </c>
      <c r="O1507" s="5"/>
      <c r="P1507" s="3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</row>
    <row r="1508" ht="15.75" customHeight="1">
      <c r="A1508" s="3" t="s">
        <v>940</v>
      </c>
      <c r="B1508" s="3" t="s">
        <v>941</v>
      </c>
      <c r="C1508" s="3" t="s">
        <v>80</v>
      </c>
      <c r="D1508" s="3" t="s">
        <v>986</v>
      </c>
      <c r="E1508" s="3" t="s">
        <v>987</v>
      </c>
      <c r="F1508" s="3">
        <v>5.0</v>
      </c>
      <c r="G1508" s="4">
        <v>-27.82277</v>
      </c>
      <c r="H1508" s="22">
        <v>-48.56266</v>
      </c>
      <c r="I1508" s="5">
        <v>4.0</v>
      </c>
      <c r="J1508" s="5" t="s">
        <v>108</v>
      </c>
      <c r="K1508" s="5" t="s">
        <v>108</v>
      </c>
      <c r="L1508" s="3"/>
      <c r="M1508" s="5">
        <v>10.0</v>
      </c>
      <c r="N1508" s="5">
        <v>74.0</v>
      </c>
      <c r="O1508" s="5"/>
      <c r="P1508" s="3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</row>
    <row r="1509" ht="15.75" customHeight="1">
      <c r="A1509" s="3" t="s">
        <v>940</v>
      </c>
      <c r="B1509" s="3" t="s">
        <v>941</v>
      </c>
      <c r="C1509" s="3" t="s">
        <v>80</v>
      </c>
      <c r="D1509" s="3" t="s">
        <v>986</v>
      </c>
      <c r="E1509" s="3" t="s">
        <v>987</v>
      </c>
      <c r="F1509" s="3">
        <v>5.0</v>
      </c>
      <c r="G1509" s="4">
        <v>-27.82277</v>
      </c>
      <c r="H1509" s="22">
        <v>-48.56266</v>
      </c>
      <c r="I1509" s="5">
        <v>5.0</v>
      </c>
      <c r="J1509" s="5" t="s">
        <v>379</v>
      </c>
      <c r="K1509" s="5" t="s">
        <v>379</v>
      </c>
      <c r="L1509" s="3"/>
      <c r="M1509" s="5">
        <v>6.0</v>
      </c>
      <c r="N1509" s="5">
        <v>20.0</v>
      </c>
      <c r="O1509" s="5" t="s">
        <v>988</v>
      </c>
      <c r="P1509" s="3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</row>
    <row r="1510" ht="15.75" customHeight="1">
      <c r="A1510" s="3" t="s">
        <v>940</v>
      </c>
      <c r="B1510" s="3" t="s">
        <v>941</v>
      </c>
      <c r="C1510" s="3" t="s">
        <v>80</v>
      </c>
      <c r="D1510" s="3" t="s">
        <v>986</v>
      </c>
      <c r="E1510" s="3" t="s">
        <v>987</v>
      </c>
      <c r="F1510" s="3">
        <v>5.0</v>
      </c>
      <c r="G1510" s="4">
        <v>-27.82277</v>
      </c>
      <c r="H1510" s="22">
        <v>-48.56266</v>
      </c>
      <c r="I1510" s="5">
        <v>6.0</v>
      </c>
      <c r="J1510" s="5" t="s">
        <v>989</v>
      </c>
      <c r="K1510" s="5" t="s">
        <v>989</v>
      </c>
      <c r="L1510" s="3"/>
      <c r="M1510" s="5">
        <v>6.0</v>
      </c>
      <c r="N1510" s="5" t="s">
        <v>990</v>
      </c>
      <c r="O1510" s="5"/>
      <c r="P1510" s="3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</row>
    <row r="1511" ht="15.75" customHeight="1">
      <c r="A1511" s="3" t="s">
        <v>940</v>
      </c>
      <c r="B1511" s="3" t="s">
        <v>941</v>
      </c>
      <c r="C1511" s="3" t="s">
        <v>80</v>
      </c>
      <c r="D1511" s="3" t="s">
        <v>986</v>
      </c>
      <c r="E1511" s="3" t="s">
        <v>987</v>
      </c>
      <c r="F1511" s="3">
        <v>5.0</v>
      </c>
      <c r="G1511" s="4">
        <v>-27.82277</v>
      </c>
      <c r="H1511" s="22">
        <v>-48.56266</v>
      </c>
      <c r="I1511" s="5">
        <v>7.0</v>
      </c>
      <c r="J1511" s="5" t="s">
        <v>154</v>
      </c>
      <c r="K1511" s="5" t="s">
        <v>154</v>
      </c>
      <c r="L1511" s="3"/>
      <c r="M1511" s="5">
        <v>6.0</v>
      </c>
      <c r="N1511" s="5">
        <v>15.5</v>
      </c>
      <c r="O1511" s="5"/>
      <c r="P1511" s="3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</row>
    <row r="1512" ht="15.75" customHeight="1">
      <c r="A1512" s="3" t="s">
        <v>940</v>
      </c>
      <c r="B1512" s="3" t="s">
        <v>941</v>
      </c>
      <c r="C1512" s="3" t="s">
        <v>80</v>
      </c>
      <c r="D1512" s="3" t="s">
        <v>986</v>
      </c>
      <c r="E1512" s="3" t="s">
        <v>987</v>
      </c>
      <c r="F1512" s="3">
        <v>5.0</v>
      </c>
      <c r="G1512" s="4">
        <v>-27.82277</v>
      </c>
      <c r="H1512" s="22">
        <v>-48.56266</v>
      </c>
      <c r="I1512" s="5">
        <v>8.0</v>
      </c>
      <c r="J1512" s="5" t="s">
        <v>104</v>
      </c>
      <c r="K1512" s="5" t="s">
        <v>104</v>
      </c>
      <c r="L1512" s="3"/>
      <c r="M1512" s="5">
        <v>10.0</v>
      </c>
      <c r="N1512" s="5" t="s">
        <v>991</v>
      </c>
      <c r="O1512" s="5"/>
      <c r="P1512" s="3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</row>
    <row r="1513" ht="15.75" customHeight="1">
      <c r="A1513" s="3" t="s">
        <v>940</v>
      </c>
      <c r="B1513" s="3" t="s">
        <v>941</v>
      </c>
      <c r="C1513" s="3" t="s">
        <v>80</v>
      </c>
      <c r="D1513" s="3" t="s">
        <v>986</v>
      </c>
      <c r="E1513" s="3" t="s">
        <v>987</v>
      </c>
      <c r="F1513" s="3">
        <v>5.0</v>
      </c>
      <c r="G1513" s="4">
        <v>-27.82277</v>
      </c>
      <c r="H1513" s="22">
        <v>-48.56266</v>
      </c>
      <c r="I1513" s="5">
        <v>9.0</v>
      </c>
      <c r="J1513" s="5" t="s">
        <v>992</v>
      </c>
      <c r="K1513" s="5" t="s">
        <v>24</v>
      </c>
      <c r="L1513" s="3"/>
      <c r="M1513" s="5">
        <v>10.0</v>
      </c>
      <c r="N1513" s="5">
        <v>72.5</v>
      </c>
      <c r="O1513" s="5" t="s">
        <v>993</v>
      </c>
      <c r="P1513" s="3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</row>
    <row r="1514" ht="15.75" customHeight="1">
      <c r="A1514" s="3" t="s">
        <v>940</v>
      </c>
      <c r="B1514" s="3" t="s">
        <v>941</v>
      </c>
      <c r="C1514" s="3" t="s">
        <v>80</v>
      </c>
      <c r="D1514" s="3" t="s">
        <v>986</v>
      </c>
      <c r="E1514" s="3" t="s">
        <v>987</v>
      </c>
      <c r="F1514" s="3">
        <v>5.0</v>
      </c>
      <c r="G1514" s="4">
        <v>-27.82277</v>
      </c>
      <c r="H1514" s="22">
        <v>-48.56266</v>
      </c>
      <c r="I1514" s="5">
        <v>10.0</v>
      </c>
      <c r="J1514" s="5" t="s">
        <v>191</v>
      </c>
      <c r="K1514" s="5" t="s">
        <v>191</v>
      </c>
      <c r="L1514" s="3"/>
      <c r="M1514" s="5">
        <v>8.0</v>
      </c>
      <c r="N1514" s="5">
        <v>25.0</v>
      </c>
      <c r="O1514" s="5"/>
      <c r="P1514" s="3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</row>
    <row r="1515" ht="15.75" customHeight="1">
      <c r="A1515" s="3" t="s">
        <v>940</v>
      </c>
      <c r="B1515" s="3" t="s">
        <v>941</v>
      </c>
      <c r="C1515" s="3" t="s">
        <v>80</v>
      </c>
      <c r="D1515" s="3" t="s">
        <v>986</v>
      </c>
      <c r="E1515" s="3" t="s">
        <v>987</v>
      </c>
      <c r="F1515" s="3">
        <v>5.0</v>
      </c>
      <c r="G1515" s="4">
        <v>-27.82277</v>
      </c>
      <c r="H1515" s="22">
        <v>-48.56266</v>
      </c>
      <c r="I1515" s="5">
        <v>11.0</v>
      </c>
      <c r="J1515" s="5" t="s">
        <v>28</v>
      </c>
      <c r="K1515" s="5" t="s">
        <v>28</v>
      </c>
      <c r="L1515" s="3"/>
      <c r="M1515" s="5">
        <v>6.0</v>
      </c>
      <c r="N1515" s="5">
        <v>29.0</v>
      </c>
      <c r="O1515" s="5"/>
      <c r="P1515" s="3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</row>
    <row r="1516" ht="15.75" customHeight="1">
      <c r="A1516" s="3" t="s">
        <v>940</v>
      </c>
      <c r="B1516" s="3" t="s">
        <v>941</v>
      </c>
      <c r="C1516" s="3" t="s">
        <v>80</v>
      </c>
      <c r="D1516" s="3" t="s">
        <v>986</v>
      </c>
      <c r="E1516" s="3" t="s">
        <v>987</v>
      </c>
      <c r="F1516" s="3">
        <v>5.0</v>
      </c>
      <c r="G1516" s="4">
        <v>-27.82277</v>
      </c>
      <c r="H1516" s="22">
        <v>-48.56266</v>
      </c>
      <c r="I1516" s="5">
        <v>12.0</v>
      </c>
      <c r="J1516" s="5" t="s">
        <v>191</v>
      </c>
      <c r="K1516" s="5" t="s">
        <v>191</v>
      </c>
      <c r="L1516" s="3"/>
      <c r="M1516" s="5">
        <v>7.0</v>
      </c>
      <c r="N1516" s="5">
        <v>22.0</v>
      </c>
      <c r="O1516" s="5"/>
      <c r="P1516" s="3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</row>
    <row r="1517" ht="15.75" customHeight="1">
      <c r="A1517" s="3" t="s">
        <v>940</v>
      </c>
      <c r="B1517" s="3" t="s">
        <v>941</v>
      </c>
      <c r="C1517" s="3" t="s">
        <v>80</v>
      </c>
      <c r="D1517" s="3" t="s">
        <v>986</v>
      </c>
      <c r="E1517" s="3" t="s">
        <v>987</v>
      </c>
      <c r="F1517" s="3">
        <v>5.0</v>
      </c>
      <c r="G1517" s="4">
        <v>-27.82277</v>
      </c>
      <c r="H1517" s="22">
        <v>-48.56266</v>
      </c>
      <c r="I1517" s="5">
        <v>13.0</v>
      </c>
      <c r="J1517" s="5" t="s">
        <v>392</v>
      </c>
      <c r="K1517" s="5" t="s">
        <v>179</v>
      </c>
      <c r="L1517" s="3"/>
      <c r="M1517" s="5">
        <v>9.0</v>
      </c>
      <c r="N1517" s="5" t="s">
        <v>994</v>
      </c>
      <c r="O1517" s="5"/>
      <c r="P1517" s="5" t="s">
        <v>77</v>
      </c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</row>
    <row r="1518" ht="15.75" customHeight="1">
      <c r="A1518" s="3" t="s">
        <v>940</v>
      </c>
      <c r="B1518" s="3" t="s">
        <v>941</v>
      </c>
      <c r="C1518" s="3" t="s">
        <v>80</v>
      </c>
      <c r="D1518" s="3" t="s">
        <v>986</v>
      </c>
      <c r="E1518" s="3" t="s">
        <v>987</v>
      </c>
      <c r="F1518" s="3">
        <v>5.0</v>
      </c>
      <c r="G1518" s="4">
        <v>-27.82277</v>
      </c>
      <c r="H1518" s="22">
        <v>-48.56266</v>
      </c>
      <c r="I1518" s="5">
        <v>14.0</v>
      </c>
      <c r="J1518" s="5" t="s">
        <v>324</v>
      </c>
      <c r="K1518" s="5" t="s">
        <v>324</v>
      </c>
      <c r="L1518" s="3"/>
      <c r="M1518" s="5">
        <v>5.0</v>
      </c>
      <c r="N1518" s="5">
        <v>33.0</v>
      </c>
      <c r="O1518" s="5"/>
      <c r="P1518" s="3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</row>
    <row r="1519" ht="15.75" customHeight="1">
      <c r="A1519" s="3" t="s">
        <v>940</v>
      </c>
      <c r="B1519" s="3" t="s">
        <v>941</v>
      </c>
      <c r="C1519" s="3" t="s">
        <v>80</v>
      </c>
      <c r="D1519" s="3" t="s">
        <v>986</v>
      </c>
      <c r="E1519" s="3" t="s">
        <v>987</v>
      </c>
      <c r="F1519" s="3">
        <v>5.0</v>
      </c>
      <c r="G1519" s="4">
        <v>-27.82277</v>
      </c>
      <c r="H1519" s="22">
        <v>-48.56266</v>
      </c>
      <c r="I1519" s="5">
        <v>15.0</v>
      </c>
      <c r="J1519" s="5" t="s">
        <v>379</v>
      </c>
      <c r="K1519" s="5" t="s">
        <v>379</v>
      </c>
      <c r="L1519" s="3"/>
      <c r="M1519" s="5">
        <v>9.0</v>
      </c>
      <c r="N1519" s="5">
        <v>30.5</v>
      </c>
      <c r="O1519" s="5" t="s">
        <v>995</v>
      </c>
      <c r="P1519" s="3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</row>
    <row r="1520" ht="15.75" customHeight="1">
      <c r="A1520" s="3" t="s">
        <v>940</v>
      </c>
      <c r="B1520" s="3" t="s">
        <v>941</v>
      </c>
      <c r="C1520" s="3" t="s">
        <v>80</v>
      </c>
      <c r="D1520" s="3" t="s">
        <v>986</v>
      </c>
      <c r="E1520" s="3" t="s">
        <v>987</v>
      </c>
      <c r="F1520" s="3">
        <v>5.0</v>
      </c>
      <c r="G1520" s="4">
        <v>-27.82277</v>
      </c>
      <c r="H1520" s="22">
        <v>-48.56266</v>
      </c>
      <c r="I1520" s="5">
        <v>16.0</v>
      </c>
      <c r="J1520" s="5" t="s">
        <v>28</v>
      </c>
      <c r="K1520" s="5" t="s">
        <v>28</v>
      </c>
      <c r="L1520" s="3"/>
      <c r="M1520" s="5">
        <v>12.0</v>
      </c>
      <c r="N1520" s="5">
        <v>31.0</v>
      </c>
      <c r="O1520" s="5"/>
      <c r="P1520" s="3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</row>
    <row r="1521" ht="15.75" customHeight="1">
      <c r="A1521" s="3" t="s">
        <v>940</v>
      </c>
      <c r="B1521" s="3" t="s">
        <v>941</v>
      </c>
      <c r="C1521" s="3" t="s">
        <v>80</v>
      </c>
      <c r="D1521" s="3" t="s">
        <v>986</v>
      </c>
      <c r="E1521" s="3" t="s">
        <v>987</v>
      </c>
      <c r="F1521" s="3">
        <v>5.0</v>
      </c>
      <c r="G1521" s="4">
        <v>-27.82277</v>
      </c>
      <c r="H1521" s="22">
        <v>-48.56266</v>
      </c>
      <c r="I1521" s="5">
        <v>17.0</v>
      </c>
      <c r="J1521" s="5" t="s">
        <v>947</v>
      </c>
      <c r="K1521" s="5" t="s">
        <v>947</v>
      </c>
      <c r="L1521" s="3"/>
      <c r="M1521" s="5">
        <v>7.0</v>
      </c>
      <c r="N1521" s="5" t="s">
        <v>996</v>
      </c>
      <c r="O1521" s="5"/>
      <c r="P1521" s="3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</row>
    <row r="1522" ht="15.75" customHeight="1">
      <c r="A1522" s="3" t="s">
        <v>940</v>
      </c>
      <c r="B1522" s="3" t="s">
        <v>941</v>
      </c>
      <c r="C1522" s="3" t="s">
        <v>80</v>
      </c>
      <c r="D1522" s="3" t="s">
        <v>986</v>
      </c>
      <c r="E1522" s="3" t="s">
        <v>987</v>
      </c>
      <c r="F1522" s="3">
        <v>5.0</v>
      </c>
      <c r="G1522" s="4">
        <v>-27.82277</v>
      </c>
      <c r="H1522" s="22">
        <v>-48.56266</v>
      </c>
      <c r="I1522" s="5">
        <v>18.0</v>
      </c>
      <c r="J1522" s="5" t="s">
        <v>56</v>
      </c>
      <c r="K1522" s="5" t="s">
        <v>56</v>
      </c>
      <c r="L1522" s="3"/>
      <c r="M1522" s="5">
        <v>6.0</v>
      </c>
      <c r="N1522" s="5">
        <v>17.5</v>
      </c>
      <c r="O1522" s="5"/>
      <c r="P1522" s="3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</row>
    <row r="1523" ht="15.75" customHeight="1">
      <c r="A1523" s="3" t="s">
        <v>940</v>
      </c>
      <c r="B1523" s="3" t="s">
        <v>941</v>
      </c>
      <c r="C1523" s="3" t="s">
        <v>80</v>
      </c>
      <c r="D1523" s="3" t="s">
        <v>986</v>
      </c>
      <c r="E1523" s="3" t="s">
        <v>987</v>
      </c>
      <c r="F1523" s="3">
        <v>5.0</v>
      </c>
      <c r="G1523" s="4">
        <v>-27.82277</v>
      </c>
      <c r="H1523" s="22">
        <v>-48.56266</v>
      </c>
      <c r="I1523" s="5">
        <v>19.0</v>
      </c>
      <c r="J1523" s="5" t="s">
        <v>989</v>
      </c>
      <c r="K1523" s="5" t="s">
        <v>989</v>
      </c>
      <c r="L1523" s="3"/>
      <c r="M1523" s="5">
        <v>6.5</v>
      </c>
      <c r="N1523" s="5">
        <v>15.0</v>
      </c>
      <c r="O1523" s="5"/>
      <c r="P1523" s="3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</row>
    <row r="1524" ht="15.75" customHeight="1">
      <c r="A1524" s="3" t="s">
        <v>940</v>
      </c>
      <c r="B1524" s="3" t="s">
        <v>941</v>
      </c>
      <c r="C1524" s="3" t="s">
        <v>80</v>
      </c>
      <c r="D1524" s="3" t="s">
        <v>986</v>
      </c>
      <c r="E1524" s="3" t="s">
        <v>997</v>
      </c>
      <c r="F1524" s="3">
        <v>6.0</v>
      </c>
      <c r="G1524" s="4">
        <v>-27.82273</v>
      </c>
      <c r="H1524" s="4">
        <v>-48.56304</v>
      </c>
      <c r="I1524" s="5">
        <v>1.0</v>
      </c>
      <c r="J1524" s="5" t="s">
        <v>191</v>
      </c>
      <c r="K1524" s="5" t="s">
        <v>191</v>
      </c>
      <c r="L1524" s="3"/>
      <c r="M1524" s="5">
        <v>8.0</v>
      </c>
      <c r="N1524" s="5">
        <v>32.0</v>
      </c>
      <c r="O1524" s="5"/>
      <c r="P1524" s="3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</row>
    <row r="1525" ht="15.75" customHeight="1">
      <c r="A1525" s="3" t="s">
        <v>940</v>
      </c>
      <c r="B1525" s="3" t="s">
        <v>941</v>
      </c>
      <c r="C1525" s="3" t="s">
        <v>80</v>
      </c>
      <c r="D1525" s="3" t="s">
        <v>986</v>
      </c>
      <c r="E1525" s="3" t="s">
        <v>997</v>
      </c>
      <c r="F1525" s="3">
        <v>6.0</v>
      </c>
      <c r="G1525" s="4">
        <v>-27.82273</v>
      </c>
      <c r="H1525" s="4">
        <v>-48.56304</v>
      </c>
      <c r="I1525" s="5">
        <v>2.0</v>
      </c>
      <c r="J1525" s="5" t="s">
        <v>104</v>
      </c>
      <c r="K1525" s="5" t="s">
        <v>104</v>
      </c>
      <c r="L1525" s="3"/>
      <c r="M1525" s="5">
        <v>7.0</v>
      </c>
      <c r="N1525" s="5">
        <v>19.0</v>
      </c>
      <c r="O1525" s="5"/>
      <c r="P1525" s="3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</row>
    <row r="1526" ht="15.75" customHeight="1">
      <c r="A1526" s="3" t="s">
        <v>940</v>
      </c>
      <c r="B1526" s="3" t="s">
        <v>941</v>
      </c>
      <c r="C1526" s="3" t="s">
        <v>80</v>
      </c>
      <c r="D1526" s="3" t="s">
        <v>986</v>
      </c>
      <c r="E1526" s="3" t="s">
        <v>997</v>
      </c>
      <c r="F1526" s="3">
        <v>6.0</v>
      </c>
      <c r="G1526" s="4">
        <v>-27.82273</v>
      </c>
      <c r="H1526" s="4">
        <v>-48.56304</v>
      </c>
      <c r="I1526" s="5">
        <v>3.0</v>
      </c>
      <c r="J1526" s="19" t="s">
        <v>836</v>
      </c>
      <c r="K1526" s="5" t="s">
        <v>315</v>
      </c>
      <c r="L1526" s="3"/>
      <c r="M1526" s="5">
        <v>7.0</v>
      </c>
      <c r="N1526" s="5">
        <v>23.0</v>
      </c>
      <c r="O1526" s="5" t="s">
        <v>998</v>
      </c>
      <c r="P1526" s="3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</row>
    <row r="1527" ht="15.75" customHeight="1">
      <c r="A1527" s="3" t="s">
        <v>940</v>
      </c>
      <c r="B1527" s="3" t="s">
        <v>941</v>
      </c>
      <c r="C1527" s="3" t="s">
        <v>80</v>
      </c>
      <c r="D1527" s="3" t="s">
        <v>986</v>
      </c>
      <c r="E1527" s="3" t="s">
        <v>997</v>
      </c>
      <c r="F1527" s="3">
        <v>6.0</v>
      </c>
      <c r="G1527" s="4">
        <v>-27.82273</v>
      </c>
      <c r="H1527" s="4">
        <v>-48.56304</v>
      </c>
      <c r="I1527" s="5">
        <v>4.0</v>
      </c>
      <c r="J1527" s="5" t="s">
        <v>28</v>
      </c>
      <c r="K1527" s="5" t="s">
        <v>28</v>
      </c>
      <c r="L1527" s="3"/>
      <c r="M1527" s="5">
        <v>6.5</v>
      </c>
      <c r="N1527" s="5">
        <v>26.0</v>
      </c>
      <c r="O1527" s="5"/>
      <c r="P1527" s="3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</row>
    <row r="1528" ht="15.75" customHeight="1">
      <c r="A1528" s="3" t="s">
        <v>940</v>
      </c>
      <c r="B1528" s="3" t="s">
        <v>941</v>
      </c>
      <c r="C1528" s="3" t="s">
        <v>80</v>
      </c>
      <c r="D1528" s="3" t="s">
        <v>986</v>
      </c>
      <c r="E1528" s="3" t="s">
        <v>997</v>
      </c>
      <c r="F1528" s="3">
        <v>6.0</v>
      </c>
      <c r="G1528" s="4">
        <v>-27.82273</v>
      </c>
      <c r="H1528" s="4">
        <v>-48.56304</v>
      </c>
      <c r="I1528" s="5">
        <v>5.0</v>
      </c>
      <c r="J1528" s="5" t="s">
        <v>30</v>
      </c>
      <c r="K1528" s="5" t="s">
        <v>30</v>
      </c>
      <c r="L1528" s="3"/>
      <c r="M1528" s="5">
        <v>9.0</v>
      </c>
      <c r="N1528" s="5">
        <v>19.5</v>
      </c>
      <c r="O1528" s="5"/>
      <c r="P1528" s="3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</row>
    <row r="1529" ht="15.75" customHeight="1">
      <c r="A1529" s="3" t="s">
        <v>940</v>
      </c>
      <c r="B1529" s="3" t="s">
        <v>941</v>
      </c>
      <c r="C1529" s="3" t="s">
        <v>80</v>
      </c>
      <c r="D1529" s="3" t="s">
        <v>986</v>
      </c>
      <c r="E1529" s="3" t="s">
        <v>997</v>
      </c>
      <c r="F1529" s="3">
        <v>6.0</v>
      </c>
      <c r="G1529" s="4">
        <v>-27.82273</v>
      </c>
      <c r="H1529" s="4">
        <v>-48.56304</v>
      </c>
      <c r="I1529" s="5">
        <v>6.0</v>
      </c>
      <c r="J1529" s="5" t="s">
        <v>104</v>
      </c>
      <c r="K1529" s="5" t="s">
        <v>104</v>
      </c>
      <c r="L1529" s="3"/>
      <c r="M1529" s="5">
        <v>7.0</v>
      </c>
      <c r="N1529" s="5">
        <v>18.5</v>
      </c>
      <c r="O1529" s="5"/>
      <c r="P1529" s="3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</row>
    <row r="1530" ht="15.75" customHeight="1">
      <c r="A1530" s="3" t="s">
        <v>940</v>
      </c>
      <c r="B1530" s="3" t="s">
        <v>941</v>
      </c>
      <c r="C1530" s="3" t="s">
        <v>80</v>
      </c>
      <c r="D1530" s="3" t="s">
        <v>986</v>
      </c>
      <c r="E1530" s="3" t="s">
        <v>997</v>
      </c>
      <c r="F1530" s="3">
        <v>6.0</v>
      </c>
      <c r="G1530" s="4">
        <v>-27.82273</v>
      </c>
      <c r="H1530" s="4">
        <v>-48.56304</v>
      </c>
      <c r="I1530" s="5">
        <v>7.0</v>
      </c>
      <c r="J1530" s="5" t="s">
        <v>104</v>
      </c>
      <c r="K1530" s="5" t="s">
        <v>104</v>
      </c>
      <c r="L1530" s="3"/>
      <c r="M1530" s="5">
        <v>7.0</v>
      </c>
      <c r="N1530" s="5">
        <v>21.0</v>
      </c>
      <c r="O1530" s="5"/>
      <c r="P1530" s="3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</row>
    <row r="1531" ht="15.75" customHeight="1">
      <c r="A1531" s="3" t="s">
        <v>940</v>
      </c>
      <c r="B1531" s="3" t="s">
        <v>941</v>
      </c>
      <c r="C1531" s="3" t="s">
        <v>80</v>
      </c>
      <c r="D1531" s="3" t="s">
        <v>986</v>
      </c>
      <c r="E1531" s="3" t="s">
        <v>997</v>
      </c>
      <c r="F1531" s="3">
        <v>6.0</v>
      </c>
      <c r="G1531" s="4">
        <v>-27.82273</v>
      </c>
      <c r="H1531" s="4">
        <v>-48.56304</v>
      </c>
      <c r="I1531" s="5">
        <v>8.0</v>
      </c>
      <c r="J1531" s="5" t="s">
        <v>30</v>
      </c>
      <c r="K1531" s="5" t="s">
        <v>30</v>
      </c>
      <c r="L1531" s="3"/>
      <c r="M1531" s="5">
        <v>10.0</v>
      </c>
      <c r="N1531" s="5">
        <v>21.5</v>
      </c>
      <c r="O1531" s="5"/>
      <c r="P1531" s="3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</row>
    <row r="1532" ht="15.75" customHeight="1">
      <c r="A1532" s="3" t="s">
        <v>940</v>
      </c>
      <c r="B1532" s="3" t="s">
        <v>941</v>
      </c>
      <c r="C1532" s="3" t="s">
        <v>80</v>
      </c>
      <c r="D1532" s="3" t="s">
        <v>986</v>
      </c>
      <c r="E1532" s="3" t="s">
        <v>997</v>
      </c>
      <c r="F1532" s="3">
        <v>6.0</v>
      </c>
      <c r="G1532" s="4">
        <v>-27.82273</v>
      </c>
      <c r="H1532" s="4">
        <v>-48.56304</v>
      </c>
      <c r="I1532" s="5">
        <v>9.0</v>
      </c>
      <c r="J1532" s="5" t="s">
        <v>30</v>
      </c>
      <c r="K1532" s="5" t="s">
        <v>30</v>
      </c>
      <c r="L1532" s="3"/>
      <c r="M1532" s="5">
        <v>5.0</v>
      </c>
      <c r="N1532" s="5">
        <v>33.0</v>
      </c>
      <c r="O1532" s="5"/>
      <c r="P1532" s="3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</row>
    <row r="1533" ht="15.75" customHeight="1">
      <c r="A1533" s="3" t="s">
        <v>940</v>
      </c>
      <c r="B1533" s="3" t="s">
        <v>941</v>
      </c>
      <c r="C1533" s="3" t="s">
        <v>80</v>
      </c>
      <c r="D1533" s="3" t="s">
        <v>986</v>
      </c>
      <c r="E1533" s="3" t="s">
        <v>997</v>
      </c>
      <c r="F1533" s="3">
        <v>6.0</v>
      </c>
      <c r="G1533" s="4">
        <v>-27.82273</v>
      </c>
      <c r="H1533" s="4">
        <v>-48.56304</v>
      </c>
      <c r="I1533" s="5">
        <v>10.0</v>
      </c>
      <c r="J1533" s="5" t="s">
        <v>104</v>
      </c>
      <c r="K1533" s="5" t="s">
        <v>104</v>
      </c>
      <c r="L1533" s="3"/>
      <c r="M1533" s="5">
        <v>5.0</v>
      </c>
      <c r="N1533" s="5">
        <v>33.0</v>
      </c>
      <c r="O1533" s="5"/>
      <c r="P1533" s="3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</row>
    <row r="1534" ht="15.75" customHeight="1">
      <c r="A1534" s="3" t="s">
        <v>940</v>
      </c>
      <c r="B1534" s="3" t="s">
        <v>941</v>
      </c>
      <c r="C1534" s="3" t="s">
        <v>80</v>
      </c>
      <c r="D1534" s="3" t="s">
        <v>986</v>
      </c>
      <c r="E1534" s="3" t="s">
        <v>997</v>
      </c>
      <c r="F1534" s="3">
        <v>6.0</v>
      </c>
      <c r="G1534" s="4">
        <v>-27.82273</v>
      </c>
      <c r="H1534" s="4">
        <v>-48.56304</v>
      </c>
      <c r="I1534" s="5">
        <v>11.0</v>
      </c>
      <c r="J1534" s="5" t="s">
        <v>28</v>
      </c>
      <c r="K1534" s="5" t="s">
        <v>28</v>
      </c>
      <c r="L1534" s="3"/>
      <c r="M1534" s="5">
        <v>5.0</v>
      </c>
      <c r="N1534" s="5">
        <v>39.0</v>
      </c>
      <c r="O1534" s="5"/>
      <c r="P1534" s="3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</row>
    <row r="1535" ht="15.75" customHeight="1">
      <c r="A1535" s="3" t="s">
        <v>940</v>
      </c>
      <c r="B1535" s="3" t="s">
        <v>941</v>
      </c>
      <c r="C1535" s="3" t="s">
        <v>80</v>
      </c>
      <c r="D1535" s="3" t="s">
        <v>986</v>
      </c>
      <c r="E1535" s="3" t="s">
        <v>997</v>
      </c>
      <c r="F1535" s="3">
        <v>6.0</v>
      </c>
      <c r="G1535" s="4">
        <v>-27.82273</v>
      </c>
      <c r="H1535" s="4">
        <v>-48.56304</v>
      </c>
      <c r="I1535" s="5">
        <v>12.0</v>
      </c>
      <c r="J1535" s="5" t="s">
        <v>30</v>
      </c>
      <c r="K1535" s="5" t="s">
        <v>30</v>
      </c>
      <c r="L1535" s="3"/>
      <c r="M1535" s="5">
        <v>8.0</v>
      </c>
      <c r="N1535" s="5">
        <v>42.0</v>
      </c>
      <c r="O1535" s="5"/>
      <c r="P1535" s="3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</row>
    <row r="1536" ht="15.75" customHeight="1">
      <c r="A1536" s="3" t="s">
        <v>940</v>
      </c>
      <c r="B1536" s="3" t="s">
        <v>941</v>
      </c>
      <c r="C1536" s="3" t="s">
        <v>80</v>
      </c>
      <c r="D1536" s="3" t="s">
        <v>986</v>
      </c>
      <c r="E1536" s="3" t="s">
        <v>997</v>
      </c>
      <c r="F1536" s="3">
        <v>6.0</v>
      </c>
      <c r="G1536" s="4">
        <v>-27.82273</v>
      </c>
      <c r="H1536" s="4">
        <v>-48.56304</v>
      </c>
      <c r="I1536" s="5">
        <v>13.0</v>
      </c>
      <c r="J1536" s="5" t="s">
        <v>999</v>
      </c>
      <c r="K1536" s="5" t="s">
        <v>235</v>
      </c>
      <c r="L1536" s="3"/>
      <c r="M1536" s="5">
        <v>7.0</v>
      </c>
      <c r="N1536" s="5">
        <v>20.5</v>
      </c>
      <c r="O1536" s="5" t="s">
        <v>1000</v>
      </c>
      <c r="P1536" s="3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</row>
    <row r="1537" ht="15.75" customHeight="1">
      <c r="A1537" s="3" t="s">
        <v>940</v>
      </c>
      <c r="B1537" s="3" t="s">
        <v>941</v>
      </c>
      <c r="C1537" s="3" t="s">
        <v>80</v>
      </c>
      <c r="D1537" s="3" t="s">
        <v>986</v>
      </c>
      <c r="E1537" s="3" t="s">
        <v>997</v>
      </c>
      <c r="F1537" s="3">
        <v>6.0</v>
      </c>
      <c r="G1537" s="4">
        <v>-27.82273</v>
      </c>
      <c r="H1537" s="4">
        <v>-48.56304</v>
      </c>
      <c r="I1537" s="5">
        <v>14.0</v>
      </c>
      <c r="J1537" s="5" t="s">
        <v>191</v>
      </c>
      <c r="K1537" s="5" t="s">
        <v>191</v>
      </c>
      <c r="L1537" s="3"/>
      <c r="M1537" s="5">
        <v>12.0</v>
      </c>
      <c r="N1537" s="5">
        <v>40.0</v>
      </c>
      <c r="O1537" s="5"/>
      <c r="P1537" s="3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</row>
    <row r="1538" ht="15.75" customHeight="1">
      <c r="A1538" s="3" t="s">
        <v>940</v>
      </c>
      <c r="B1538" s="3" t="s">
        <v>941</v>
      </c>
      <c r="C1538" s="3" t="s">
        <v>80</v>
      </c>
      <c r="D1538" s="3" t="s">
        <v>986</v>
      </c>
      <c r="E1538" s="3" t="s">
        <v>997</v>
      </c>
      <c r="F1538" s="3">
        <v>6.0</v>
      </c>
      <c r="G1538" s="4">
        <v>-27.82273</v>
      </c>
      <c r="H1538" s="4">
        <v>-48.56304</v>
      </c>
      <c r="I1538" s="5">
        <v>15.0</v>
      </c>
      <c r="J1538" s="5" t="s">
        <v>30</v>
      </c>
      <c r="K1538" s="5" t="s">
        <v>30</v>
      </c>
      <c r="L1538" s="3"/>
      <c r="M1538" s="5">
        <v>10.0</v>
      </c>
      <c r="N1538" s="5">
        <v>28.5</v>
      </c>
      <c r="O1538" s="5"/>
      <c r="P1538" s="3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</row>
    <row r="1539" ht="15.75" customHeight="1">
      <c r="A1539" s="3" t="s">
        <v>940</v>
      </c>
      <c r="B1539" s="3" t="s">
        <v>941</v>
      </c>
      <c r="C1539" s="3" t="s">
        <v>80</v>
      </c>
      <c r="D1539" s="3" t="s">
        <v>986</v>
      </c>
      <c r="E1539" s="3" t="s">
        <v>997</v>
      </c>
      <c r="F1539" s="3">
        <v>6.0</v>
      </c>
      <c r="G1539" s="4">
        <v>-27.82273</v>
      </c>
      <c r="H1539" s="4">
        <v>-48.56304</v>
      </c>
      <c r="I1539" s="5">
        <v>16.0</v>
      </c>
      <c r="J1539" s="5" t="s">
        <v>191</v>
      </c>
      <c r="K1539" s="5" t="s">
        <v>191</v>
      </c>
      <c r="L1539" s="3"/>
      <c r="M1539" s="5">
        <v>6.0</v>
      </c>
      <c r="N1539" s="5">
        <v>17.5</v>
      </c>
      <c r="O1539" s="5"/>
      <c r="P1539" s="3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</row>
    <row r="1540" ht="15.75" customHeight="1">
      <c r="A1540" s="3" t="s">
        <v>940</v>
      </c>
      <c r="B1540" s="3" t="s">
        <v>941</v>
      </c>
      <c r="C1540" s="3" t="s">
        <v>80</v>
      </c>
      <c r="D1540" s="3" t="s">
        <v>986</v>
      </c>
      <c r="E1540" s="3" t="s">
        <v>997</v>
      </c>
      <c r="F1540" s="3">
        <v>6.0</v>
      </c>
      <c r="G1540" s="4">
        <v>-27.82273</v>
      </c>
      <c r="H1540" s="4">
        <v>-48.56304</v>
      </c>
      <c r="I1540" s="5">
        <v>17.0</v>
      </c>
      <c r="J1540" s="5" t="s">
        <v>104</v>
      </c>
      <c r="K1540" s="5" t="s">
        <v>104</v>
      </c>
      <c r="L1540" s="3"/>
      <c r="M1540" s="5">
        <v>8.0</v>
      </c>
      <c r="N1540" s="5">
        <v>41.0</v>
      </c>
      <c r="O1540" s="5"/>
      <c r="P1540" s="3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</row>
    <row r="1541" ht="15.75" customHeight="1">
      <c r="A1541" s="3" t="s">
        <v>940</v>
      </c>
      <c r="B1541" s="3" t="s">
        <v>941</v>
      </c>
      <c r="C1541" s="3" t="s">
        <v>80</v>
      </c>
      <c r="D1541" s="3" t="s">
        <v>986</v>
      </c>
      <c r="E1541" s="3" t="s">
        <v>997</v>
      </c>
      <c r="F1541" s="3">
        <v>6.0</v>
      </c>
      <c r="G1541" s="4">
        <v>-27.82273</v>
      </c>
      <c r="H1541" s="4">
        <v>-48.56304</v>
      </c>
      <c r="I1541" s="5">
        <v>18.0</v>
      </c>
      <c r="J1541" s="5" t="s">
        <v>191</v>
      </c>
      <c r="K1541" s="5" t="s">
        <v>191</v>
      </c>
      <c r="L1541" s="3"/>
      <c r="M1541" s="5">
        <v>9.0</v>
      </c>
      <c r="N1541" s="5">
        <v>29.5</v>
      </c>
      <c r="O1541" s="5"/>
      <c r="P1541" s="3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</row>
    <row r="1542" ht="15.75" customHeight="1">
      <c r="A1542" s="3" t="s">
        <v>940</v>
      </c>
      <c r="B1542" s="3" t="s">
        <v>941</v>
      </c>
      <c r="C1542" s="3" t="s">
        <v>80</v>
      </c>
      <c r="D1542" s="3" t="s">
        <v>986</v>
      </c>
      <c r="E1542" s="3" t="s">
        <v>997</v>
      </c>
      <c r="F1542" s="3">
        <v>6.0</v>
      </c>
      <c r="G1542" s="4">
        <v>-27.82273</v>
      </c>
      <c r="H1542" s="4">
        <v>-48.56304</v>
      </c>
      <c r="I1542" s="5">
        <v>19.0</v>
      </c>
      <c r="J1542" s="5" t="s">
        <v>191</v>
      </c>
      <c r="K1542" s="5" t="s">
        <v>191</v>
      </c>
      <c r="L1542" s="3"/>
      <c r="M1542" s="5">
        <v>10.0</v>
      </c>
      <c r="N1542" s="5">
        <v>36.5</v>
      </c>
      <c r="O1542" s="5"/>
      <c r="P1542" s="3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</row>
    <row r="1543" ht="15.75" customHeight="1">
      <c r="A1543" s="3" t="s">
        <v>940</v>
      </c>
      <c r="B1543" s="3" t="s">
        <v>941</v>
      </c>
      <c r="C1543" s="3" t="s">
        <v>80</v>
      </c>
      <c r="D1543" s="3" t="s">
        <v>986</v>
      </c>
      <c r="E1543" s="3" t="s">
        <v>997</v>
      </c>
      <c r="F1543" s="3">
        <v>6.0</v>
      </c>
      <c r="G1543" s="4">
        <v>-27.82273</v>
      </c>
      <c r="H1543" s="4">
        <v>-48.56304</v>
      </c>
      <c r="I1543" s="5">
        <v>20.0</v>
      </c>
      <c r="J1543" s="5" t="s">
        <v>85</v>
      </c>
      <c r="K1543" s="5" t="s">
        <v>85</v>
      </c>
      <c r="L1543" s="3"/>
      <c r="M1543" s="5">
        <v>8.0</v>
      </c>
      <c r="N1543" s="5">
        <v>16.0</v>
      </c>
      <c r="O1543" s="5"/>
      <c r="P1543" s="3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</row>
    <row r="1544" ht="15.75" customHeight="1">
      <c r="A1544" s="3" t="s">
        <v>940</v>
      </c>
      <c r="B1544" s="3" t="s">
        <v>941</v>
      </c>
      <c r="C1544" s="3" t="s">
        <v>80</v>
      </c>
      <c r="D1544" s="3" t="s">
        <v>986</v>
      </c>
      <c r="E1544" s="3" t="s">
        <v>997</v>
      </c>
      <c r="F1544" s="3">
        <v>6.0</v>
      </c>
      <c r="G1544" s="4">
        <v>-27.82273</v>
      </c>
      <c r="H1544" s="4">
        <v>-48.56304</v>
      </c>
      <c r="I1544" s="5">
        <v>21.0</v>
      </c>
      <c r="J1544" s="5" t="s">
        <v>191</v>
      </c>
      <c r="K1544" s="5" t="s">
        <v>191</v>
      </c>
      <c r="L1544" s="3"/>
      <c r="M1544" s="5">
        <v>10.0</v>
      </c>
      <c r="N1544" s="5">
        <v>38.5</v>
      </c>
      <c r="O1544" s="5"/>
      <c r="P1544" s="3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</row>
    <row r="1545" ht="15.75" customHeight="1">
      <c r="A1545" s="3" t="s">
        <v>940</v>
      </c>
      <c r="B1545" s="3" t="s">
        <v>941</v>
      </c>
      <c r="C1545" s="3" t="s">
        <v>80</v>
      </c>
      <c r="D1545" s="3" t="s">
        <v>986</v>
      </c>
      <c r="E1545" s="3" t="s">
        <v>997</v>
      </c>
      <c r="F1545" s="3">
        <v>6.0</v>
      </c>
      <c r="G1545" s="4">
        <v>-27.82273</v>
      </c>
      <c r="H1545" s="4">
        <v>-48.56304</v>
      </c>
      <c r="I1545" s="5">
        <v>22.0</v>
      </c>
      <c r="J1545" s="5" t="s">
        <v>191</v>
      </c>
      <c r="K1545" s="5" t="s">
        <v>191</v>
      </c>
      <c r="L1545" s="3"/>
      <c r="M1545" s="5">
        <v>8.0</v>
      </c>
      <c r="N1545" s="5">
        <v>25.0</v>
      </c>
      <c r="O1545" s="5"/>
      <c r="P1545" s="3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</row>
    <row r="1546" ht="15.75" customHeight="1">
      <c r="A1546" s="3" t="s">
        <v>940</v>
      </c>
      <c r="B1546" s="3" t="s">
        <v>941</v>
      </c>
      <c r="C1546" s="3" t="s">
        <v>80</v>
      </c>
      <c r="D1546" s="3" t="s">
        <v>986</v>
      </c>
      <c r="E1546" s="3" t="s">
        <v>997</v>
      </c>
      <c r="F1546" s="3">
        <v>6.0</v>
      </c>
      <c r="G1546" s="4">
        <v>-27.82273</v>
      </c>
      <c r="H1546" s="4">
        <v>-48.56304</v>
      </c>
      <c r="I1546" s="5">
        <v>23.0</v>
      </c>
      <c r="J1546" s="5" t="s">
        <v>176</v>
      </c>
      <c r="K1546" s="5" t="s">
        <v>176</v>
      </c>
      <c r="L1546" s="3"/>
      <c r="M1546" s="5">
        <v>6.0</v>
      </c>
      <c r="N1546" s="5">
        <v>23.0</v>
      </c>
      <c r="O1546" s="5" t="s">
        <v>1001</v>
      </c>
      <c r="P1546" s="3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</row>
    <row r="1547" ht="15.75" customHeight="1">
      <c r="A1547" s="3" t="s">
        <v>940</v>
      </c>
      <c r="B1547" s="3" t="s">
        <v>941</v>
      </c>
      <c r="C1547" s="3" t="s">
        <v>80</v>
      </c>
      <c r="D1547" s="3" t="s">
        <v>986</v>
      </c>
      <c r="E1547" s="3" t="s">
        <v>997</v>
      </c>
      <c r="F1547" s="3">
        <v>6.0</v>
      </c>
      <c r="G1547" s="4">
        <v>-27.82273</v>
      </c>
      <c r="H1547" s="4">
        <v>-48.56304</v>
      </c>
      <c r="I1547" s="5">
        <v>24.0</v>
      </c>
      <c r="J1547" s="5" t="s">
        <v>104</v>
      </c>
      <c r="K1547" s="5" t="s">
        <v>104</v>
      </c>
      <c r="L1547" s="3"/>
      <c r="M1547" s="5">
        <v>9.0</v>
      </c>
      <c r="N1547" s="5">
        <v>30.0</v>
      </c>
      <c r="O1547" s="5"/>
      <c r="P1547" s="3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</row>
    <row r="1548" ht="15.75" customHeight="1">
      <c r="A1548" s="3" t="s">
        <v>940</v>
      </c>
      <c r="B1548" s="3" t="s">
        <v>941</v>
      </c>
      <c r="C1548" s="3" t="s">
        <v>80</v>
      </c>
      <c r="D1548" s="3" t="s">
        <v>986</v>
      </c>
      <c r="E1548" s="3" t="s">
        <v>997</v>
      </c>
      <c r="F1548" s="3">
        <v>6.0</v>
      </c>
      <c r="G1548" s="4">
        <v>-27.82273</v>
      </c>
      <c r="H1548" s="4">
        <v>-48.56304</v>
      </c>
      <c r="I1548" s="5">
        <v>25.0</v>
      </c>
      <c r="J1548" s="5" t="s">
        <v>37</v>
      </c>
      <c r="K1548" s="5" t="s">
        <v>37</v>
      </c>
      <c r="L1548" s="3"/>
      <c r="M1548" s="5">
        <v>9.0</v>
      </c>
      <c r="N1548" s="5">
        <v>19.0</v>
      </c>
      <c r="O1548" s="5"/>
      <c r="P1548" s="3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</row>
    <row r="1549" ht="15.75" customHeight="1">
      <c r="A1549" s="3" t="s">
        <v>940</v>
      </c>
      <c r="B1549" s="3" t="s">
        <v>941</v>
      </c>
      <c r="C1549" s="3" t="s">
        <v>80</v>
      </c>
      <c r="D1549" s="3" t="s">
        <v>986</v>
      </c>
      <c r="E1549" s="3" t="s">
        <v>997</v>
      </c>
      <c r="F1549" s="3">
        <v>6.0</v>
      </c>
      <c r="G1549" s="4">
        <v>-27.82273</v>
      </c>
      <c r="H1549" s="4">
        <v>-48.56304</v>
      </c>
      <c r="I1549" s="5">
        <v>26.0</v>
      </c>
      <c r="J1549" s="5" t="s">
        <v>104</v>
      </c>
      <c r="K1549" s="5" t="s">
        <v>104</v>
      </c>
      <c r="L1549" s="3"/>
      <c r="M1549" s="5">
        <v>8.0</v>
      </c>
      <c r="N1549" s="5">
        <v>23.0</v>
      </c>
      <c r="O1549" s="5"/>
      <c r="P1549" s="3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</row>
    <row r="1550" ht="15.75" customHeight="1">
      <c r="A1550" s="3" t="s">
        <v>940</v>
      </c>
      <c r="B1550" s="3" t="s">
        <v>941</v>
      </c>
      <c r="C1550" s="3" t="s">
        <v>80</v>
      </c>
      <c r="D1550" s="3" t="s">
        <v>986</v>
      </c>
      <c r="E1550" s="3" t="s">
        <v>997</v>
      </c>
      <c r="F1550" s="3">
        <v>6.0</v>
      </c>
      <c r="G1550" s="4">
        <v>-27.82273</v>
      </c>
      <c r="H1550" s="4">
        <v>-48.56304</v>
      </c>
      <c r="I1550" s="5">
        <v>27.0</v>
      </c>
      <c r="J1550" s="5" t="s">
        <v>28</v>
      </c>
      <c r="K1550" s="5" t="s">
        <v>28</v>
      </c>
      <c r="L1550" s="3"/>
      <c r="M1550" s="5">
        <v>11.0</v>
      </c>
      <c r="N1550" s="5">
        <v>34.0</v>
      </c>
      <c r="O1550" s="5"/>
      <c r="P1550" s="3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</row>
    <row r="1551" ht="15.75" customHeight="1">
      <c r="A1551" s="3" t="s">
        <v>940</v>
      </c>
      <c r="B1551" s="3" t="s">
        <v>941</v>
      </c>
      <c r="C1551" s="3" t="s">
        <v>80</v>
      </c>
      <c r="D1551" s="3" t="s">
        <v>986</v>
      </c>
      <c r="E1551" s="3" t="s">
        <v>997</v>
      </c>
      <c r="F1551" s="3">
        <v>6.0</v>
      </c>
      <c r="G1551" s="4">
        <v>-27.82273</v>
      </c>
      <c r="H1551" s="4">
        <v>-48.56304</v>
      </c>
      <c r="I1551" s="5">
        <v>28.0</v>
      </c>
      <c r="J1551" s="5" t="s">
        <v>24</v>
      </c>
      <c r="K1551" s="5" t="s">
        <v>24</v>
      </c>
      <c r="L1551" s="3"/>
      <c r="M1551" s="5">
        <v>12.0</v>
      </c>
      <c r="N1551" s="5">
        <v>44.0</v>
      </c>
      <c r="O1551" s="5"/>
      <c r="P1551" s="3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</row>
    <row r="1552" ht="15.75" customHeight="1">
      <c r="A1552" s="3" t="s">
        <v>940</v>
      </c>
      <c r="B1552" s="3" t="s">
        <v>941</v>
      </c>
      <c r="C1552" s="3" t="s">
        <v>80</v>
      </c>
      <c r="D1552" s="3" t="s">
        <v>986</v>
      </c>
      <c r="E1552" s="3" t="s">
        <v>997</v>
      </c>
      <c r="F1552" s="3">
        <v>6.0</v>
      </c>
      <c r="G1552" s="4">
        <v>-27.82273</v>
      </c>
      <c r="H1552" s="4">
        <v>-48.56304</v>
      </c>
      <c r="I1552" s="5">
        <v>29.0</v>
      </c>
      <c r="J1552" s="5" t="s">
        <v>24</v>
      </c>
      <c r="K1552" s="5" t="s">
        <v>24</v>
      </c>
      <c r="L1552" s="3"/>
      <c r="M1552" s="5">
        <v>8.5</v>
      </c>
      <c r="N1552" s="5">
        <v>23.0</v>
      </c>
      <c r="O1552" s="5"/>
      <c r="P1552" s="3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</row>
    <row r="1553" ht="15.75" customHeight="1">
      <c r="A1553" s="3" t="s">
        <v>940</v>
      </c>
      <c r="B1553" s="3" t="s">
        <v>941</v>
      </c>
      <c r="C1553" s="3" t="s">
        <v>80</v>
      </c>
      <c r="D1553" s="3" t="s">
        <v>986</v>
      </c>
      <c r="E1553" s="3" t="s">
        <v>997</v>
      </c>
      <c r="F1553" s="3">
        <v>6.0</v>
      </c>
      <c r="G1553" s="4">
        <v>-27.82273</v>
      </c>
      <c r="H1553" s="4">
        <v>-48.56304</v>
      </c>
      <c r="I1553" s="5">
        <v>30.0</v>
      </c>
      <c r="J1553" s="5" t="s">
        <v>191</v>
      </c>
      <c r="K1553" s="5" t="s">
        <v>191</v>
      </c>
      <c r="L1553" s="3"/>
      <c r="M1553" s="5">
        <v>8.5</v>
      </c>
      <c r="N1553" s="5">
        <v>26.0</v>
      </c>
      <c r="O1553" s="5"/>
      <c r="P1553" s="3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</row>
    <row r="1554" ht="15.75" customHeight="1">
      <c r="A1554" s="3" t="s">
        <v>940</v>
      </c>
      <c r="B1554" s="3" t="s">
        <v>941</v>
      </c>
      <c r="C1554" s="3" t="s">
        <v>80</v>
      </c>
      <c r="D1554" s="3" t="s">
        <v>986</v>
      </c>
      <c r="E1554" s="3" t="s">
        <v>1002</v>
      </c>
      <c r="F1554" s="3">
        <v>7.0</v>
      </c>
      <c r="G1554" s="22">
        <v>-27.822778</v>
      </c>
      <c r="H1554" s="22">
        <v>-48.563056</v>
      </c>
      <c r="I1554" s="5">
        <v>1.0</v>
      </c>
      <c r="J1554" s="5" t="s">
        <v>324</v>
      </c>
      <c r="K1554" s="5" t="s">
        <v>324</v>
      </c>
      <c r="L1554" s="3"/>
      <c r="M1554" s="5">
        <v>9.0</v>
      </c>
      <c r="N1554" s="5">
        <v>71.0</v>
      </c>
      <c r="O1554" s="5"/>
      <c r="P1554" s="3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</row>
    <row r="1555" ht="15.75" customHeight="1">
      <c r="A1555" s="3" t="s">
        <v>940</v>
      </c>
      <c r="B1555" s="3" t="s">
        <v>941</v>
      </c>
      <c r="C1555" s="3" t="s">
        <v>80</v>
      </c>
      <c r="D1555" s="3" t="s">
        <v>986</v>
      </c>
      <c r="E1555" s="3" t="s">
        <v>1002</v>
      </c>
      <c r="F1555" s="3">
        <v>7.0</v>
      </c>
      <c r="G1555" s="22">
        <v>-27.822778</v>
      </c>
      <c r="H1555" s="22">
        <v>-48.563056</v>
      </c>
      <c r="I1555" s="5">
        <v>2.0</v>
      </c>
      <c r="J1555" s="5" t="s">
        <v>191</v>
      </c>
      <c r="K1555" s="5" t="s">
        <v>191</v>
      </c>
      <c r="L1555" s="3"/>
      <c r="M1555" s="5">
        <v>5.5</v>
      </c>
      <c r="N1555" s="5">
        <v>24.0</v>
      </c>
      <c r="O1555" s="5"/>
      <c r="P1555" s="3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</row>
    <row r="1556" ht="15.75" customHeight="1">
      <c r="A1556" s="3" t="s">
        <v>940</v>
      </c>
      <c r="B1556" s="3" t="s">
        <v>941</v>
      </c>
      <c r="C1556" s="3" t="s">
        <v>80</v>
      </c>
      <c r="D1556" s="3" t="s">
        <v>986</v>
      </c>
      <c r="E1556" s="3" t="s">
        <v>1002</v>
      </c>
      <c r="F1556" s="3">
        <v>7.0</v>
      </c>
      <c r="G1556" s="22">
        <v>-27.822778</v>
      </c>
      <c r="H1556" s="22">
        <v>-48.563056</v>
      </c>
      <c r="I1556" s="5">
        <v>3.0</v>
      </c>
      <c r="J1556" s="5" t="s">
        <v>324</v>
      </c>
      <c r="K1556" s="5" t="s">
        <v>324</v>
      </c>
      <c r="L1556" s="3"/>
      <c r="M1556" s="5">
        <v>10.0</v>
      </c>
      <c r="N1556" s="5">
        <v>64.5</v>
      </c>
      <c r="O1556" s="5"/>
      <c r="P1556" s="3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</row>
    <row r="1557" ht="15.75" customHeight="1">
      <c r="A1557" s="3" t="s">
        <v>940</v>
      </c>
      <c r="B1557" s="3" t="s">
        <v>941</v>
      </c>
      <c r="C1557" s="3" t="s">
        <v>80</v>
      </c>
      <c r="D1557" s="3" t="s">
        <v>986</v>
      </c>
      <c r="E1557" s="3" t="s">
        <v>1002</v>
      </c>
      <c r="F1557" s="3">
        <v>7.0</v>
      </c>
      <c r="G1557" s="22">
        <v>-27.822778</v>
      </c>
      <c r="H1557" s="22">
        <v>-48.563056</v>
      </c>
      <c r="I1557" s="5">
        <v>4.0</v>
      </c>
      <c r="J1557" s="5" t="s">
        <v>28</v>
      </c>
      <c r="K1557" s="5" t="s">
        <v>28</v>
      </c>
      <c r="L1557" s="3"/>
      <c r="M1557" s="5">
        <v>10.0</v>
      </c>
      <c r="N1557" s="5">
        <v>40.0</v>
      </c>
      <c r="O1557" s="5"/>
      <c r="P1557" s="3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</row>
    <row r="1558" ht="15.75" customHeight="1">
      <c r="A1558" s="3" t="s">
        <v>940</v>
      </c>
      <c r="B1558" s="3" t="s">
        <v>941</v>
      </c>
      <c r="C1558" s="3" t="s">
        <v>80</v>
      </c>
      <c r="D1558" s="3" t="s">
        <v>986</v>
      </c>
      <c r="E1558" s="3" t="s">
        <v>1002</v>
      </c>
      <c r="F1558" s="3">
        <v>7.0</v>
      </c>
      <c r="G1558" s="22">
        <v>-27.822778</v>
      </c>
      <c r="H1558" s="22">
        <v>-48.563056</v>
      </c>
      <c r="I1558" s="5">
        <v>5.0</v>
      </c>
      <c r="J1558" s="5" t="s">
        <v>324</v>
      </c>
      <c r="K1558" s="5" t="s">
        <v>324</v>
      </c>
      <c r="L1558" s="3"/>
      <c r="M1558" s="5">
        <v>12.0</v>
      </c>
      <c r="N1558" s="5">
        <v>95.0</v>
      </c>
      <c r="O1558" s="5"/>
      <c r="P1558" s="3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</row>
    <row r="1559" ht="15.75" customHeight="1">
      <c r="A1559" s="3" t="s">
        <v>940</v>
      </c>
      <c r="B1559" s="3" t="s">
        <v>941</v>
      </c>
      <c r="C1559" s="3" t="s">
        <v>80</v>
      </c>
      <c r="D1559" s="3" t="s">
        <v>986</v>
      </c>
      <c r="E1559" s="3" t="s">
        <v>1002</v>
      </c>
      <c r="F1559" s="3">
        <v>7.0</v>
      </c>
      <c r="G1559" s="22">
        <v>-27.822778</v>
      </c>
      <c r="H1559" s="22">
        <v>-48.563056</v>
      </c>
      <c r="I1559" s="5">
        <v>6.0</v>
      </c>
      <c r="J1559" s="5" t="s">
        <v>324</v>
      </c>
      <c r="K1559" s="5" t="s">
        <v>324</v>
      </c>
      <c r="L1559" s="3"/>
      <c r="M1559" s="5">
        <v>9.0</v>
      </c>
      <c r="N1559" s="5">
        <v>45.0</v>
      </c>
      <c r="O1559" s="5"/>
      <c r="P1559" s="3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</row>
    <row r="1560" ht="15.75" customHeight="1">
      <c r="A1560" s="3" t="s">
        <v>940</v>
      </c>
      <c r="B1560" s="3" t="s">
        <v>941</v>
      </c>
      <c r="C1560" s="3" t="s">
        <v>80</v>
      </c>
      <c r="D1560" s="3" t="s">
        <v>986</v>
      </c>
      <c r="E1560" s="3" t="s">
        <v>1002</v>
      </c>
      <c r="F1560" s="3">
        <v>7.0</v>
      </c>
      <c r="G1560" s="22">
        <v>-27.822778</v>
      </c>
      <c r="H1560" s="22">
        <v>-48.563056</v>
      </c>
      <c r="I1560" s="5">
        <v>7.0</v>
      </c>
      <c r="J1560" s="5" t="s">
        <v>324</v>
      </c>
      <c r="K1560" s="5" t="s">
        <v>324</v>
      </c>
      <c r="L1560" s="3"/>
      <c r="M1560" s="5">
        <v>10.0</v>
      </c>
      <c r="N1560" s="5">
        <v>70.5</v>
      </c>
      <c r="O1560" s="5"/>
      <c r="P1560" s="3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</row>
    <row r="1561" ht="15.75" customHeight="1">
      <c r="A1561" s="3" t="s">
        <v>940</v>
      </c>
      <c r="B1561" s="3" t="s">
        <v>941</v>
      </c>
      <c r="C1561" s="3" t="s">
        <v>80</v>
      </c>
      <c r="D1561" s="3" t="s">
        <v>986</v>
      </c>
      <c r="E1561" s="3" t="s">
        <v>1002</v>
      </c>
      <c r="F1561" s="3">
        <v>7.0</v>
      </c>
      <c r="G1561" s="22">
        <v>-27.822778</v>
      </c>
      <c r="H1561" s="22">
        <v>-48.563056</v>
      </c>
      <c r="I1561" s="5">
        <v>8.0</v>
      </c>
      <c r="J1561" s="19" t="s">
        <v>836</v>
      </c>
      <c r="K1561" s="5" t="s">
        <v>315</v>
      </c>
      <c r="L1561" s="3"/>
      <c r="M1561" s="5">
        <v>8.0</v>
      </c>
      <c r="N1561" s="5" t="s">
        <v>1003</v>
      </c>
      <c r="O1561" s="5"/>
      <c r="P1561" s="5" t="s">
        <v>1004</v>
      </c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</row>
    <row r="1562" ht="15.75" customHeight="1">
      <c r="A1562" s="3" t="s">
        <v>940</v>
      </c>
      <c r="B1562" s="3" t="s">
        <v>941</v>
      </c>
      <c r="C1562" s="3" t="s">
        <v>80</v>
      </c>
      <c r="D1562" s="3" t="s">
        <v>986</v>
      </c>
      <c r="E1562" s="3" t="s">
        <v>1002</v>
      </c>
      <c r="F1562" s="3">
        <v>7.0</v>
      </c>
      <c r="G1562" s="22">
        <v>-27.822778</v>
      </c>
      <c r="H1562" s="22">
        <v>-48.563056</v>
      </c>
      <c r="I1562" s="5">
        <v>9.0</v>
      </c>
      <c r="J1562" s="5" t="s">
        <v>323</v>
      </c>
      <c r="K1562" s="5" t="s">
        <v>323</v>
      </c>
      <c r="L1562" s="3"/>
      <c r="M1562" s="5">
        <v>9.0</v>
      </c>
      <c r="N1562" s="5">
        <v>53.0</v>
      </c>
      <c r="O1562" s="5"/>
      <c r="P1562" s="3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</row>
    <row r="1563" ht="15.75" customHeight="1">
      <c r="A1563" s="3" t="s">
        <v>940</v>
      </c>
      <c r="B1563" s="3" t="s">
        <v>941</v>
      </c>
      <c r="C1563" s="3" t="s">
        <v>80</v>
      </c>
      <c r="D1563" s="3" t="s">
        <v>986</v>
      </c>
      <c r="E1563" s="3" t="s">
        <v>1002</v>
      </c>
      <c r="F1563" s="3">
        <v>7.0</v>
      </c>
      <c r="G1563" s="22">
        <v>-27.822778</v>
      </c>
      <c r="H1563" s="22">
        <v>-48.563056</v>
      </c>
      <c r="I1563" s="5">
        <v>10.0</v>
      </c>
      <c r="J1563" s="19" t="s">
        <v>836</v>
      </c>
      <c r="K1563" s="5" t="s">
        <v>315</v>
      </c>
      <c r="L1563" s="3"/>
      <c r="M1563" s="5">
        <v>9.0</v>
      </c>
      <c r="N1563" s="5" t="s">
        <v>1005</v>
      </c>
      <c r="O1563" s="5" t="s">
        <v>1006</v>
      </c>
      <c r="P1563" s="3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</row>
    <row r="1564" ht="15.75" customHeight="1">
      <c r="A1564" s="3" t="s">
        <v>940</v>
      </c>
      <c r="B1564" s="3" t="s">
        <v>941</v>
      </c>
      <c r="C1564" s="3" t="s">
        <v>80</v>
      </c>
      <c r="D1564" s="3" t="s">
        <v>986</v>
      </c>
      <c r="E1564" s="3" t="s">
        <v>1002</v>
      </c>
      <c r="F1564" s="3">
        <v>7.0</v>
      </c>
      <c r="G1564" s="22">
        <v>-27.822778</v>
      </c>
      <c r="H1564" s="22">
        <v>-48.563056</v>
      </c>
      <c r="I1564" s="5">
        <v>11.0</v>
      </c>
      <c r="J1564" s="5" t="s">
        <v>324</v>
      </c>
      <c r="K1564" s="5" t="s">
        <v>324</v>
      </c>
      <c r="L1564" s="3"/>
      <c r="M1564" s="5">
        <v>10.0</v>
      </c>
      <c r="N1564" s="5">
        <v>60.5</v>
      </c>
      <c r="O1564" s="5"/>
      <c r="P1564" s="3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</row>
    <row r="1565" ht="15.75" customHeight="1">
      <c r="A1565" s="3" t="s">
        <v>940</v>
      </c>
      <c r="B1565" s="3" t="s">
        <v>941</v>
      </c>
      <c r="C1565" s="3" t="s">
        <v>80</v>
      </c>
      <c r="D1565" s="3" t="s">
        <v>986</v>
      </c>
      <c r="E1565" s="3" t="s">
        <v>1002</v>
      </c>
      <c r="F1565" s="3">
        <v>7.0</v>
      </c>
      <c r="G1565" s="22">
        <v>-27.822778</v>
      </c>
      <c r="H1565" s="22">
        <v>-48.563056</v>
      </c>
      <c r="I1565" s="5">
        <v>12.0</v>
      </c>
      <c r="J1565" s="5" t="s">
        <v>947</v>
      </c>
      <c r="K1565" s="5" t="s">
        <v>947</v>
      </c>
      <c r="L1565" s="3"/>
      <c r="M1565" s="5">
        <v>5.0</v>
      </c>
      <c r="N1565" s="5">
        <v>22.0</v>
      </c>
      <c r="O1565" s="5"/>
      <c r="P1565" s="3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</row>
    <row r="1566" ht="15.75" customHeight="1">
      <c r="A1566" s="3" t="s">
        <v>940</v>
      </c>
      <c r="B1566" s="3" t="s">
        <v>941</v>
      </c>
      <c r="C1566" s="3" t="s">
        <v>80</v>
      </c>
      <c r="D1566" s="3" t="s">
        <v>986</v>
      </c>
      <c r="E1566" s="3" t="s">
        <v>1002</v>
      </c>
      <c r="F1566" s="3">
        <v>7.0</v>
      </c>
      <c r="G1566" s="22">
        <v>-27.822778</v>
      </c>
      <c r="H1566" s="22">
        <v>-48.563056</v>
      </c>
      <c r="I1566" s="5">
        <v>13.0</v>
      </c>
      <c r="J1566" s="19" t="s">
        <v>836</v>
      </c>
      <c r="K1566" s="5" t="s">
        <v>315</v>
      </c>
      <c r="L1566" s="3"/>
      <c r="M1566" s="5">
        <v>6.0</v>
      </c>
      <c r="N1566" s="5">
        <v>22.0</v>
      </c>
      <c r="O1566" s="5"/>
      <c r="P1566" s="5" t="s">
        <v>1007</v>
      </c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</row>
    <row r="1567" ht="15.75" customHeight="1">
      <c r="A1567" s="3" t="s">
        <v>940</v>
      </c>
      <c r="B1567" s="3" t="s">
        <v>941</v>
      </c>
      <c r="C1567" s="3" t="s">
        <v>80</v>
      </c>
      <c r="D1567" s="3" t="s">
        <v>986</v>
      </c>
      <c r="E1567" s="3" t="s">
        <v>1002</v>
      </c>
      <c r="F1567" s="3">
        <v>7.0</v>
      </c>
      <c r="G1567" s="22">
        <v>-27.822778</v>
      </c>
      <c r="H1567" s="22">
        <v>-48.563056</v>
      </c>
      <c r="I1567" s="5">
        <v>14.0</v>
      </c>
      <c r="J1567" s="20" t="s">
        <v>395</v>
      </c>
      <c r="K1567" s="5" t="s">
        <v>315</v>
      </c>
      <c r="L1567" s="3"/>
      <c r="M1567" s="5"/>
      <c r="N1567" s="5"/>
      <c r="O1567" s="5"/>
      <c r="P1567" s="3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</row>
    <row r="1568" ht="15.75" customHeight="1">
      <c r="A1568" s="3" t="s">
        <v>940</v>
      </c>
      <c r="B1568" s="3" t="s">
        <v>941</v>
      </c>
      <c r="C1568" s="3" t="s">
        <v>80</v>
      </c>
      <c r="D1568" s="3" t="s">
        <v>986</v>
      </c>
      <c r="E1568" s="3" t="s">
        <v>1002</v>
      </c>
      <c r="F1568" s="3">
        <v>7.0</v>
      </c>
      <c r="G1568" s="22">
        <v>-27.822778</v>
      </c>
      <c r="H1568" s="22">
        <v>-48.563056</v>
      </c>
      <c r="I1568" s="5">
        <v>15.0</v>
      </c>
      <c r="J1568" s="5" t="s">
        <v>947</v>
      </c>
      <c r="K1568" s="5" t="s">
        <v>947</v>
      </c>
      <c r="L1568" s="3"/>
      <c r="M1568" s="5">
        <v>7.5</v>
      </c>
      <c r="N1568" s="5" t="s">
        <v>1008</v>
      </c>
      <c r="O1568" s="5"/>
      <c r="P1568" s="3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</row>
    <row r="1569" ht="15.75" customHeight="1">
      <c r="A1569" s="3" t="s">
        <v>940</v>
      </c>
      <c r="B1569" s="3" t="s">
        <v>941</v>
      </c>
      <c r="C1569" s="3" t="s">
        <v>80</v>
      </c>
      <c r="D1569" s="3" t="s">
        <v>986</v>
      </c>
      <c r="E1569" s="3" t="s">
        <v>1002</v>
      </c>
      <c r="F1569" s="3">
        <v>7.0</v>
      </c>
      <c r="G1569" s="22">
        <v>-27.822778</v>
      </c>
      <c r="H1569" s="22">
        <v>-48.563056</v>
      </c>
      <c r="I1569" s="5">
        <v>16.0</v>
      </c>
      <c r="J1569" s="5" t="s">
        <v>98</v>
      </c>
      <c r="K1569" s="5" t="s">
        <v>98</v>
      </c>
      <c r="L1569" s="3"/>
      <c r="M1569" s="5">
        <v>12.0</v>
      </c>
      <c r="N1569" s="5">
        <v>93.0</v>
      </c>
      <c r="O1569" s="5"/>
      <c r="P1569" s="3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</row>
    <row r="1570" ht="15.75" customHeight="1">
      <c r="A1570" s="3" t="s">
        <v>940</v>
      </c>
      <c r="B1570" s="3" t="s">
        <v>941</v>
      </c>
      <c r="C1570" s="3" t="s">
        <v>80</v>
      </c>
      <c r="D1570" s="3" t="s">
        <v>986</v>
      </c>
      <c r="E1570" s="3" t="s">
        <v>1009</v>
      </c>
      <c r="F1570" s="3">
        <v>8.0</v>
      </c>
      <c r="G1570" s="4">
        <v>-27.82319</v>
      </c>
      <c r="H1570" s="4">
        <v>-48.56353</v>
      </c>
      <c r="I1570" s="5">
        <v>1.0</v>
      </c>
      <c r="J1570" s="5" t="s">
        <v>104</v>
      </c>
      <c r="K1570" s="5" t="s">
        <v>104</v>
      </c>
      <c r="L1570" s="3"/>
      <c r="M1570" s="5">
        <v>12.0</v>
      </c>
      <c r="N1570" s="5">
        <v>42.0</v>
      </c>
      <c r="O1570" s="5"/>
      <c r="P1570" s="3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</row>
    <row r="1571" ht="15.75" customHeight="1">
      <c r="A1571" s="3" t="s">
        <v>940</v>
      </c>
      <c r="B1571" s="3" t="s">
        <v>941</v>
      </c>
      <c r="C1571" s="3" t="s">
        <v>80</v>
      </c>
      <c r="D1571" s="3" t="s">
        <v>986</v>
      </c>
      <c r="E1571" s="3" t="s">
        <v>1009</v>
      </c>
      <c r="F1571" s="3">
        <v>8.0</v>
      </c>
      <c r="G1571" s="4">
        <v>-27.82319</v>
      </c>
      <c r="H1571" s="4">
        <v>-48.56353</v>
      </c>
      <c r="I1571" s="5">
        <v>2.0</v>
      </c>
      <c r="J1571" s="5" t="s">
        <v>104</v>
      </c>
      <c r="K1571" s="5" t="s">
        <v>104</v>
      </c>
      <c r="L1571" s="3"/>
      <c r="M1571" s="5">
        <v>11.5</v>
      </c>
      <c r="N1571" s="5">
        <v>40.0</v>
      </c>
      <c r="O1571" s="5"/>
      <c r="P1571" s="3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</row>
    <row r="1572" ht="15.75" customHeight="1">
      <c r="A1572" s="3" t="s">
        <v>940</v>
      </c>
      <c r="B1572" s="3" t="s">
        <v>941</v>
      </c>
      <c r="C1572" s="3" t="s">
        <v>80</v>
      </c>
      <c r="D1572" s="3" t="s">
        <v>986</v>
      </c>
      <c r="E1572" s="3" t="s">
        <v>1009</v>
      </c>
      <c r="F1572" s="3">
        <v>8.0</v>
      </c>
      <c r="G1572" s="4">
        <v>-27.82319</v>
      </c>
      <c r="H1572" s="4">
        <v>-48.56353</v>
      </c>
      <c r="I1572" s="5">
        <v>3.0</v>
      </c>
      <c r="J1572" s="5" t="s">
        <v>947</v>
      </c>
      <c r="K1572" s="5" t="s">
        <v>947</v>
      </c>
      <c r="L1572" s="3"/>
      <c r="M1572" s="5">
        <v>7.0</v>
      </c>
      <c r="N1572" s="5" t="s">
        <v>1010</v>
      </c>
      <c r="O1572" s="5" t="s">
        <v>1011</v>
      </c>
      <c r="P1572" s="3" t="s">
        <v>90</v>
      </c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</row>
    <row r="1573" ht="15.75" customHeight="1">
      <c r="A1573" s="3" t="s">
        <v>940</v>
      </c>
      <c r="B1573" s="3" t="s">
        <v>941</v>
      </c>
      <c r="C1573" s="3" t="s">
        <v>80</v>
      </c>
      <c r="D1573" s="3" t="s">
        <v>986</v>
      </c>
      <c r="E1573" s="3" t="s">
        <v>1009</v>
      </c>
      <c r="F1573" s="3">
        <v>8.0</v>
      </c>
      <c r="G1573" s="4">
        <v>-27.82319</v>
      </c>
      <c r="H1573" s="4">
        <v>-48.56353</v>
      </c>
      <c r="I1573" s="5">
        <v>4.0</v>
      </c>
      <c r="J1573" s="5" t="s">
        <v>191</v>
      </c>
      <c r="K1573" s="5" t="s">
        <v>191</v>
      </c>
      <c r="L1573" s="3"/>
      <c r="M1573" s="5">
        <v>9.0</v>
      </c>
      <c r="N1573" s="5">
        <v>21.5</v>
      </c>
      <c r="O1573" s="5"/>
      <c r="P1573" s="3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</row>
    <row r="1574" ht="15.75" customHeight="1">
      <c r="A1574" s="3" t="s">
        <v>940</v>
      </c>
      <c r="B1574" s="3" t="s">
        <v>941</v>
      </c>
      <c r="C1574" s="3" t="s">
        <v>80</v>
      </c>
      <c r="D1574" s="3" t="s">
        <v>986</v>
      </c>
      <c r="E1574" s="3" t="s">
        <v>1009</v>
      </c>
      <c r="F1574" s="3">
        <v>8.0</v>
      </c>
      <c r="G1574" s="4">
        <v>-27.82319</v>
      </c>
      <c r="H1574" s="4">
        <v>-48.56353</v>
      </c>
      <c r="I1574" s="5">
        <v>5.0</v>
      </c>
      <c r="J1574" s="5" t="s">
        <v>191</v>
      </c>
      <c r="K1574" s="5" t="s">
        <v>191</v>
      </c>
      <c r="L1574" s="3"/>
      <c r="M1574" s="5">
        <v>7.0</v>
      </c>
      <c r="N1574" s="5">
        <v>24.5</v>
      </c>
      <c r="O1574" s="5"/>
      <c r="P1574" s="3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</row>
    <row r="1575" ht="15.75" customHeight="1">
      <c r="A1575" s="3" t="s">
        <v>940</v>
      </c>
      <c r="B1575" s="3" t="s">
        <v>941</v>
      </c>
      <c r="C1575" s="3" t="s">
        <v>80</v>
      </c>
      <c r="D1575" s="3" t="s">
        <v>986</v>
      </c>
      <c r="E1575" s="3" t="s">
        <v>1009</v>
      </c>
      <c r="F1575" s="3">
        <v>8.0</v>
      </c>
      <c r="G1575" s="4">
        <v>-27.82319</v>
      </c>
      <c r="H1575" s="4">
        <v>-48.56353</v>
      </c>
      <c r="I1575" s="5">
        <v>6.0</v>
      </c>
      <c r="J1575" s="5" t="s">
        <v>31</v>
      </c>
      <c r="K1575" s="5" t="s">
        <v>31</v>
      </c>
      <c r="L1575" s="3"/>
      <c r="M1575" s="5">
        <v>10.0</v>
      </c>
      <c r="N1575" s="5" t="s">
        <v>1012</v>
      </c>
      <c r="O1575" s="5"/>
      <c r="P1575" s="3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</row>
    <row r="1576" ht="15.75" customHeight="1">
      <c r="A1576" s="3" t="s">
        <v>940</v>
      </c>
      <c r="B1576" s="3" t="s">
        <v>941</v>
      </c>
      <c r="C1576" s="3" t="s">
        <v>80</v>
      </c>
      <c r="D1576" s="3" t="s">
        <v>986</v>
      </c>
      <c r="E1576" s="3" t="s">
        <v>1009</v>
      </c>
      <c r="F1576" s="3">
        <v>8.0</v>
      </c>
      <c r="G1576" s="4">
        <v>-27.82319</v>
      </c>
      <c r="H1576" s="4">
        <v>-48.56353</v>
      </c>
      <c r="I1576" s="5">
        <v>7.0</v>
      </c>
      <c r="J1576" s="5" t="s">
        <v>191</v>
      </c>
      <c r="K1576" s="5" t="s">
        <v>191</v>
      </c>
      <c r="L1576" s="3"/>
      <c r="M1576" s="5">
        <v>6.0</v>
      </c>
      <c r="N1576" s="5">
        <v>23.0</v>
      </c>
      <c r="O1576" s="5"/>
      <c r="P1576" s="3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</row>
    <row r="1577" ht="15.75" customHeight="1">
      <c r="A1577" s="3" t="s">
        <v>940</v>
      </c>
      <c r="B1577" s="3" t="s">
        <v>941</v>
      </c>
      <c r="C1577" s="3" t="s">
        <v>80</v>
      </c>
      <c r="D1577" s="3" t="s">
        <v>986</v>
      </c>
      <c r="E1577" s="3" t="s">
        <v>1009</v>
      </c>
      <c r="F1577" s="3">
        <v>8.0</v>
      </c>
      <c r="G1577" s="4">
        <v>-27.82319</v>
      </c>
      <c r="H1577" s="4">
        <v>-48.56353</v>
      </c>
      <c r="I1577" s="5">
        <v>8.0</v>
      </c>
      <c r="J1577" s="5" t="s">
        <v>56</v>
      </c>
      <c r="K1577" s="5" t="s">
        <v>56</v>
      </c>
      <c r="L1577" s="3"/>
      <c r="M1577" s="5">
        <v>6.0</v>
      </c>
      <c r="N1577" s="5">
        <v>26.0</v>
      </c>
      <c r="O1577" s="5"/>
      <c r="P1577" s="3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</row>
    <row r="1578" ht="15.75" customHeight="1">
      <c r="A1578" s="3" t="s">
        <v>940</v>
      </c>
      <c r="B1578" s="3" t="s">
        <v>941</v>
      </c>
      <c r="C1578" s="3" t="s">
        <v>80</v>
      </c>
      <c r="D1578" s="3" t="s">
        <v>986</v>
      </c>
      <c r="E1578" s="3" t="s">
        <v>1009</v>
      </c>
      <c r="F1578" s="3">
        <v>8.0</v>
      </c>
      <c r="G1578" s="4">
        <v>-27.82319</v>
      </c>
      <c r="H1578" s="4">
        <v>-48.56353</v>
      </c>
      <c r="I1578" s="5">
        <v>9.0</v>
      </c>
      <c r="J1578" s="5" t="s">
        <v>28</v>
      </c>
      <c r="K1578" s="5" t="s">
        <v>28</v>
      </c>
      <c r="L1578" s="3"/>
      <c r="M1578" s="5">
        <v>8.0</v>
      </c>
      <c r="N1578" s="5" t="s">
        <v>1013</v>
      </c>
      <c r="O1578" s="5"/>
      <c r="P1578" s="3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</row>
    <row r="1579" ht="15.75" customHeight="1">
      <c r="A1579" s="3" t="s">
        <v>940</v>
      </c>
      <c r="B1579" s="3" t="s">
        <v>941</v>
      </c>
      <c r="C1579" s="3" t="s">
        <v>80</v>
      </c>
      <c r="D1579" s="3" t="s">
        <v>986</v>
      </c>
      <c r="E1579" s="3" t="s">
        <v>1009</v>
      </c>
      <c r="F1579" s="3">
        <v>8.0</v>
      </c>
      <c r="G1579" s="4">
        <v>-27.82319</v>
      </c>
      <c r="H1579" s="4">
        <v>-48.56353</v>
      </c>
      <c r="I1579" s="5">
        <v>10.0</v>
      </c>
      <c r="J1579" s="5" t="s">
        <v>1014</v>
      </c>
      <c r="K1579" s="5" t="s">
        <v>60</v>
      </c>
      <c r="L1579" s="3"/>
      <c r="M1579" s="5">
        <v>11.0</v>
      </c>
      <c r="N1579" s="5">
        <v>100.0</v>
      </c>
      <c r="O1579" s="5" t="s">
        <v>1015</v>
      </c>
      <c r="P1579" s="3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</row>
    <row r="1580" ht="15.75" customHeight="1">
      <c r="A1580" s="3" t="s">
        <v>940</v>
      </c>
      <c r="B1580" s="3" t="s">
        <v>941</v>
      </c>
      <c r="C1580" s="3" t="s">
        <v>80</v>
      </c>
      <c r="D1580" s="3" t="s">
        <v>986</v>
      </c>
      <c r="E1580" s="3" t="s">
        <v>1009</v>
      </c>
      <c r="F1580" s="3">
        <v>8.0</v>
      </c>
      <c r="G1580" s="4">
        <v>-27.82319</v>
      </c>
      <c r="H1580" s="4">
        <v>-48.56353</v>
      </c>
      <c r="I1580" s="5">
        <v>11.0</v>
      </c>
      <c r="J1580" s="5" t="s">
        <v>97</v>
      </c>
      <c r="K1580" s="5" t="s">
        <v>97</v>
      </c>
      <c r="L1580" s="3"/>
      <c r="M1580" s="5">
        <v>7.0</v>
      </c>
      <c r="N1580" s="5">
        <v>16.0</v>
      </c>
      <c r="O1580" s="5"/>
      <c r="P1580" s="3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</row>
    <row r="1581" ht="15.75" customHeight="1">
      <c r="A1581" s="3" t="s">
        <v>940</v>
      </c>
      <c r="B1581" s="3" t="s">
        <v>941</v>
      </c>
      <c r="C1581" s="3" t="s">
        <v>80</v>
      </c>
      <c r="D1581" s="3" t="s">
        <v>986</v>
      </c>
      <c r="E1581" s="3" t="s">
        <v>1009</v>
      </c>
      <c r="F1581" s="3">
        <v>8.0</v>
      </c>
      <c r="G1581" s="4">
        <v>-27.82319</v>
      </c>
      <c r="H1581" s="4">
        <v>-48.56353</v>
      </c>
      <c r="I1581" s="5">
        <v>12.0</v>
      </c>
      <c r="J1581" s="5" t="s">
        <v>191</v>
      </c>
      <c r="K1581" s="5" t="s">
        <v>191</v>
      </c>
      <c r="L1581" s="3"/>
      <c r="M1581" s="5">
        <v>5.0</v>
      </c>
      <c r="N1581" s="5">
        <v>15.0</v>
      </c>
      <c r="O1581" s="5"/>
      <c r="P1581" s="3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</row>
    <row r="1582" ht="15.75" customHeight="1">
      <c r="A1582" s="3" t="s">
        <v>940</v>
      </c>
      <c r="B1582" s="3" t="s">
        <v>941</v>
      </c>
      <c r="C1582" s="3" t="s">
        <v>80</v>
      </c>
      <c r="D1582" s="3" t="s">
        <v>986</v>
      </c>
      <c r="E1582" s="3" t="s">
        <v>1009</v>
      </c>
      <c r="F1582" s="3">
        <v>8.0</v>
      </c>
      <c r="G1582" s="4">
        <v>-27.82319</v>
      </c>
      <c r="H1582" s="4">
        <v>-48.56353</v>
      </c>
      <c r="I1582" s="5">
        <v>13.0</v>
      </c>
      <c r="J1582" s="5" t="s">
        <v>104</v>
      </c>
      <c r="K1582" s="5" t="s">
        <v>104</v>
      </c>
      <c r="L1582" s="3"/>
      <c r="M1582" s="5">
        <v>10.0</v>
      </c>
      <c r="N1582" s="5" t="s">
        <v>1016</v>
      </c>
      <c r="O1582" s="5"/>
      <c r="P1582" s="3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</row>
    <row r="1583" ht="15.75" customHeight="1">
      <c r="A1583" s="3" t="s">
        <v>940</v>
      </c>
      <c r="B1583" s="3" t="s">
        <v>941</v>
      </c>
      <c r="C1583" s="3" t="s">
        <v>80</v>
      </c>
      <c r="D1583" s="3" t="s">
        <v>986</v>
      </c>
      <c r="E1583" s="3" t="s">
        <v>1009</v>
      </c>
      <c r="F1583" s="3">
        <v>8.0</v>
      </c>
      <c r="G1583" s="4">
        <v>-27.82319</v>
      </c>
      <c r="H1583" s="4">
        <v>-48.56353</v>
      </c>
      <c r="I1583" s="5">
        <v>14.0</v>
      </c>
      <c r="J1583" s="5" t="s">
        <v>323</v>
      </c>
      <c r="K1583" s="5" t="s">
        <v>323</v>
      </c>
      <c r="L1583" s="3"/>
      <c r="M1583" s="5">
        <v>10.0</v>
      </c>
      <c r="N1583" s="5">
        <v>40.0</v>
      </c>
      <c r="O1583" s="5"/>
      <c r="P1583" s="3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</row>
    <row r="1584" ht="15.75" customHeight="1">
      <c r="A1584" s="3" t="s">
        <v>940</v>
      </c>
      <c r="B1584" s="3" t="s">
        <v>941</v>
      </c>
      <c r="C1584" s="3" t="s">
        <v>80</v>
      </c>
      <c r="D1584" s="3" t="s">
        <v>986</v>
      </c>
      <c r="E1584" s="3" t="s">
        <v>1009</v>
      </c>
      <c r="F1584" s="3">
        <v>8.0</v>
      </c>
      <c r="G1584" s="4">
        <v>-27.82319</v>
      </c>
      <c r="H1584" s="4">
        <v>-48.56353</v>
      </c>
      <c r="I1584" s="5">
        <v>15.0</v>
      </c>
      <c r="J1584" s="5" t="s">
        <v>31</v>
      </c>
      <c r="K1584" s="5" t="s">
        <v>31</v>
      </c>
      <c r="L1584" s="3"/>
      <c r="M1584" s="5">
        <v>9.0</v>
      </c>
      <c r="N1584" s="5">
        <v>19.5</v>
      </c>
      <c r="O1584" s="5"/>
      <c r="P1584" s="3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</row>
    <row r="1585" ht="15.75" customHeight="1">
      <c r="A1585" s="3" t="s">
        <v>940</v>
      </c>
      <c r="B1585" s="3" t="s">
        <v>941</v>
      </c>
      <c r="C1585" s="3" t="s">
        <v>80</v>
      </c>
      <c r="D1585" s="3" t="s">
        <v>986</v>
      </c>
      <c r="E1585" s="3" t="s">
        <v>1009</v>
      </c>
      <c r="F1585" s="3">
        <v>8.0</v>
      </c>
      <c r="G1585" s="4">
        <v>-27.82319</v>
      </c>
      <c r="H1585" s="4">
        <v>-48.56353</v>
      </c>
      <c r="I1585" s="5">
        <v>16.0</v>
      </c>
      <c r="J1585" s="5" t="s">
        <v>191</v>
      </c>
      <c r="K1585" s="5" t="s">
        <v>191</v>
      </c>
      <c r="L1585" s="3"/>
      <c r="M1585" s="5">
        <v>5.0</v>
      </c>
      <c r="N1585" s="5">
        <v>15.5</v>
      </c>
      <c r="O1585" s="5"/>
      <c r="P1585" s="3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</row>
    <row r="1586" ht="15.75" customHeight="1">
      <c r="A1586" s="3" t="s">
        <v>940</v>
      </c>
      <c r="B1586" s="3" t="s">
        <v>941</v>
      </c>
      <c r="C1586" s="3" t="s">
        <v>80</v>
      </c>
      <c r="D1586" s="3" t="s">
        <v>986</v>
      </c>
      <c r="E1586" s="3" t="s">
        <v>1009</v>
      </c>
      <c r="F1586" s="3">
        <v>8.0</v>
      </c>
      <c r="G1586" s="4">
        <v>-27.82319</v>
      </c>
      <c r="H1586" s="4">
        <v>-48.56353</v>
      </c>
      <c r="I1586" s="5">
        <v>17.0</v>
      </c>
      <c r="J1586" s="5" t="s">
        <v>104</v>
      </c>
      <c r="K1586" s="5" t="s">
        <v>104</v>
      </c>
      <c r="L1586" s="3"/>
      <c r="M1586" s="5">
        <v>9.0</v>
      </c>
      <c r="N1586" s="5">
        <v>30.0</v>
      </c>
      <c r="O1586" s="5"/>
      <c r="P1586" s="3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</row>
    <row r="1587" ht="15.75" customHeight="1">
      <c r="A1587" s="3" t="s">
        <v>940</v>
      </c>
      <c r="B1587" s="3" t="s">
        <v>941</v>
      </c>
      <c r="C1587" s="3" t="s">
        <v>80</v>
      </c>
      <c r="D1587" s="3" t="s">
        <v>986</v>
      </c>
      <c r="E1587" s="3" t="s">
        <v>1009</v>
      </c>
      <c r="F1587" s="3">
        <v>8.0</v>
      </c>
      <c r="G1587" s="4">
        <v>-27.82319</v>
      </c>
      <c r="H1587" s="4">
        <v>-48.56353</v>
      </c>
      <c r="I1587" s="5">
        <v>18.0</v>
      </c>
      <c r="J1587" s="5" t="s">
        <v>30</v>
      </c>
      <c r="K1587" s="5" t="s">
        <v>30</v>
      </c>
      <c r="L1587" s="3"/>
      <c r="M1587" s="5">
        <v>7.5</v>
      </c>
      <c r="N1587" s="5">
        <v>22.5</v>
      </c>
      <c r="O1587" s="5"/>
      <c r="P1587" s="3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</row>
    <row r="1588" ht="15.75" customHeight="1">
      <c r="A1588" s="3" t="s">
        <v>940</v>
      </c>
      <c r="B1588" s="3" t="s">
        <v>941</v>
      </c>
      <c r="C1588" s="3" t="s">
        <v>80</v>
      </c>
      <c r="D1588" s="3" t="s">
        <v>986</v>
      </c>
      <c r="E1588" s="3" t="s">
        <v>1009</v>
      </c>
      <c r="F1588" s="3">
        <v>8.0</v>
      </c>
      <c r="G1588" s="4">
        <v>-27.82319</v>
      </c>
      <c r="H1588" s="4">
        <v>-48.56353</v>
      </c>
      <c r="I1588" s="5">
        <v>19.0</v>
      </c>
      <c r="J1588" s="5" t="s">
        <v>191</v>
      </c>
      <c r="K1588" s="5" t="s">
        <v>191</v>
      </c>
      <c r="L1588" s="3"/>
      <c r="M1588" s="5">
        <v>11.0</v>
      </c>
      <c r="N1588" s="5">
        <v>32.0</v>
      </c>
      <c r="O1588" s="5"/>
      <c r="P1588" s="3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</row>
    <row r="1589" ht="15.75" customHeight="1">
      <c r="A1589" s="3" t="s">
        <v>940</v>
      </c>
      <c r="B1589" s="3" t="s">
        <v>941</v>
      </c>
      <c r="C1589" s="3" t="s">
        <v>80</v>
      </c>
      <c r="D1589" s="3" t="s">
        <v>986</v>
      </c>
      <c r="E1589" s="3" t="s">
        <v>1009</v>
      </c>
      <c r="F1589" s="3">
        <v>8.0</v>
      </c>
      <c r="G1589" s="4">
        <v>-27.82319</v>
      </c>
      <c r="H1589" s="4">
        <v>-48.56353</v>
      </c>
      <c r="I1589" s="5">
        <v>20.0</v>
      </c>
      <c r="J1589" s="5" t="s">
        <v>191</v>
      </c>
      <c r="K1589" s="5" t="s">
        <v>191</v>
      </c>
      <c r="L1589" s="3"/>
      <c r="M1589" s="5">
        <v>5.0</v>
      </c>
      <c r="N1589" s="5">
        <v>15.5</v>
      </c>
      <c r="O1589" s="5"/>
      <c r="P1589" s="3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</row>
    <row r="1590" ht="15.75" customHeight="1">
      <c r="A1590" s="3" t="s">
        <v>940</v>
      </c>
      <c r="B1590" s="3" t="s">
        <v>941</v>
      </c>
      <c r="C1590" s="3" t="s">
        <v>80</v>
      </c>
      <c r="D1590" s="3" t="s">
        <v>986</v>
      </c>
      <c r="E1590" s="3" t="s">
        <v>1009</v>
      </c>
      <c r="F1590" s="3">
        <v>8.0</v>
      </c>
      <c r="G1590" s="4">
        <v>-27.82319</v>
      </c>
      <c r="H1590" s="4">
        <v>-48.56353</v>
      </c>
      <c r="I1590" s="5">
        <v>21.0</v>
      </c>
      <c r="J1590" s="5" t="s">
        <v>910</v>
      </c>
      <c r="K1590" s="5" t="s">
        <v>911</v>
      </c>
      <c r="L1590" s="3"/>
      <c r="M1590" s="5">
        <v>11.0</v>
      </c>
      <c r="N1590" s="5">
        <v>63.0</v>
      </c>
      <c r="O1590" s="5"/>
      <c r="P1590" s="3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</row>
    <row r="1591" ht="15.75" customHeight="1">
      <c r="A1591" s="3" t="s">
        <v>940</v>
      </c>
      <c r="B1591" s="3" t="s">
        <v>941</v>
      </c>
      <c r="C1591" s="3" t="s">
        <v>80</v>
      </c>
      <c r="D1591" s="3" t="s">
        <v>986</v>
      </c>
      <c r="E1591" s="3" t="s">
        <v>1009</v>
      </c>
      <c r="F1591" s="3">
        <v>8.0</v>
      </c>
      <c r="G1591" s="4">
        <v>-27.82319</v>
      </c>
      <c r="H1591" s="4">
        <v>-48.56353</v>
      </c>
      <c r="I1591" s="5">
        <v>22.0</v>
      </c>
      <c r="J1591" s="5" t="s">
        <v>191</v>
      </c>
      <c r="K1591" s="5" t="s">
        <v>191</v>
      </c>
      <c r="L1591" s="3"/>
      <c r="M1591" s="5">
        <v>8.0</v>
      </c>
      <c r="N1591" s="5">
        <v>27.5</v>
      </c>
      <c r="O1591" s="5"/>
      <c r="P1591" s="3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</row>
    <row r="1592" ht="15.75" customHeight="1">
      <c r="A1592" s="3" t="s">
        <v>940</v>
      </c>
      <c r="B1592" s="3" t="s">
        <v>941</v>
      </c>
      <c r="C1592" s="3" t="s">
        <v>80</v>
      </c>
      <c r="D1592" s="3" t="s">
        <v>986</v>
      </c>
      <c r="E1592" s="3" t="s">
        <v>1009</v>
      </c>
      <c r="F1592" s="3">
        <v>8.0</v>
      </c>
      <c r="G1592" s="4">
        <v>-27.82319</v>
      </c>
      <c r="H1592" s="4">
        <v>-48.56353</v>
      </c>
      <c r="I1592" s="5">
        <v>23.0</v>
      </c>
      <c r="J1592" s="5" t="s">
        <v>30</v>
      </c>
      <c r="K1592" s="5" t="s">
        <v>30</v>
      </c>
      <c r="L1592" s="3"/>
      <c r="M1592" s="5">
        <v>8.0</v>
      </c>
      <c r="N1592" s="5">
        <v>30.0</v>
      </c>
      <c r="O1592" s="5"/>
      <c r="P1592" s="3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</row>
    <row r="1593" ht="15.75" customHeight="1">
      <c r="A1593" s="3" t="s">
        <v>940</v>
      </c>
      <c r="B1593" s="3" t="s">
        <v>941</v>
      </c>
      <c r="C1593" s="3" t="s">
        <v>80</v>
      </c>
      <c r="D1593" s="3" t="s">
        <v>986</v>
      </c>
      <c r="E1593" s="3" t="s">
        <v>1009</v>
      </c>
      <c r="F1593" s="3">
        <v>8.0</v>
      </c>
      <c r="G1593" s="4">
        <v>-27.82319</v>
      </c>
      <c r="H1593" s="4">
        <v>-48.56353</v>
      </c>
      <c r="I1593" s="5">
        <v>24.0</v>
      </c>
      <c r="J1593" s="5" t="s">
        <v>1017</v>
      </c>
      <c r="K1593" s="5" t="s">
        <v>1018</v>
      </c>
      <c r="L1593" s="3"/>
      <c r="M1593" s="5">
        <v>6.0</v>
      </c>
      <c r="N1593" s="5">
        <v>15.5</v>
      </c>
      <c r="O1593" s="5" t="s">
        <v>1019</v>
      </c>
      <c r="P1593" s="3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</row>
    <row r="1594" ht="15.75" customHeight="1">
      <c r="A1594" s="3" t="s">
        <v>1020</v>
      </c>
      <c r="B1594" s="3" t="s">
        <v>1021</v>
      </c>
      <c r="C1594" s="3" t="s">
        <v>19</v>
      </c>
      <c r="D1594" s="3" t="s">
        <v>1022</v>
      </c>
      <c r="E1594" s="3" t="s">
        <v>1023</v>
      </c>
      <c r="F1594" s="3">
        <v>1.0</v>
      </c>
      <c r="G1594" s="4">
        <v>-27.46767</v>
      </c>
      <c r="H1594" s="4">
        <v>-48.43995</v>
      </c>
      <c r="I1594" s="5">
        <v>1.0</v>
      </c>
      <c r="J1594" s="5" t="s">
        <v>98</v>
      </c>
      <c r="K1594" s="5" t="s">
        <v>98</v>
      </c>
      <c r="L1594" s="3"/>
      <c r="M1594" s="5">
        <v>10.0</v>
      </c>
      <c r="N1594" s="5" t="s">
        <v>1024</v>
      </c>
      <c r="O1594" s="3"/>
      <c r="P1594" s="3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</row>
    <row r="1595" ht="15.75" customHeight="1">
      <c r="A1595" s="3" t="s">
        <v>1020</v>
      </c>
      <c r="B1595" s="3" t="s">
        <v>1021</v>
      </c>
      <c r="C1595" s="3" t="s">
        <v>19</v>
      </c>
      <c r="D1595" s="3" t="s">
        <v>1022</v>
      </c>
      <c r="E1595" s="3" t="s">
        <v>1023</v>
      </c>
      <c r="F1595" s="3">
        <v>1.0</v>
      </c>
      <c r="G1595" s="4">
        <v>-27.46767</v>
      </c>
      <c r="H1595" s="4">
        <v>-48.43995</v>
      </c>
      <c r="I1595" s="5">
        <v>2.0</v>
      </c>
      <c r="J1595" s="5" t="s">
        <v>1025</v>
      </c>
      <c r="K1595" s="5" t="s">
        <v>1025</v>
      </c>
      <c r="L1595" s="3"/>
      <c r="M1595" s="5">
        <v>8.0</v>
      </c>
      <c r="N1595" s="5">
        <v>19.0</v>
      </c>
      <c r="O1595" s="3"/>
      <c r="P1595" s="3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</row>
    <row r="1596" ht="15.75" customHeight="1">
      <c r="A1596" s="3" t="s">
        <v>1020</v>
      </c>
      <c r="B1596" s="3" t="s">
        <v>1021</v>
      </c>
      <c r="C1596" s="3" t="s">
        <v>19</v>
      </c>
      <c r="D1596" s="3" t="s">
        <v>1022</v>
      </c>
      <c r="E1596" s="3" t="s">
        <v>1023</v>
      </c>
      <c r="F1596" s="3">
        <v>1.0</v>
      </c>
      <c r="G1596" s="4">
        <v>-27.46767</v>
      </c>
      <c r="H1596" s="4">
        <v>-48.43995</v>
      </c>
      <c r="I1596" s="5">
        <v>3.0</v>
      </c>
      <c r="J1596" s="5" t="s">
        <v>98</v>
      </c>
      <c r="K1596" s="5" t="s">
        <v>98</v>
      </c>
      <c r="L1596" s="3"/>
      <c r="M1596" s="5">
        <v>11.0</v>
      </c>
      <c r="N1596" s="5">
        <v>59.0</v>
      </c>
      <c r="O1596" s="3"/>
      <c r="P1596" s="3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</row>
    <row r="1597" ht="15.75" customHeight="1">
      <c r="A1597" s="3" t="s">
        <v>1020</v>
      </c>
      <c r="B1597" s="3" t="s">
        <v>1021</v>
      </c>
      <c r="C1597" s="3" t="s">
        <v>19</v>
      </c>
      <c r="D1597" s="3" t="s">
        <v>1022</v>
      </c>
      <c r="E1597" s="3" t="s">
        <v>1023</v>
      </c>
      <c r="F1597" s="3">
        <v>1.0</v>
      </c>
      <c r="G1597" s="4">
        <v>-27.46767</v>
      </c>
      <c r="H1597" s="4">
        <v>-48.43995</v>
      </c>
      <c r="I1597" s="5">
        <v>4.0</v>
      </c>
      <c r="J1597" s="5" t="s">
        <v>98</v>
      </c>
      <c r="K1597" s="5" t="s">
        <v>98</v>
      </c>
      <c r="L1597" s="3"/>
      <c r="M1597" s="5">
        <v>5.0</v>
      </c>
      <c r="N1597" s="5">
        <v>17.0</v>
      </c>
      <c r="O1597" s="3"/>
      <c r="P1597" s="3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</row>
    <row r="1598" ht="15.75" customHeight="1">
      <c r="A1598" s="3" t="s">
        <v>1020</v>
      </c>
      <c r="B1598" s="3" t="s">
        <v>1021</v>
      </c>
      <c r="C1598" s="3" t="s">
        <v>19</v>
      </c>
      <c r="D1598" s="3" t="s">
        <v>1022</v>
      </c>
      <c r="E1598" s="3" t="s">
        <v>1023</v>
      </c>
      <c r="F1598" s="3">
        <v>1.0</v>
      </c>
      <c r="G1598" s="4">
        <v>-27.46767</v>
      </c>
      <c r="H1598" s="4">
        <v>-48.43995</v>
      </c>
      <c r="I1598" s="5">
        <v>5.0</v>
      </c>
      <c r="J1598" s="5" t="s">
        <v>372</v>
      </c>
      <c r="K1598" s="5" t="s">
        <v>372</v>
      </c>
      <c r="L1598" s="3"/>
      <c r="M1598" s="5">
        <v>12.0</v>
      </c>
      <c r="N1598" s="5">
        <v>80.0</v>
      </c>
      <c r="O1598" s="3"/>
      <c r="P1598" s="3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</row>
    <row r="1599" ht="15.75" customHeight="1">
      <c r="A1599" s="3" t="s">
        <v>1020</v>
      </c>
      <c r="B1599" s="3" t="s">
        <v>1021</v>
      </c>
      <c r="C1599" s="3" t="s">
        <v>19</v>
      </c>
      <c r="D1599" s="3" t="s">
        <v>1022</v>
      </c>
      <c r="E1599" s="3" t="s">
        <v>1023</v>
      </c>
      <c r="F1599" s="3">
        <v>1.0</v>
      </c>
      <c r="G1599" s="4">
        <v>-27.46767</v>
      </c>
      <c r="H1599" s="4">
        <v>-48.43995</v>
      </c>
      <c r="I1599" s="5">
        <v>6.0</v>
      </c>
      <c r="J1599" s="5" t="s">
        <v>37</v>
      </c>
      <c r="K1599" s="5" t="s">
        <v>37</v>
      </c>
      <c r="L1599" s="3"/>
      <c r="M1599" s="5">
        <v>7.0</v>
      </c>
      <c r="N1599" s="5">
        <v>36.0</v>
      </c>
      <c r="O1599" s="3"/>
      <c r="P1599" s="3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</row>
    <row r="1600" ht="15.75" customHeight="1">
      <c r="A1600" s="3" t="s">
        <v>1020</v>
      </c>
      <c r="B1600" s="3" t="s">
        <v>1021</v>
      </c>
      <c r="C1600" s="3" t="s">
        <v>19</v>
      </c>
      <c r="D1600" s="3" t="s">
        <v>1022</v>
      </c>
      <c r="E1600" s="3" t="s">
        <v>1023</v>
      </c>
      <c r="F1600" s="3">
        <v>1.0</v>
      </c>
      <c r="G1600" s="4">
        <v>-27.46767</v>
      </c>
      <c r="H1600" s="4">
        <v>-48.43995</v>
      </c>
      <c r="I1600" s="5">
        <v>7.0</v>
      </c>
      <c r="J1600" s="5" t="s">
        <v>98</v>
      </c>
      <c r="K1600" s="5" t="s">
        <v>98</v>
      </c>
      <c r="L1600" s="3"/>
      <c r="M1600" s="5">
        <v>8.0</v>
      </c>
      <c r="N1600" s="5">
        <v>22.0</v>
      </c>
      <c r="O1600" s="3"/>
      <c r="P1600" s="3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</row>
    <row r="1601" ht="15.75" customHeight="1">
      <c r="A1601" s="3" t="s">
        <v>1020</v>
      </c>
      <c r="B1601" s="3" t="s">
        <v>1021</v>
      </c>
      <c r="C1601" s="3" t="s">
        <v>19</v>
      </c>
      <c r="D1601" s="3" t="s">
        <v>1022</v>
      </c>
      <c r="E1601" s="3" t="s">
        <v>1023</v>
      </c>
      <c r="F1601" s="3">
        <v>1.0</v>
      </c>
      <c r="G1601" s="4">
        <v>-27.46767</v>
      </c>
      <c r="H1601" s="4">
        <v>-48.43995</v>
      </c>
      <c r="I1601" s="5">
        <v>8.0</v>
      </c>
      <c r="J1601" s="5" t="s">
        <v>98</v>
      </c>
      <c r="K1601" s="5" t="s">
        <v>98</v>
      </c>
      <c r="L1601" s="3"/>
      <c r="M1601" s="5">
        <v>8.0</v>
      </c>
      <c r="N1601" s="5">
        <v>18.0</v>
      </c>
      <c r="O1601" s="3"/>
      <c r="P1601" s="3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</row>
    <row r="1602" ht="15.75" customHeight="1">
      <c r="A1602" s="3" t="s">
        <v>1020</v>
      </c>
      <c r="B1602" s="3" t="s">
        <v>1021</v>
      </c>
      <c r="C1602" s="3" t="s">
        <v>19</v>
      </c>
      <c r="D1602" s="3" t="s">
        <v>1022</v>
      </c>
      <c r="E1602" s="3" t="s">
        <v>1023</v>
      </c>
      <c r="F1602" s="3">
        <v>1.0</v>
      </c>
      <c r="G1602" s="4">
        <v>-27.46767</v>
      </c>
      <c r="H1602" s="4">
        <v>-48.43995</v>
      </c>
      <c r="I1602" s="5">
        <v>9.0</v>
      </c>
      <c r="J1602" s="5" t="s">
        <v>50</v>
      </c>
      <c r="K1602" s="5" t="s">
        <v>50</v>
      </c>
      <c r="L1602" s="3"/>
      <c r="M1602" s="5">
        <v>7.0</v>
      </c>
      <c r="N1602" s="5">
        <v>25.0</v>
      </c>
      <c r="O1602" s="3"/>
      <c r="P1602" s="3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</row>
    <row r="1603" ht="15.75" customHeight="1">
      <c r="A1603" s="3" t="s">
        <v>1020</v>
      </c>
      <c r="B1603" s="3" t="s">
        <v>1021</v>
      </c>
      <c r="C1603" s="3" t="s">
        <v>19</v>
      </c>
      <c r="D1603" s="3" t="s">
        <v>1022</v>
      </c>
      <c r="E1603" s="3" t="s">
        <v>1023</v>
      </c>
      <c r="F1603" s="3">
        <v>1.0</v>
      </c>
      <c r="G1603" s="4">
        <v>-27.46767</v>
      </c>
      <c r="H1603" s="4">
        <v>-48.43995</v>
      </c>
      <c r="I1603" s="5">
        <v>10.0</v>
      </c>
      <c r="J1603" s="5" t="s">
        <v>98</v>
      </c>
      <c r="K1603" s="5" t="s">
        <v>98</v>
      </c>
      <c r="L1603" s="3"/>
      <c r="M1603" s="5">
        <v>8.0</v>
      </c>
      <c r="N1603" s="5">
        <v>19.0</v>
      </c>
      <c r="O1603" s="3"/>
      <c r="P1603" s="3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</row>
    <row r="1604" ht="15.75" customHeight="1">
      <c r="A1604" s="3" t="s">
        <v>1020</v>
      </c>
      <c r="B1604" s="3" t="s">
        <v>1021</v>
      </c>
      <c r="C1604" s="3" t="s">
        <v>19</v>
      </c>
      <c r="D1604" s="3" t="s">
        <v>1022</v>
      </c>
      <c r="E1604" s="3" t="s">
        <v>1023</v>
      </c>
      <c r="F1604" s="3">
        <v>1.0</v>
      </c>
      <c r="G1604" s="4">
        <v>-27.46767</v>
      </c>
      <c r="H1604" s="4">
        <v>-48.43995</v>
      </c>
      <c r="I1604" s="5">
        <v>11.0</v>
      </c>
      <c r="J1604" s="5" t="s">
        <v>105</v>
      </c>
      <c r="K1604" s="5" t="s">
        <v>105</v>
      </c>
      <c r="L1604" s="3"/>
      <c r="M1604" s="5">
        <v>6.0</v>
      </c>
      <c r="N1604" s="5">
        <v>20.0</v>
      </c>
      <c r="O1604" s="3"/>
      <c r="P1604" s="3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</row>
    <row r="1605" ht="15.75" customHeight="1">
      <c r="A1605" s="3" t="s">
        <v>1020</v>
      </c>
      <c r="B1605" s="3" t="s">
        <v>1021</v>
      </c>
      <c r="C1605" s="3" t="s">
        <v>19</v>
      </c>
      <c r="D1605" s="3" t="s">
        <v>1022</v>
      </c>
      <c r="E1605" s="3" t="s">
        <v>1023</v>
      </c>
      <c r="F1605" s="3">
        <v>1.0</v>
      </c>
      <c r="G1605" s="4">
        <v>-27.46767</v>
      </c>
      <c r="H1605" s="4">
        <v>-48.43995</v>
      </c>
      <c r="I1605" s="5">
        <v>12.0</v>
      </c>
      <c r="J1605" s="3" t="s">
        <v>232</v>
      </c>
      <c r="K1605" s="3" t="s">
        <v>232</v>
      </c>
      <c r="L1605" s="3"/>
      <c r="M1605" s="5">
        <v>6.0</v>
      </c>
      <c r="N1605" s="5">
        <v>17.0</v>
      </c>
      <c r="O1605" s="3"/>
      <c r="P1605" s="3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</row>
    <row r="1606" ht="15.75" customHeight="1">
      <c r="A1606" s="3" t="s">
        <v>1020</v>
      </c>
      <c r="B1606" s="3" t="s">
        <v>1021</v>
      </c>
      <c r="C1606" s="3" t="s">
        <v>19</v>
      </c>
      <c r="D1606" s="3" t="s">
        <v>1022</v>
      </c>
      <c r="E1606" s="3" t="s">
        <v>1023</v>
      </c>
      <c r="F1606" s="3">
        <v>1.0</v>
      </c>
      <c r="G1606" s="4">
        <v>-27.46767</v>
      </c>
      <c r="H1606" s="4">
        <v>-48.43995</v>
      </c>
      <c r="I1606" s="5">
        <v>13.0</v>
      </c>
      <c r="J1606" s="5" t="s">
        <v>98</v>
      </c>
      <c r="K1606" s="5" t="s">
        <v>98</v>
      </c>
      <c r="L1606" s="3"/>
      <c r="M1606" s="5">
        <v>10.0</v>
      </c>
      <c r="N1606" s="5" t="s">
        <v>1026</v>
      </c>
      <c r="O1606" s="3"/>
      <c r="P1606" s="3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</row>
    <row r="1607" ht="15.75" customHeight="1">
      <c r="A1607" s="3" t="s">
        <v>1020</v>
      </c>
      <c r="B1607" s="3" t="s">
        <v>1021</v>
      </c>
      <c r="C1607" s="3" t="s">
        <v>19</v>
      </c>
      <c r="D1607" s="3" t="s">
        <v>1022</v>
      </c>
      <c r="E1607" s="3" t="s">
        <v>1023</v>
      </c>
      <c r="F1607" s="3">
        <v>1.0</v>
      </c>
      <c r="G1607" s="4">
        <v>-27.46767</v>
      </c>
      <c r="H1607" s="4">
        <v>-48.43995</v>
      </c>
      <c r="I1607" s="5">
        <v>14.0</v>
      </c>
      <c r="J1607" s="5" t="s">
        <v>761</v>
      </c>
      <c r="K1607" s="5" t="s">
        <v>761</v>
      </c>
      <c r="L1607" s="3"/>
      <c r="M1607" s="5">
        <v>10.0</v>
      </c>
      <c r="N1607" s="5">
        <v>34.0</v>
      </c>
      <c r="O1607" s="3"/>
      <c r="P1607" s="3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</row>
    <row r="1608" ht="15.75" customHeight="1">
      <c r="A1608" s="3" t="s">
        <v>1020</v>
      </c>
      <c r="B1608" s="3" t="s">
        <v>1021</v>
      </c>
      <c r="C1608" s="3" t="s">
        <v>19</v>
      </c>
      <c r="D1608" s="3" t="s">
        <v>1022</v>
      </c>
      <c r="E1608" s="3" t="s">
        <v>1023</v>
      </c>
      <c r="F1608" s="3">
        <v>1.0</v>
      </c>
      <c r="G1608" s="4">
        <v>-27.46767</v>
      </c>
      <c r="H1608" s="4">
        <v>-48.43995</v>
      </c>
      <c r="I1608" s="5">
        <v>15.0</v>
      </c>
      <c r="J1608" s="5" t="s">
        <v>323</v>
      </c>
      <c r="K1608" s="5" t="s">
        <v>323</v>
      </c>
      <c r="L1608" s="3"/>
      <c r="M1608" s="5">
        <v>9.0</v>
      </c>
      <c r="N1608" s="5">
        <v>25.0</v>
      </c>
      <c r="O1608" s="3"/>
      <c r="P1608" s="3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</row>
    <row r="1609" ht="15.75" customHeight="1">
      <c r="A1609" s="3" t="s">
        <v>1020</v>
      </c>
      <c r="B1609" s="3" t="s">
        <v>1021</v>
      </c>
      <c r="C1609" s="3" t="s">
        <v>19</v>
      </c>
      <c r="D1609" s="3" t="s">
        <v>1022</v>
      </c>
      <c r="E1609" s="3" t="s">
        <v>1023</v>
      </c>
      <c r="F1609" s="3">
        <v>1.0</v>
      </c>
      <c r="G1609" s="4">
        <v>-27.46767</v>
      </c>
      <c r="H1609" s="4">
        <v>-48.43995</v>
      </c>
      <c r="I1609" s="5">
        <v>16.0</v>
      </c>
      <c r="J1609" s="5" t="s">
        <v>744</v>
      </c>
      <c r="K1609" s="5" t="s">
        <v>60</v>
      </c>
      <c r="L1609" s="3"/>
      <c r="M1609" s="5">
        <v>4.0</v>
      </c>
      <c r="N1609" s="5">
        <v>39.0</v>
      </c>
      <c r="O1609" s="3"/>
      <c r="P1609" s="3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</row>
    <row r="1610" ht="15.75" customHeight="1">
      <c r="A1610" s="3" t="s">
        <v>1020</v>
      </c>
      <c r="B1610" s="3" t="s">
        <v>1021</v>
      </c>
      <c r="C1610" s="3" t="s">
        <v>19</v>
      </c>
      <c r="D1610" s="3" t="s">
        <v>1022</v>
      </c>
      <c r="E1610" s="3" t="s">
        <v>1023</v>
      </c>
      <c r="F1610" s="3">
        <v>1.0</v>
      </c>
      <c r="G1610" s="4">
        <v>-27.46767</v>
      </c>
      <c r="H1610" s="4">
        <v>-48.43995</v>
      </c>
      <c r="I1610" s="5">
        <v>17.0</v>
      </c>
      <c r="J1610" s="3" t="s">
        <v>232</v>
      </c>
      <c r="K1610" s="3" t="s">
        <v>232</v>
      </c>
      <c r="L1610" s="3"/>
      <c r="M1610" s="5">
        <v>5.0</v>
      </c>
      <c r="N1610" s="5">
        <v>16.0</v>
      </c>
      <c r="O1610" s="3"/>
      <c r="P1610" s="3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</row>
    <row r="1611" ht="15.75" customHeight="1">
      <c r="A1611" s="3" t="s">
        <v>1020</v>
      </c>
      <c r="B1611" s="3" t="s">
        <v>1021</v>
      </c>
      <c r="C1611" s="3" t="s">
        <v>19</v>
      </c>
      <c r="D1611" s="3" t="s">
        <v>1022</v>
      </c>
      <c r="E1611" s="3" t="s">
        <v>1023</v>
      </c>
      <c r="F1611" s="3">
        <v>1.0</v>
      </c>
      <c r="G1611" s="4">
        <v>-27.46767</v>
      </c>
      <c r="H1611" s="4">
        <v>-48.43995</v>
      </c>
      <c r="I1611" s="5">
        <v>18.0</v>
      </c>
      <c r="J1611" s="5" t="s">
        <v>108</v>
      </c>
      <c r="K1611" s="5" t="s">
        <v>108</v>
      </c>
      <c r="L1611" s="3"/>
      <c r="M1611" s="5">
        <v>11.0</v>
      </c>
      <c r="N1611" s="5">
        <v>64.0</v>
      </c>
      <c r="O1611" s="3"/>
      <c r="P1611" s="3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</row>
    <row r="1612" ht="15.75" customHeight="1">
      <c r="A1612" s="3" t="s">
        <v>1020</v>
      </c>
      <c r="B1612" s="3" t="s">
        <v>1021</v>
      </c>
      <c r="C1612" s="3" t="s">
        <v>19</v>
      </c>
      <c r="D1612" s="3" t="s">
        <v>1022</v>
      </c>
      <c r="E1612" s="3" t="s">
        <v>1023</v>
      </c>
      <c r="F1612" s="3">
        <v>1.0</v>
      </c>
      <c r="G1612" s="4">
        <v>-27.46767</v>
      </c>
      <c r="H1612" s="4">
        <v>-48.43995</v>
      </c>
      <c r="I1612" s="5">
        <v>19.0</v>
      </c>
      <c r="J1612" s="5" t="s">
        <v>105</v>
      </c>
      <c r="K1612" s="5" t="s">
        <v>105</v>
      </c>
      <c r="L1612" s="3"/>
      <c r="M1612" s="5">
        <v>5.0</v>
      </c>
      <c r="N1612" s="5">
        <v>19.0</v>
      </c>
      <c r="O1612" s="3"/>
      <c r="P1612" s="3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</row>
    <row r="1613" ht="15.75" customHeight="1">
      <c r="A1613" s="3" t="s">
        <v>1020</v>
      </c>
      <c r="B1613" s="3" t="s">
        <v>1021</v>
      </c>
      <c r="C1613" s="3" t="s">
        <v>19</v>
      </c>
      <c r="D1613" s="3" t="s">
        <v>1022</v>
      </c>
      <c r="E1613" s="3" t="s">
        <v>1027</v>
      </c>
      <c r="F1613" s="3">
        <v>2.0</v>
      </c>
      <c r="G1613" s="22">
        <v>-27.46813</v>
      </c>
      <c r="H1613" s="22">
        <v>-48.4393</v>
      </c>
      <c r="I1613" s="5">
        <v>1.0</v>
      </c>
      <c r="J1613" s="5" t="s">
        <v>50</v>
      </c>
      <c r="K1613" s="5" t="s">
        <v>50</v>
      </c>
      <c r="L1613" s="3"/>
      <c r="M1613" s="5">
        <v>10.0</v>
      </c>
      <c r="N1613" s="5" t="s">
        <v>1028</v>
      </c>
      <c r="O1613" s="3"/>
      <c r="P1613" s="3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</row>
    <row r="1614" ht="15.75" customHeight="1">
      <c r="A1614" s="3" t="s">
        <v>1020</v>
      </c>
      <c r="B1614" s="3" t="s">
        <v>1021</v>
      </c>
      <c r="C1614" s="3" t="s">
        <v>19</v>
      </c>
      <c r="D1614" s="3" t="s">
        <v>1022</v>
      </c>
      <c r="E1614" s="3" t="s">
        <v>1027</v>
      </c>
      <c r="F1614" s="3">
        <v>2.0</v>
      </c>
      <c r="G1614" s="22">
        <v>-27.46813</v>
      </c>
      <c r="H1614" s="22">
        <v>-48.4393</v>
      </c>
      <c r="I1614" s="5">
        <v>2.0</v>
      </c>
      <c r="J1614" s="25" t="s">
        <v>779</v>
      </c>
      <c r="K1614" s="25" t="s">
        <v>779</v>
      </c>
      <c r="L1614" s="3"/>
      <c r="M1614" s="5">
        <v>10.0</v>
      </c>
      <c r="N1614" s="5">
        <v>78.0</v>
      </c>
      <c r="O1614" s="3"/>
      <c r="P1614" s="3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</row>
    <row r="1615" ht="15.75" customHeight="1">
      <c r="A1615" s="3" t="s">
        <v>1020</v>
      </c>
      <c r="B1615" s="3" t="s">
        <v>1021</v>
      </c>
      <c r="C1615" s="3" t="s">
        <v>19</v>
      </c>
      <c r="D1615" s="3" t="s">
        <v>1022</v>
      </c>
      <c r="E1615" s="3" t="s">
        <v>1027</v>
      </c>
      <c r="F1615" s="3">
        <v>2.0</v>
      </c>
      <c r="G1615" s="22">
        <v>-27.46813</v>
      </c>
      <c r="H1615" s="22">
        <v>-48.4393</v>
      </c>
      <c r="I1615" s="5">
        <v>3.0</v>
      </c>
      <c r="J1615" s="5" t="s">
        <v>164</v>
      </c>
      <c r="K1615" s="5" t="s">
        <v>164</v>
      </c>
      <c r="L1615" s="3"/>
      <c r="M1615" s="5">
        <v>6.0</v>
      </c>
      <c r="N1615" s="5">
        <v>26.0</v>
      </c>
      <c r="O1615" s="3"/>
      <c r="P1615" s="3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</row>
    <row r="1616" ht="15.75" customHeight="1">
      <c r="A1616" s="3" t="s">
        <v>1020</v>
      </c>
      <c r="B1616" s="3" t="s">
        <v>1021</v>
      </c>
      <c r="C1616" s="3" t="s">
        <v>19</v>
      </c>
      <c r="D1616" s="3" t="s">
        <v>1022</v>
      </c>
      <c r="E1616" s="3" t="s">
        <v>1027</v>
      </c>
      <c r="F1616" s="3">
        <v>2.0</v>
      </c>
      <c r="G1616" s="22">
        <v>-27.46813</v>
      </c>
      <c r="H1616" s="22">
        <v>-48.4393</v>
      </c>
      <c r="I1616" s="5">
        <v>4.0</v>
      </c>
      <c r="J1616" s="5" t="s">
        <v>1025</v>
      </c>
      <c r="K1616" s="5" t="s">
        <v>1025</v>
      </c>
      <c r="L1616" s="3"/>
      <c r="M1616" s="5">
        <v>8.0</v>
      </c>
      <c r="N1616" s="5">
        <v>23.0</v>
      </c>
      <c r="O1616" s="3"/>
      <c r="P1616" s="3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</row>
    <row r="1617" ht="15.75" customHeight="1">
      <c r="A1617" s="3" t="s">
        <v>1020</v>
      </c>
      <c r="B1617" s="3" t="s">
        <v>1021</v>
      </c>
      <c r="C1617" s="3" t="s">
        <v>19</v>
      </c>
      <c r="D1617" s="3" t="s">
        <v>1022</v>
      </c>
      <c r="E1617" s="3" t="s">
        <v>1027</v>
      </c>
      <c r="F1617" s="3">
        <v>2.0</v>
      </c>
      <c r="G1617" s="22">
        <v>-27.46813</v>
      </c>
      <c r="H1617" s="22">
        <v>-48.4393</v>
      </c>
      <c r="I1617" s="5">
        <v>5.0</v>
      </c>
      <c r="J1617" s="5" t="s">
        <v>105</v>
      </c>
      <c r="K1617" s="5" t="s">
        <v>105</v>
      </c>
      <c r="L1617" s="3"/>
      <c r="M1617" s="5">
        <v>4.0</v>
      </c>
      <c r="N1617" s="5">
        <v>17.0</v>
      </c>
      <c r="O1617" s="3"/>
      <c r="P1617" s="3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</row>
    <row r="1618" ht="15.75" customHeight="1">
      <c r="A1618" s="3" t="s">
        <v>1020</v>
      </c>
      <c r="B1618" s="3" t="s">
        <v>1021</v>
      </c>
      <c r="C1618" s="3" t="s">
        <v>19</v>
      </c>
      <c r="D1618" s="3" t="s">
        <v>1022</v>
      </c>
      <c r="E1618" s="3" t="s">
        <v>1027</v>
      </c>
      <c r="F1618" s="3">
        <v>2.0</v>
      </c>
      <c r="G1618" s="22">
        <v>-27.46813</v>
      </c>
      <c r="H1618" s="22">
        <v>-48.4393</v>
      </c>
      <c r="I1618" s="5">
        <v>6.0</v>
      </c>
      <c r="J1618" s="5" t="s">
        <v>1025</v>
      </c>
      <c r="K1618" s="5" t="s">
        <v>1025</v>
      </c>
      <c r="L1618" s="3"/>
      <c r="M1618" s="5">
        <v>7.0</v>
      </c>
      <c r="N1618" s="5">
        <v>19.0</v>
      </c>
      <c r="O1618" s="3"/>
      <c r="P1618" s="3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</row>
    <row r="1619" ht="15.75" customHeight="1">
      <c r="A1619" s="3" t="s">
        <v>1020</v>
      </c>
      <c r="B1619" s="3" t="s">
        <v>1021</v>
      </c>
      <c r="C1619" s="3" t="s">
        <v>19</v>
      </c>
      <c r="D1619" s="3" t="s">
        <v>1022</v>
      </c>
      <c r="E1619" s="3" t="s">
        <v>1027</v>
      </c>
      <c r="F1619" s="3">
        <v>2.0</v>
      </c>
      <c r="G1619" s="22">
        <v>-27.46813</v>
      </c>
      <c r="H1619" s="22">
        <v>-48.4393</v>
      </c>
      <c r="I1619" s="5">
        <v>7.0</v>
      </c>
      <c r="J1619" s="5" t="s">
        <v>1025</v>
      </c>
      <c r="K1619" s="5" t="s">
        <v>1025</v>
      </c>
      <c r="L1619" s="3"/>
      <c r="M1619" s="5">
        <v>12.0</v>
      </c>
      <c r="N1619" s="5">
        <v>110.0</v>
      </c>
      <c r="O1619" s="3"/>
      <c r="P1619" s="3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</row>
    <row r="1620" ht="15.75" customHeight="1">
      <c r="A1620" s="3" t="s">
        <v>1020</v>
      </c>
      <c r="B1620" s="3" t="s">
        <v>1021</v>
      </c>
      <c r="C1620" s="3" t="s">
        <v>19</v>
      </c>
      <c r="D1620" s="3" t="s">
        <v>1022</v>
      </c>
      <c r="E1620" s="3" t="s">
        <v>1027</v>
      </c>
      <c r="F1620" s="3">
        <v>2.0</v>
      </c>
      <c r="G1620" s="22">
        <v>-27.46813</v>
      </c>
      <c r="H1620" s="22">
        <v>-48.4393</v>
      </c>
      <c r="I1620" s="5">
        <v>8.0</v>
      </c>
      <c r="J1620" s="5" t="s">
        <v>1025</v>
      </c>
      <c r="K1620" s="5" t="s">
        <v>1025</v>
      </c>
      <c r="L1620" s="3"/>
      <c r="M1620" s="5">
        <v>4.0</v>
      </c>
      <c r="N1620" s="5">
        <v>16.0</v>
      </c>
      <c r="O1620" s="3"/>
      <c r="P1620" s="3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</row>
    <row r="1621" ht="15.75" customHeight="1">
      <c r="A1621" s="3" t="s">
        <v>1020</v>
      </c>
      <c r="B1621" s="3" t="s">
        <v>1021</v>
      </c>
      <c r="C1621" s="3" t="s">
        <v>19</v>
      </c>
      <c r="D1621" s="3" t="s">
        <v>1022</v>
      </c>
      <c r="E1621" s="3" t="s">
        <v>1027</v>
      </c>
      <c r="F1621" s="3">
        <v>2.0</v>
      </c>
      <c r="G1621" s="22">
        <v>-27.46813</v>
      </c>
      <c r="H1621" s="22">
        <v>-48.4393</v>
      </c>
      <c r="I1621" s="5">
        <v>9.0</v>
      </c>
      <c r="J1621" s="5" t="s">
        <v>104</v>
      </c>
      <c r="K1621" s="5" t="s">
        <v>104</v>
      </c>
      <c r="L1621" s="3"/>
      <c r="M1621" s="5">
        <v>17.0</v>
      </c>
      <c r="N1621" s="5">
        <v>97.0</v>
      </c>
      <c r="O1621" s="3"/>
      <c r="P1621" s="3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</row>
    <row r="1622" ht="15.75" customHeight="1">
      <c r="A1622" s="3" t="s">
        <v>1020</v>
      </c>
      <c r="B1622" s="3" t="s">
        <v>1021</v>
      </c>
      <c r="C1622" s="3" t="s">
        <v>19</v>
      </c>
      <c r="D1622" s="3" t="s">
        <v>1022</v>
      </c>
      <c r="E1622" s="3" t="s">
        <v>1027</v>
      </c>
      <c r="F1622" s="3">
        <v>2.0</v>
      </c>
      <c r="G1622" s="22">
        <v>-27.46813</v>
      </c>
      <c r="H1622" s="22">
        <v>-48.4393</v>
      </c>
      <c r="I1622" s="5">
        <v>10.0</v>
      </c>
      <c r="J1622" s="5" t="s">
        <v>1025</v>
      </c>
      <c r="K1622" s="5" t="s">
        <v>1025</v>
      </c>
      <c r="L1622" s="3"/>
      <c r="M1622" s="5">
        <v>7.0</v>
      </c>
      <c r="N1622" s="5">
        <v>16.0</v>
      </c>
      <c r="O1622" s="3"/>
      <c r="P1622" s="3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</row>
    <row r="1623" ht="15.75" customHeight="1">
      <c r="A1623" s="3" t="s">
        <v>1020</v>
      </c>
      <c r="B1623" s="3" t="s">
        <v>1021</v>
      </c>
      <c r="C1623" s="3" t="s">
        <v>19</v>
      </c>
      <c r="D1623" s="3" t="s">
        <v>1022</v>
      </c>
      <c r="E1623" s="3" t="s">
        <v>1027</v>
      </c>
      <c r="F1623" s="3">
        <v>2.0</v>
      </c>
      <c r="G1623" s="22">
        <v>-27.46813</v>
      </c>
      <c r="H1623" s="22">
        <v>-48.4393</v>
      </c>
      <c r="I1623" s="5">
        <v>11.0</v>
      </c>
      <c r="J1623" s="5" t="s">
        <v>1025</v>
      </c>
      <c r="K1623" s="5" t="s">
        <v>1025</v>
      </c>
      <c r="L1623" s="3"/>
      <c r="M1623" s="5">
        <v>9.0</v>
      </c>
      <c r="N1623" s="5">
        <v>34.0</v>
      </c>
      <c r="O1623" s="3"/>
      <c r="P1623" s="3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</row>
    <row r="1624" ht="15.75" customHeight="1">
      <c r="A1624" s="3" t="s">
        <v>1020</v>
      </c>
      <c r="B1624" s="3" t="s">
        <v>1021</v>
      </c>
      <c r="C1624" s="3" t="s">
        <v>19</v>
      </c>
      <c r="D1624" s="3" t="s">
        <v>1022</v>
      </c>
      <c r="E1624" s="3" t="s">
        <v>1027</v>
      </c>
      <c r="F1624" s="3">
        <v>2.0</v>
      </c>
      <c r="G1624" s="22">
        <v>-27.46813</v>
      </c>
      <c r="H1624" s="22">
        <v>-48.4393</v>
      </c>
      <c r="I1624" s="5">
        <v>12.0</v>
      </c>
      <c r="J1624" s="5" t="s">
        <v>1025</v>
      </c>
      <c r="K1624" s="5" t="s">
        <v>1025</v>
      </c>
      <c r="L1624" s="3"/>
      <c r="M1624" s="5">
        <v>10.0</v>
      </c>
      <c r="N1624" s="5">
        <v>33.0</v>
      </c>
      <c r="O1624" s="3"/>
      <c r="P1624" s="3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</row>
    <row r="1625" ht="15.75" customHeight="1">
      <c r="A1625" s="3" t="s">
        <v>1020</v>
      </c>
      <c r="B1625" s="3" t="s">
        <v>1021</v>
      </c>
      <c r="C1625" s="3" t="s">
        <v>19</v>
      </c>
      <c r="D1625" s="3" t="s">
        <v>1022</v>
      </c>
      <c r="E1625" s="3" t="s">
        <v>1027</v>
      </c>
      <c r="F1625" s="3">
        <v>2.0</v>
      </c>
      <c r="G1625" s="22">
        <v>-27.46813</v>
      </c>
      <c r="H1625" s="22">
        <v>-48.4393</v>
      </c>
      <c r="I1625" s="5">
        <v>13.0</v>
      </c>
      <c r="J1625" s="5" t="s">
        <v>50</v>
      </c>
      <c r="K1625" s="5" t="s">
        <v>50</v>
      </c>
      <c r="L1625" s="3"/>
      <c r="M1625" s="5">
        <v>8.0</v>
      </c>
      <c r="N1625" s="5">
        <v>29.0</v>
      </c>
      <c r="O1625" s="3"/>
      <c r="P1625" s="3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</row>
    <row r="1626" ht="15.75" customHeight="1">
      <c r="A1626" s="3" t="s">
        <v>1020</v>
      </c>
      <c r="B1626" s="3" t="s">
        <v>1021</v>
      </c>
      <c r="C1626" s="3" t="s">
        <v>19</v>
      </c>
      <c r="D1626" s="3" t="s">
        <v>1022</v>
      </c>
      <c r="E1626" s="3" t="s">
        <v>1027</v>
      </c>
      <c r="F1626" s="3">
        <v>2.0</v>
      </c>
      <c r="G1626" s="22">
        <v>-27.46813</v>
      </c>
      <c r="H1626" s="22">
        <v>-48.4393</v>
      </c>
      <c r="I1626" s="5">
        <v>14.0</v>
      </c>
      <c r="J1626" s="5" t="s">
        <v>1025</v>
      </c>
      <c r="K1626" s="5" t="s">
        <v>1025</v>
      </c>
      <c r="L1626" s="3"/>
      <c r="M1626" s="5">
        <v>12.0</v>
      </c>
      <c r="N1626" s="5">
        <v>45.0</v>
      </c>
      <c r="O1626" s="3"/>
      <c r="P1626" s="3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</row>
    <row r="1627" ht="15.75" customHeight="1">
      <c r="A1627" s="3" t="s">
        <v>1020</v>
      </c>
      <c r="B1627" s="3" t="s">
        <v>1021</v>
      </c>
      <c r="C1627" s="3" t="s">
        <v>19</v>
      </c>
      <c r="D1627" s="3" t="s">
        <v>1022</v>
      </c>
      <c r="E1627" s="3" t="s">
        <v>1027</v>
      </c>
      <c r="F1627" s="3">
        <v>2.0</v>
      </c>
      <c r="G1627" s="22">
        <v>-27.46813</v>
      </c>
      <c r="H1627" s="22">
        <v>-48.4393</v>
      </c>
      <c r="I1627" s="5">
        <v>15.0</v>
      </c>
      <c r="J1627" s="5" t="s">
        <v>98</v>
      </c>
      <c r="K1627" s="5" t="s">
        <v>98</v>
      </c>
      <c r="L1627" s="3"/>
      <c r="M1627" s="5">
        <v>5.0</v>
      </c>
      <c r="N1627" s="5">
        <v>18.0</v>
      </c>
      <c r="O1627" s="3"/>
      <c r="P1627" s="3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</row>
    <row r="1628" ht="15.75" customHeight="1">
      <c r="A1628" s="3" t="s">
        <v>1020</v>
      </c>
      <c r="B1628" s="3" t="s">
        <v>1021</v>
      </c>
      <c r="C1628" s="3" t="s">
        <v>19</v>
      </c>
      <c r="D1628" s="3" t="s">
        <v>1022</v>
      </c>
      <c r="E1628" s="3" t="s">
        <v>1027</v>
      </c>
      <c r="F1628" s="3">
        <v>2.0</v>
      </c>
      <c r="G1628" s="22">
        <v>-27.46813</v>
      </c>
      <c r="H1628" s="22">
        <v>-48.4393</v>
      </c>
      <c r="I1628" s="5">
        <v>16.0</v>
      </c>
      <c r="J1628" s="5" t="s">
        <v>1025</v>
      </c>
      <c r="K1628" s="5" t="s">
        <v>1025</v>
      </c>
      <c r="L1628" s="3"/>
      <c r="M1628" s="5">
        <v>12.0</v>
      </c>
      <c r="N1628" s="5">
        <v>67.0</v>
      </c>
      <c r="O1628" s="3"/>
      <c r="P1628" s="3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</row>
    <row r="1629" ht="15.75" customHeight="1">
      <c r="A1629" s="3" t="s">
        <v>1020</v>
      </c>
      <c r="B1629" s="3" t="s">
        <v>1021</v>
      </c>
      <c r="C1629" s="3" t="s">
        <v>19</v>
      </c>
      <c r="D1629" s="3" t="s">
        <v>1022</v>
      </c>
      <c r="E1629" s="3" t="s">
        <v>1027</v>
      </c>
      <c r="F1629" s="3">
        <v>2.0</v>
      </c>
      <c r="G1629" s="22">
        <v>-27.46813</v>
      </c>
      <c r="H1629" s="22">
        <v>-48.4393</v>
      </c>
      <c r="I1629" s="5">
        <v>17.0</v>
      </c>
      <c r="J1629" s="5" t="s">
        <v>26</v>
      </c>
      <c r="K1629" s="5" t="s">
        <v>26</v>
      </c>
      <c r="L1629" s="3"/>
      <c r="M1629" s="5">
        <v>14.0</v>
      </c>
      <c r="N1629" s="5">
        <v>52.0</v>
      </c>
      <c r="O1629" s="3"/>
      <c r="P1629" s="3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</row>
    <row r="1630" ht="15.75" customHeight="1">
      <c r="A1630" s="3" t="s">
        <v>1020</v>
      </c>
      <c r="B1630" s="3" t="s">
        <v>1021</v>
      </c>
      <c r="C1630" s="3" t="s">
        <v>19</v>
      </c>
      <c r="D1630" s="3" t="s">
        <v>1022</v>
      </c>
      <c r="E1630" s="3" t="s">
        <v>1029</v>
      </c>
      <c r="F1630" s="3">
        <v>3.0</v>
      </c>
      <c r="G1630" s="22">
        <v>-27.46788</v>
      </c>
      <c r="H1630" s="22">
        <v>-48.43926</v>
      </c>
      <c r="I1630" s="5">
        <v>1.0</v>
      </c>
      <c r="J1630" s="5" t="s">
        <v>1025</v>
      </c>
      <c r="K1630" s="5" t="s">
        <v>1025</v>
      </c>
      <c r="L1630" s="3"/>
      <c r="M1630" s="5">
        <v>6.0</v>
      </c>
      <c r="N1630" s="5">
        <v>28.0</v>
      </c>
      <c r="O1630" s="3"/>
      <c r="P1630" s="3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</row>
    <row r="1631" ht="15.75" customHeight="1">
      <c r="A1631" s="3" t="s">
        <v>1020</v>
      </c>
      <c r="B1631" s="3" t="s">
        <v>1021</v>
      </c>
      <c r="C1631" s="3" t="s">
        <v>19</v>
      </c>
      <c r="D1631" s="3" t="s">
        <v>1022</v>
      </c>
      <c r="E1631" s="3" t="s">
        <v>1029</v>
      </c>
      <c r="F1631" s="3">
        <v>3.0</v>
      </c>
      <c r="G1631" s="22">
        <v>-27.46788</v>
      </c>
      <c r="H1631" s="22">
        <v>-48.43926</v>
      </c>
      <c r="I1631" s="5">
        <v>2.0</v>
      </c>
      <c r="J1631" s="5" t="s">
        <v>117</v>
      </c>
      <c r="K1631" s="5" t="s">
        <v>117</v>
      </c>
      <c r="L1631" s="3"/>
      <c r="M1631" s="5">
        <v>6.0</v>
      </c>
      <c r="N1631" s="5">
        <v>25.0</v>
      </c>
      <c r="O1631" s="3"/>
      <c r="P1631" s="3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</row>
    <row r="1632" ht="15.75" customHeight="1">
      <c r="A1632" s="3" t="s">
        <v>1020</v>
      </c>
      <c r="B1632" s="3" t="s">
        <v>1021</v>
      </c>
      <c r="C1632" s="3" t="s">
        <v>19</v>
      </c>
      <c r="D1632" s="3" t="s">
        <v>1022</v>
      </c>
      <c r="E1632" s="3" t="s">
        <v>1029</v>
      </c>
      <c r="F1632" s="3">
        <v>3.0</v>
      </c>
      <c r="G1632" s="22">
        <v>-27.46788</v>
      </c>
      <c r="H1632" s="22">
        <v>-48.43926</v>
      </c>
      <c r="I1632" s="5">
        <v>3.0</v>
      </c>
      <c r="J1632" s="5" t="s">
        <v>50</v>
      </c>
      <c r="K1632" s="5" t="s">
        <v>50</v>
      </c>
      <c r="L1632" s="3"/>
      <c r="M1632" s="5">
        <v>8.0</v>
      </c>
      <c r="N1632" s="5">
        <v>31.0</v>
      </c>
      <c r="O1632" s="3"/>
      <c r="P1632" s="3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</row>
    <row r="1633" ht="15.75" customHeight="1">
      <c r="A1633" s="3" t="s">
        <v>1020</v>
      </c>
      <c r="B1633" s="3" t="s">
        <v>1021</v>
      </c>
      <c r="C1633" s="3" t="s">
        <v>19</v>
      </c>
      <c r="D1633" s="3" t="s">
        <v>1022</v>
      </c>
      <c r="E1633" s="3" t="s">
        <v>1029</v>
      </c>
      <c r="F1633" s="3">
        <v>3.0</v>
      </c>
      <c r="G1633" s="22">
        <v>-27.46788</v>
      </c>
      <c r="H1633" s="22">
        <v>-48.43926</v>
      </c>
      <c r="I1633" s="5">
        <v>4.0</v>
      </c>
      <c r="J1633" s="5" t="s">
        <v>104</v>
      </c>
      <c r="K1633" s="5" t="s">
        <v>104</v>
      </c>
      <c r="L1633" s="3"/>
      <c r="M1633" s="5">
        <v>10.0</v>
      </c>
      <c r="N1633" s="5">
        <v>66.0</v>
      </c>
      <c r="O1633" s="3"/>
      <c r="P1633" s="3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</row>
    <row r="1634" ht="15.75" customHeight="1">
      <c r="A1634" s="3" t="s">
        <v>1020</v>
      </c>
      <c r="B1634" s="3" t="s">
        <v>1021</v>
      </c>
      <c r="C1634" s="3" t="s">
        <v>19</v>
      </c>
      <c r="D1634" s="3" t="s">
        <v>1022</v>
      </c>
      <c r="E1634" s="3" t="s">
        <v>1029</v>
      </c>
      <c r="F1634" s="3">
        <v>3.0</v>
      </c>
      <c r="G1634" s="22">
        <v>-27.46788</v>
      </c>
      <c r="H1634" s="22">
        <v>-48.43926</v>
      </c>
      <c r="I1634" s="5">
        <v>5.0</v>
      </c>
      <c r="J1634" s="5" t="s">
        <v>1025</v>
      </c>
      <c r="K1634" s="5" t="s">
        <v>1025</v>
      </c>
      <c r="L1634" s="3"/>
      <c r="M1634" s="5">
        <v>5.0</v>
      </c>
      <c r="N1634" s="5">
        <v>16.0</v>
      </c>
      <c r="O1634" s="3"/>
      <c r="P1634" s="3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</row>
    <row r="1635" ht="15.75" customHeight="1">
      <c r="A1635" s="3" t="s">
        <v>1020</v>
      </c>
      <c r="B1635" s="3" t="s">
        <v>1021</v>
      </c>
      <c r="C1635" s="3" t="s">
        <v>19</v>
      </c>
      <c r="D1635" s="3" t="s">
        <v>1022</v>
      </c>
      <c r="E1635" s="3" t="s">
        <v>1029</v>
      </c>
      <c r="F1635" s="3">
        <v>3.0</v>
      </c>
      <c r="G1635" s="22">
        <v>-27.46788</v>
      </c>
      <c r="H1635" s="22">
        <v>-48.43926</v>
      </c>
      <c r="I1635" s="5">
        <v>6.0</v>
      </c>
      <c r="J1635" s="5" t="s">
        <v>117</v>
      </c>
      <c r="K1635" s="5" t="s">
        <v>117</v>
      </c>
      <c r="L1635" s="3"/>
      <c r="M1635" s="5">
        <v>4.0</v>
      </c>
      <c r="N1635" s="5">
        <v>21.0</v>
      </c>
      <c r="O1635" s="3"/>
      <c r="P1635" s="3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</row>
    <row r="1636" ht="15.75" customHeight="1">
      <c r="A1636" s="3" t="s">
        <v>1020</v>
      </c>
      <c r="B1636" s="3" t="s">
        <v>1021</v>
      </c>
      <c r="C1636" s="3" t="s">
        <v>19</v>
      </c>
      <c r="D1636" s="3" t="s">
        <v>1022</v>
      </c>
      <c r="E1636" s="3" t="s">
        <v>1029</v>
      </c>
      <c r="F1636" s="3">
        <v>3.0</v>
      </c>
      <c r="G1636" s="22">
        <v>-27.46788</v>
      </c>
      <c r="H1636" s="22">
        <v>-48.43926</v>
      </c>
      <c r="I1636" s="5">
        <v>7.0</v>
      </c>
      <c r="J1636" s="5" t="s">
        <v>78</v>
      </c>
      <c r="K1636" s="5" t="s">
        <v>78</v>
      </c>
      <c r="L1636" s="3"/>
      <c r="M1636" s="5">
        <v>8.0</v>
      </c>
      <c r="N1636" s="5">
        <v>53.0</v>
      </c>
      <c r="O1636" s="3"/>
      <c r="P1636" s="3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</row>
    <row r="1637" ht="15.75" customHeight="1">
      <c r="A1637" s="3" t="s">
        <v>1020</v>
      </c>
      <c r="B1637" s="3" t="s">
        <v>1021</v>
      </c>
      <c r="C1637" s="3" t="s">
        <v>19</v>
      </c>
      <c r="D1637" s="3" t="s">
        <v>1022</v>
      </c>
      <c r="E1637" s="3" t="s">
        <v>1029</v>
      </c>
      <c r="F1637" s="3">
        <v>3.0</v>
      </c>
      <c r="G1637" s="22">
        <v>-27.46788</v>
      </c>
      <c r="H1637" s="22">
        <v>-48.43926</v>
      </c>
      <c r="I1637" s="5">
        <v>8.0</v>
      </c>
      <c r="J1637" s="5" t="s">
        <v>117</v>
      </c>
      <c r="K1637" s="5" t="s">
        <v>117</v>
      </c>
      <c r="L1637" s="3"/>
      <c r="M1637" s="5">
        <v>4.0</v>
      </c>
      <c r="N1637" s="5">
        <v>17.0</v>
      </c>
      <c r="O1637" s="3"/>
      <c r="P1637" s="3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</row>
    <row r="1638" ht="15.75" customHeight="1">
      <c r="A1638" s="3" t="s">
        <v>1020</v>
      </c>
      <c r="B1638" s="3" t="s">
        <v>1021</v>
      </c>
      <c r="C1638" s="3" t="s">
        <v>19</v>
      </c>
      <c r="D1638" s="3" t="s">
        <v>1022</v>
      </c>
      <c r="E1638" s="3" t="s">
        <v>1029</v>
      </c>
      <c r="F1638" s="3">
        <v>3.0</v>
      </c>
      <c r="G1638" s="22">
        <v>-27.46788</v>
      </c>
      <c r="H1638" s="22">
        <v>-48.43926</v>
      </c>
      <c r="I1638" s="5">
        <v>9.0</v>
      </c>
      <c r="J1638" s="5" t="s">
        <v>1025</v>
      </c>
      <c r="K1638" s="5" t="s">
        <v>1025</v>
      </c>
      <c r="L1638" s="3"/>
      <c r="M1638" s="5">
        <v>16.0</v>
      </c>
      <c r="N1638" s="5">
        <v>83.0</v>
      </c>
      <c r="O1638" s="3"/>
      <c r="P1638" s="3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</row>
    <row r="1639" ht="15.75" customHeight="1">
      <c r="A1639" s="3" t="s">
        <v>1020</v>
      </c>
      <c r="B1639" s="3" t="s">
        <v>1021</v>
      </c>
      <c r="C1639" s="3" t="s">
        <v>19</v>
      </c>
      <c r="D1639" s="3" t="s">
        <v>1022</v>
      </c>
      <c r="E1639" s="3" t="s">
        <v>1030</v>
      </c>
      <c r="F1639" s="3">
        <v>4.0</v>
      </c>
      <c r="G1639" s="22">
        <v>-27.46804</v>
      </c>
      <c r="H1639" s="22">
        <v>-48.43893</v>
      </c>
      <c r="I1639" s="5">
        <v>1.0</v>
      </c>
      <c r="J1639" s="5" t="s">
        <v>105</v>
      </c>
      <c r="K1639" s="5" t="s">
        <v>105</v>
      </c>
      <c r="L1639" s="3"/>
      <c r="M1639" s="5">
        <v>5.0</v>
      </c>
      <c r="N1639" s="5">
        <v>22.0</v>
      </c>
      <c r="O1639" s="3"/>
      <c r="P1639" s="3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</row>
    <row r="1640" ht="15.75" customHeight="1">
      <c r="A1640" s="3" t="s">
        <v>1020</v>
      </c>
      <c r="B1640" s="3" t="s">
        <v>1021</v>
      </c>
      <c r="C1640" s="3" t="s">
        <v>19</v>
      </c>
      <c r="D1640" s="3" t="s">
        <v>1022</v>
      </c>
      <c r="E1640" s="3" t="s">
        <v>1030</v>
      </c>
      <c r="F1640" s="3">
        <v>4.0</v>
      </c>
      <c r="G1640" s="22">
        <v>-27.46804</v>
      </c>
      <c r="H1640" s="22">
        <v>-48.43893</v>
      </c>
      <c r="I1640" s="5">
        <v>2.0</v>
      </c>
      <c r="J1640" s="5" t="s">
        <v>1025</v>
      </c>
      <c r="K1640" s="5" t="s">
        <v>1025</v>
      </c>
      <c r="L1640" s="3"/>
      <c r="M1640" s="5">
        <v>16.0</v>
      </c>
      <c r="N1640" s="5">
        <v>238.0</v>
      </c>
      <c r="O1640" s="3"/>
      <c r="P1640" s="3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</row>
    <row r="1641" ht="15.75" customHeight="1">
      <c r="A1641" s="3" t="s">
        <v>1020</v>
      </c>
      <c r="B1641" s="3" t="s">
        <v>1021</v>
      </c>
      <c r="C1641" s="3" t="s">
        <v>19</v>
      </c>
      <c r="D1641" s="3" t="s">
        <v>1022</v>
      </c>
      <c r="E1641" s="3" t="s">
        <v>1030</v>
      </c>
      <c r="F1641" s="3">
        <v>4.0</v>
      </c>
      <c r="G1641" s="22">
        <v>-27.46804</v>
      </c>
      <c r="H1641" s="22">
        <v>-48.43893</v>
      </c>
      <c r="I1641" s="5">
        <v>3.0</v>
      </c>
      <c r="J1641" s="5" t="s">
        <v>273</v>
      </c>
      <c r="K1641" s="5" t="s">
        <v>273</v>
      </c>
      <c r="L1641" s="3"/>
      <c r="M1641" s="5">
        <v>8.0</v>
      </c>
      <c r="N1641" s="5">
        <v>48.0</v>
      </c>
      <c r="O1641" s="3"/>
      <c r="P1641" s="3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</row>
    <row r="1642" ht="15.75" customHeight="1">
      <c r="A1642" s="3" t="s">
        <v>1020</v>
      </c>
      <c r="B1642" s="3" t="s">
        <v>1021</v>
      </c>
      <c r="C1642" s="3" t="s">
        <v>19</v>
      </c>
      <c r="D1642" s="3" t="s">
        <v>1022</v>
      </c>
      <c r="E1642" s="3" t="s">
        <v>1030</v>
      </c>
      <c r="F1642" s="3">
        <v>4.0</v>
      </c>
      <c r="G1642" s="22">
        <v>-27.46804</v>
      </c>
      <c r="H1642" s="22">
        <v>-48.43893</v>
      </c>
      <c r="I1642" s="5">
        <v>4.0</v>
      </c>
      <c r="J1642" s="5" t="s">
        <v>104</v>
      </c>
      <c r="K1642" s="5" t="s">
        <v>104</v>
      </c>
      <c r="L1642" s="3"/>
      <c r="M1642" s="5">
        <v>11.0</v>
      </c>
      <c r="N1642" s="5">
        <v>87.0</v>
      </c>
      <c r="O1642" s="3"/>
      <c r="P1642" s="3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</row>
    <row r="1643" ht="15.75" customHeight="1">
      <c r="A1643" s="3" t="s">
        <v>1020</v>
      </c>
      <c r="B1643" s="3" t="s">
        <v>1021</v>
      </c>
      <c r="C1643" s="3" t="s">
        <v>19</v>
      </c>
      <c r="D1643" s="3" t="s">
        <v>1022</v>
      </c>
      <c r="E1643" s="3" t="s">
        <v>1030</v>
      </c>
      <c r="F1643" s="3">
        <v>4.0</v>
      </c>
      <c r="G1643" s="22">
        <v>-27.46804</v>
      </c>
      <c r="H1643" s="22">
        <v>-48.43893</v>
      </c>
      <c r="I1643" s="5">
        <v>5.0</v>
      </c>
      <c r="J1643" s="5" t="s">
        <v>474</v>
      </c>
      <c r="K1643" s="5" t="s">
        <v>98</v>
      </c>
      <c r="L1643" s="3"/>
      <c r="M1643" s="5">
        <v>7.0</v>
      </c>
      <c r="N1643" s="5">
        <v>40.0</v>
      </c>
      <c r="O1643" s="3"/>
      <c r="P1643" s="3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</row>
    <row r="1644" ht="15.75" customHeight="1">
      <c r="A1644" s="3" t="s">
        <v>1020</v>
      </c>
      <c r="B1644" s="3" t="s">
        <v>1021</v>
      </c>
      <c r="C1644" s="3" t="s">
        <v>19</v>
      </c>
      <c r="D1644" s="3" t="s">
        <v>1022</v>
      </c>
      <c r="E1644" s="3" t="s">
        <v>1030</v>
      </c>
      <c r="F1644" s="3">
        <v>4.0</v>
      </c>
      <c r="G1644" s="22">
        <v>-27.46804</v>
      </c>
      <c r="H1644" s="22">
        <v>-48.43893</v>
      </c>
      <c r="I1644" s="5">
        <v>6.0</v>
      </c>
      <c r="J1644" s="5" t="s">
        <v>105</v>
      </c>
      <c r="K1644" s="5" t="s">
        <v>105</v>
      </c>
      <c r="L1644" s="3"/>
      <c r="M1644" s="5">
        <v>5.0</v>
      </c>
      <c r="N1644" s="5">
        <v>21.0</v>
      </c>
      <c r="O1644" s="3"/>
      <c r="P1644" s="3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</row>
    <row r="1645" ht="15.75" customHeight="1">
      <c r="A1645" s="3" t="s">
        <v>1020</v>
      </c>
      <c r="B1645" s="3" t="s">
        <v>1021</v>
      </c>
      <c r="C1645" s="3" t="s">
        <v>19</v>
      </c>
      <c r="D1645" s="3" t="s">
        <v>1022</v>
      </c>
      <c r="E1645" s="3" t="s">
        <v>1030</v>
      </c>
      <c r="F1645" s="3">
        <v>4.0</v>
      </c>
      <c r="G1645" s="22">
        <v>-27.46804</v>
      </c>
      <c r="H1645" s="22">
        <v>-48.43893</v>
      </c>
      <c r="I1645" s="5">
        <v>7.0</v>
      </c>
      <c r="J1645" s="5" t="s">
        <v>1025</v>
      </c>
      <c r="K1645" s="5" t="s">
        <v>1025</v>
      </c>
      <c r="L1645" s="3"/>
      <c r="M1645" s="5">
        <v>9.0</v>
      </c>
      <c r="N1645" s="5">
        <v>54.0</v>
      </c>
      <c r="O1645" s="3"/>
      <c r="P1645" s="3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</row>
    <row r="1646" ht="15.75" customHeight="1">
      <c r="A1646" s="3" t="s">
        <v>1020</v>
      </c>
      <c r="B1646" s="3" t="s">
        <v>1021</v>
      </c>
      <c r="C1646" s="3" t="s">
        <v>19</v>
      </c>
      <c r="D1646" s="3" t="s">
        <v>1022</v>
      </c>
      <c r="E1646" s="3" t="s">
        <v>1030</v>
      </c>
      <c r="F1646" s="3">
        <v>4.0</v>
      </c>
      <c r="G1646" s="22">
        <v>-27.46804</v>
      </c>
      <c r="H1646" s="22">
        <v>-48.43893</v>
      </c>
      <c r="I1646" s="5">
        <v>8.0</v>
      </c>
      <c r="J1646" s="5" t="s">
        <v>474</v>
      </c>
      <c r="K1646" s="5" t="s">
        <v>98</v>
      </c>
      <c r="L1646" s="3"/>
      <c r="M1646" s="5">
        <v>9.0</v>
      </c>
      <c r="N1646" s="5">
        <v>47.0</v>
      </c>
      <c r="O1646" s="3"/>
      <c r="P1646" s="3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</row>
    <row r="1647" ht="15.75" customHeight="1">
      <c r="A1647" s="3" t="s">
        <v>1020</v>
      </c>
      <c r="B1647" s="3" t="s">
        <v>1021</v>
      </c>
      <c r="C1647" s="3" t="s">
        <v>19</v>
      </c>
      <c r="D1647" s="3" t="s">
        <v>1022</v>
      </c>
      <c r="E1647" s="3" t="s">
        <v>1030</v>
      </c>
      <c r="F1647" s="3">
        <v>4.0</v>
      </c>
      <c r="G1647" s="22">
        <v>-27.46804</v>
      </c>
      <c r="H1647" s="22">
        <v>-48.43893</v>
      </c>
      <c r="I1647" s="5">
        <v>9.0</v>
      </c>
      <c r="J1647" s="5" t="s">
        <v>37</v>
      </c>
      <c r="K1647" s="5" t="s">
        <v>37</v>
      </c>
      <c r="L1647" s="3"/>
      <c r="M1647" s="5">
        <v>4.0</v>
      </c>
      <c r="N1647" s="5">
        <v>20.0</v>
      </c>
      <c r="O1647" s="3"/>
      <c r="P1647" s="3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</row>
    <row r="1648" ht="15.75" customHeight="1">
      <c r="A1648" s="3" t="s">
        <v>1020</v>
      </c>
      <c r="B1648" s="3" t="s">
        <v>1021</v>
      </c>
      <c r="C1648" s="3" t="s">
        <v>19</v>
      </c>
      <c r="D1648" s="3" t="s">
        <v>1022</v>
      </c>
      <c r="E1648" s="3" t="s">
        <v>1030</v>
      </c>
      <c r="F1648" s="3">
        <v>4.0</v>
      </c>
      <c r="G1648" s="22">
        <v>-27.46804</v>
      </c>
      <c r="H1648" s="22">
        <v>-48.43893</v>
      </c>
      <c r="I1648" s="5">
        <v>10.0</v>
      </c>
      <c r="J1648" s="5" t="s">
        <v>1025</v>
      </c>
      <c r="K1648" s="5" t="s">
        <v>1025</v>
      </c>
      <c r="L1648" s="3"/>
      <c r="M1648" s="5">
        <v>4.0</v>
      </c>
      <c r="N1648" s="5">
        <v>19.0</v>
      </c>
      <c r="O1648" s="3"/>
      <c r="P1648" s="3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</row>
    <row r="1649" ht="15.75" customHeight="1">
      <c r="A1649" s="3" t="s">
        <v>1020</v>
      </c>
      <c r="B1649" s="3" t="s">
        <v>1021</v>
      </c>
      <c r="C1649" s="3" t="s">
        <v>19</v>
      </c>
      <c r="D1649" s="3" t="s">
        <v>1022</v>
      </c>
      <c r="E1649" s="3" t="s">
        <v>1030</v>
      </c>
      <c r="F1649" s="3">
        <v>4.0</v>
      </c>
      <c r="G1649" s="22">
        <v>-27.46804</v>
      </c>
      <c r="H1649" s="22">
        <v>-48.43893</v>
      </c>
      <c r="I1649" s="5">
        <v>11.0</v>
      </c>
      <c r="J1649" s="5" t="s">
        <v>724</v>
      </c>
      <c r="K1649" s="5" t="s">
        <v>724</v>
      </c>
      <c r="L1649" s="3"/>
      <c r="M1649" s="5">
        <v>10.0</v>
      </c>
      <c r="N1649" s="5">
        <v>22.0</v>
      </c>
      <c r="O1649" s="3"/>
      <c r="P1649" s="3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</row>
    <row r="1650" ht="15.75" customHeight="1">
      <c r="A1650" s="3" t="s">
        <v>1020</v>
      </c>
      <c r="B1650" s="3" t="s">
        <v>1021</v>
      </c>
      <c r="C1650" s="3" t="s">
        <v>19</v>
      </c>
      <c r="D1650" s="3" t="s">
        <v>1022</v>
      </c>
      <c r="E1650" s="3" t="s">
        <v>1030</v>
      </c>
      <c r="F1650" s="3">
        <v>4.0</v>
      </c>
      <c r="G1650" s="22">
        <v>-27.46804</v>
      </c>
      <c r="H1650" s="22">
        <v>-48.43893</v>
      </c>
      <c r="I1650" s="5">
        <v>12.0</v>
      </c>
      <c r="J1650" s="5" t="s">
        <v>474</v>
      </c>
      <c r="K1650" s="5" t="s">
        <v>98</v>
      </c>
      <c r="L1650" s="3"/>
      <c r="M1650" s="5">
        <v>7.0</v>
      </c>
      <c r="N1650" s="5">
        <v>15.0</v>
      </c>
      <c r="O1650" s="3"/>
      <c r="P1650" s="3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</row>
    <row r="1651" ht="15.75" customHeight="1">
      <c r="A1651" s="3" t="s">
        <v>1020</v>
      </c>
      <c r="B1651" s="3" t="s">
        <v>1021</v>
      </c>
      <c r="C1651" s="3" t="s">
        <v>19</v>
      </c>
      <c r="D1651" s="3" t="s">
        <v>1022</v>
      </c>
      <c r="E1651" s="3" t="s">
        <v>1030</v>
      </c>
      <c r="F1651" s="3">
        <v>4.0</v>
      </c>
      <c r="G1651" s="22">
        <v>-27.46804</v>
      </c>
      <c r="H1651" s="22">
        <v>-48.43893</v>
      </c>
      <c r="I1651" s="5">
        <v>13.0</v>
      </c>
      <c r="J1651" s="3" t="s">
        <v>232</v>
      </c>
      <c r="K1651" s="5" t="s">
        <v>232</v>
      </c>
      <c r="L1651" s="3"/>
      <c r="M1651" s="5">
        <v>7.0</v>
      </c>
      <c r="N1651" s="5">
        <v>24.0</v>
      </c>
      <c r="O1651" s="3"/>
      <c r="P1651" s="3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</row>
    <row r="1652" ht="15.75" customHeight="1">
      <c r="A1652" s="3" t="s">
        <v>1020</v>
      </c>
      <c r="B1652" s="3" t="s">
        <v>1021</v>
      </c>
      <c r="C1652" s="3" t="s">
        <v>19</v>
      </c>
      <c r="D1652" s="3" t="s">
        <v>1022</v>
      </c>
      <c r="E1652" s="3" t="s">
        <v>1030</v>
      </c>
      <c r="F1652" s="3">
        <v>4.0</v>
      </c>
      <c r="G1652" s="22">
        <v>-27.46804</v>
      </c>
      <c r="H1652" s="22">
        <v>-48.43893</v>
      </c>
      <c r="I1652" s="5">
        <v>14.0</v>
      </c>
      <c r="J1652" s="5" t="s">
        <v>474</v>
      </c>
      <c r="K1652" s="5" t="s">
        <v>98</v>
      </c>
      <c r="L1652" s="3"/>
      <c r="M1652" s="5">
        <v>8.0</v>
      </c>
      <c r="N1652" s="5">
        <v>44.0</v>
      </c>
      <c r="O1652" s="3"/>
      <c r="P1652" s="3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</row>
    <row r="1653" ht="15.75" customHeight="1">
      <c r="A1653" s="3" t="s">
        <v>1020</v>
      </c>
      <c r="B1653" s="3" t="s">
        <v>1021</v>
      </c>
      <c r="C1653" s="3" t="s">
        <v>19</v>
      </c>
      <c r="D1653" s="3" t="s">
        <v>1022</v>
      </c>
      <c r="E1653" s="3" t="s">
        <v>1030</v>
      </c>
      <c r="F1653" s="3">
        <v>4.0</v>
      </c>
      <c r="G1653" s="22">
        <v>-27.46804</v>
      </c>
      <c r="H1653" s="22">
        <v>-48.43893</v>
      </c>
      <c r="I1653" s="5">
        <v>15.0</v>
      </c>
      <c r="J1653" s="5" t="s">
        <v>474</v>
      </c>
      <c r="K1653" s="5" t="s">
        <v>98</v>
      </c>
      <c r="L1653" s="3"/>
      <c r="M1653" s="5">
        <v>7.0</v>
      </c>
      <c r="N1653" s="5">
        <v>22.0</v>
      </c>
      <c r="O1653" s="3"/>
      <c r="P1653" s="3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</row>
    <row r="1654" ht="15.75" customHeight="1">
      <c r="A1654" s="3" t="s">
        <v>1020</v>
      </c>
      <c r="B1654" s="3" t="s">
        <v>1021</v>
      </c>
      <c r="C1654" s="3" t="s">
        <v>19</v>
      </c>
      <c r="D1654" s="3" t="s">
        <v>1022</v>
      </c>
      <c r="E1654" s="3" t="s">
        <v>1030</v>
      </c>
      <c r="F1654" s="3">
        <v>4.0</v>
      </c>
      <c r="G1654" s="22">
        <v>-27.46804</v>
      </c>
      <c r="H1654" s="22">
        <v>-48.43893</v>
      </c>
      <c r="I1654" s="5">
        <v>16.0</v>
      </c>
      <c r="J1654" s="5" t="s">
        <v>474</v>
      </c>
      <c r="K1654" s="5" t="s">
        <v>98</v>
      </c>
      <c r="L1654" s="3"/>
      <c r="M1654" s="5">
        <v>5.0</v>
      </c>
      <c r="N1654" s="5">
        <v>19.0</v>
      </c>
      <c r="O1654" s="3"/>
      <c r="P1654" s="3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</row>
    <row r="1655" ht="15.75" customHeight="1">
      <c r="A1655" s="3" t="s">
        <v>1020</v>
      </c>
      <c r="B1655" s="3" t="s">
        <v>1021</v>
      </c>
      <c r="C1655" s="3" t="s">
        <v>19</v>
      </c>
      <c r="D1655" s="3" t="s">
        <v>1022</v>
      </c>
      <c r="E1655" s="3" t="s">
        <v>1030</v>
      </c>
      <c r="F1655" s="3">
        <v>4.0</v>
      </c>
      <c r="G1655" s="22">
        <v>-27.46804</v>
      </c>
      <c r="H1655" s="22">
        <v>-48.43893</v>
      </c>
      <c r="I1655" s="5">
        <v>17.0</v>
      </c>
      <c r="J1655" s="25" t="s">
        <v>779</v>
      </c>
      <c r="K1655" s="25" t="s">
        <v>779</v>
      </c>
      <c r="L1655" s="3"/>
      <c r="M1655" s="5">
        <v>8.0</v>
      </c>
      <c r="N1655" s="5">
        <v>16.0</v>
      </c>
      <c r="O1655" s="3"/>
      <c r="P1655" s="3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</row>
    <row r="1656" ht="15.75" customHeight="1">
      <c r="A1656" s="3" t="s">
        <v>1020</v>
      </c>
      <c r="B1656" s="3" t="s">
        <v>1021</v>
      </c>
      <c r="C1656" s="3" t="s">
        <v>80</v>
      </c>
      <c r="D1656" s="3" t="s">
        <v>1031</v>
      </c>
      <c r="E1656" s="3" t="s">
        <v>1032</v>
      </c>
      <c r="F1656" s="3">
        <v>5.0</v>
      </c>
      <c r="G1656" s="4">
        <v>-27.46744</v>
      </c>
      <c r="H1656" s="22">
        <v>-48.43611</v>
      </c>
      <c r="I1656" s="5">
        <v>1.0</v>
      </c>
      <c r="J1656" s="5" t="s">
        <v>1025</v>
      </c>
      <c r="K1656" s="5" t="s">
        <v>1025</v>
      </c>
      <c r="L1656" s="3"/>
      <c r="M1656" s="5">
        <v>17.0</v>
      </c>
      <c r="N1656" s="5">
        <v>160.0</v>
      </c>
      <c r="O1656" s="5"/>
      <c r="P1656" s="3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</row>
    <row r="1657" ht="15.75" customHeight="1">
      <c r="A1657" s="3" t="s">
        <v>1020</v>
      </c>
      <c r="B1657" s="3" t="s">
        <v>1021</v>
      </c>
      <c r="C1657" s="3" t="s">
        <v>80</v>
      </c>
      <c r="D1657" s="3" t="s">
        <v>1031</v>
      </c>
      <c r="E1657" s="3" t="s">
        <v>1032</v>
      </c>
      <c r="F1657" s="3">
        <v>5.0</v>
      </c>
      <c r="G1657" s="4">
        <v>-27.46744</v>
      </c>
      <c r="H1657" s="22">
        <v>-48.43611</v>
      </c>
      <c r="I1657" s="5">
        <v>2.0</v>
      </c>
      <c r="J1657" s="3" t="s">
        <v>232</v>
      </c>
      <c r="K1657" s="5" t="s">
        <v>232</v>
      </c>
      <c r="L1657" s="3"/>
      <c r="M1657" s="5">
        <v>6.0</v>
      </c>
      <c r="N1657" s="5">
        <v>19.0</v>
      </c>
      <c r="O1657" s="5"/>
      <c r="P1657" s="5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</row>
    <row r="1658" ht="15.75" customHeight="1">
      <c r="A1658" s="3" t="s">
        <v>1020</v>
      </c>
      <c r="B1658" s="3" t="s">
        <v>1021</v>
      </c>
      <c r="C1658" s="3" t="s">
        <v>80</v>
      </c>
      <c r="D1658" s="3" t="s">
        <v>1031</v>
      </c>
      <c r="E1658" s="3" t="s">
        <v>1032</v>
      </c>
      <c r="F1658" s="3">
        <v>5.0</v>
      </c>
      <c r="G1658" s="4">
        <v>-27.46744</v>
      </c>
      <c r="H1658" s="22">
        <v>-48.43611</v>
      </c>
      <c r="I1658" s="5">
        <v>3.0</v>
      </c>
      <c r="J1658" s="19" t="s">
        <v>1033</v>
      </c>
      <c r="K1658" s="5" t="s">
        <v>315</v>
      </c>
      <c r="L1658" s="3"/>
      <c r="M1658" s="5">
        <v>5.0</v>
      </c>
      <c r="N1658" s="5">
        <v>17.0</v>
      </c>
      <c r="O1658" s="5" t="s">
        <v>1034</v>
      </c>
      <c r="P1658" s="5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</row>
    <row r="1659" ht="15.75" customHeight="1">
      <c r="A1659" s="3" t="s">
        <v>1020</v>
      </c>
      <c r="B1659" s="3" t="s">
        <v>1021</v>
      </c>
      <c r="C1659" s="3" t="s">
        <v>80</v>
      </c>
      <c r="D1659" s="3" t="s">
        <v>1031</v>
      </c>
      <c r="E1659" s="3" t="s">
        <v>1032</v>
      </c>
      <c r="F1659" s="3">
        <v>5.0</v>
      </c>
      <c r="G1659" s="4">
        <v>-27.46744</v>
      </c>
      <c r="H1659" s="22">
        <v>-48.43611</v>
      </c>
      <c r="I1659" s="5">
        <v>4.0</v>
      </c>
      <c r="J1659" s="5" t="s">
        <v>1025</v>
      </c>
      <c r="K1659" s="5" t="s">
        <v>1025</v>
      </c>
      <c r="L1659" s="3"/>
      <c r="M1659" s="5">
        <v>8.0</v>
      </c>
      <c r="N1659" s="5">
        <v>24.0</v>
      </c>
      <c r="O1659" s="5"/>
      <c r="P1659" s="5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</row>
    <row r="1660" ht="15.75" customHeight="1">
      <c r="A1660" s="3" t="s">
        <v>1020</v>
      </c>
      <c r="B1660" s="3" t="s">
        <v>1021</v>
      </c>
      <c r="C1660" s="3" t="s">
        <v>80</v>
      </c>
      <c r="D1660" s="3" t="s">
        <v>1031</v>
      </c>
      <c r="E1660" s="3" t="s">
        <v>1032</v>
      </c>
      <c r="F1660" s="3">
        <v>5.0</v>
      </c>
      <c r="G1660" s="4">
        <v>-27.46744</v>
      </c>
      <c r="H1660" s="22">
        <v>-48.43611</v>
      </c>
      <c r="I1660" s="5">
        <v>5.0</v>
      </c>
      <c r="J1660" s="5" t="s">
        <v>1025</v>
      </c>
      <c r="K1660" s="5" t="s">
        <v>1025</v>
      </c>
      <c r="L1660" s="3"/>
      <c r="M1660" s="5">
        <v>17.0</v>
      </c>
      <c r="N1660" s="5">
        <v>158.0</v>
      </c>
      <c r="O1660" s="5"/>
      <c r="P1660" s="5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</row>
    <row r="1661" ht="15.75" customHeight="1">
      <c r="A1661" s="3" t="s">
        <v>1020</v>
      </c>
      <c r="B1661" s="3" t="s">
        <v>1021</v>
      </c>
      <c r="C1661" s="3" t="s">
        <v>80</v>
      </c>
      <c r="D1661" s="3" t="s">
        <v>1031</v>
      </c>
      <c r="E1661" s="3" t="s">
        <v>1032</v>
      </c>
      <c r="F1661" s="3">
        <v>5.0</v>
      </c>
      <c r="G1661" s="4">
        <v>-27.46744</v>
      </c>
      <c r="H1661" s="22">
        <v>-48.43611</v>
      </c>
      <c r="I1661" s="5">
        <v>6.0</v>
      </c>
      <c r="J1661" s="5" t="s">
        <v>108</v>
      </c>
      <c r="K1661" s="5" t="s">
        <v>108</v>
      </c>
      <c r="L1661" s="3"/>
      <c r="M1661" s="5">
        <v>9.0</v>
      </c>
      <c r="N1661" s="5">
        <v>67.0</v>
      </c>
      <c r="O1661" s="5"/>
      <c r="P1661" s="5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</row>
    <row r="1662" ht="15.75" customHeight="1">
      <c r="A1662" s="3" t="s">
        <v>1020</v>
      </c>
      <c r="B1662" s="3" t="s">
        <v>1021</v>
      </c>
      <c r="C1662" s="3" t="s">
        <v>80</v>
      </c>
      <c r="D1662" s="3" t="s">
        <v>1031</v>
      </c>
      <c r="E1662" s="3" t="s">
        <v>1032</v>
      </c>
      <c r="F1662" s="3">
        <v>5.0</v>
      </c>
      <c r="G1662" s="4">
        <v>-27.46744</v>
      </c>
      <c r="H1662" s="22">
        <v>-48.43611</v>
      </c>
      <c r="I1662" s="5">
        <v>7.0</v>
      </c>
      <c r="J1662" s="5" t="s">
        <v>1035</v>
      </c>
      <c r="K1662" s="5" t="s">
        <v>930</v>
      </c>
      <c r="L1662" s="3"/>
      <c r="M1662" s="5">
        <v>8.0</v>
      </c>
      <c r="N1662" s="5">
        <v>35.0</v>
      </c>
      <c r="O1662" s="5"/>
      <c r="P1662" s="5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</row>
    <row r="1663" ht="15.75" customHeight="1">
      <c r="A1663" s="3" t="s">
        <v>1020</v>
      </c>
      <c r="B1663" s="3" t="s">
        <v>1021</v>
      </c>
      <c r="C1663" s="3" t="s">
        <v>80</v>
      </c>
      <c r="D1663" s="3" t="s">
        <v>1031</v>
      </c>
      <c r="E1663" s="3" t="s">
        <v>1032</v>
      </c>
      <c r="F1663" s="3">
        <v>5.0</v>
      </c>
      <c r="G1663" s="4">
        <v>-27.46744</v>
      </c>
      <c r="H1663" s="22">
        <v>-48.43611</v>
      </c>
      <c r="I1663" s="5">
        <v>8.0</v>
      </c>
      <c r="J1663" s="5" t="s">
        <v>490</v>
      </c>
      <c r="K1663" s="5" t="s">
        <v>105</v>
      </c>
      <c r="L1663" s="3"/>
      <c r="M1663" s="5">
        <v>7.0</v>
      </c>
      <c r="N1663" s="5">
        <v>28.0</v>
      </c>
      <c r="O1663" s="5"/>
      <c r="P1663" s="5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</row>
    <row r="1664" ht="15.75" customHeight="1">
      <c r="A1664" s="3" t="s">
        <v>1020</v>
      </c>
      <c r="B1664" s="3" t="s">
        <v>1021</v>
      </c>
      <c r="C1664" s="3" t="s">
        <v>80</v>
      </c>
      <c r="D1664" s="3" t="s">
        <v>1031</v>
      </c>
      <c r="E1664" s="3" t="s">
        <v>1032</v>
      </c>
      <c r="F1664" s="3">
        <v>5.0</v>
      </c>
      <c r="G1664" s="4">
        <v>-27.46744</v>
      </c>
      <c r="H1664" s="22">
        <v>-48.43611</v>
      </c>
      <c r="I1664" s="5">
        <v>9.0</v>
      </c>
      <c r="J1664" s="5" t="s">
        <v>335</v>
      </c>
      <c r="K1664" s="5" t="s">
        <v>335</v>
      </c>
      <c r="L1664" s="3"/>
      <c r="M1664" s="5">
        <v>13.0</v>
      </c>
      <c r="N1664" s="5">
        <v>95.0</v>
      </c>
      <c r="O1664" s="5"/>
      <c r="P1664" s="5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</row>
    <row r="1665" ht="15.75" customHeight="1">
      <c r="A1665" s="3" t="s">
        <v>1020</v>
      </c>
      <c r="B1665" s="3" t="s">
        <v>1021</v>
      </c>
      <c r="C1665" s="3" t="s">
        <v>80</v>
      </c>
      <c r="D1665" s="3" t="s">
        <v>1031</v>
      </c>
      <c r="E1665" s="3" t="s">
        <v>1032</v>
      </c>
      <c r="F1665" s="3">
        <v>5.0</v>
      </c>
      <c r="G1665" s="4">
        <v>-27.46744</v>
      </c>
      <c r="H1665" s="22">
        <v>-48.43611</v>
      </c>
      <c r="I1665" s="5">
        <v>10.0</v>
      </c>
      <c r="J1665" s="5" t="s">
        <v>1025</v>
      </c>
      <c r="K1665" s="5" t="s">
        <v>1025</v>
      </c>
      <c r="L1665" s="3"/>
      <c r="M1665" s="5">
        <v>14.0</v>
      </c>
      <c r="N1665" s="5">
        <v>120.0</v>
      </c>
      <c r="O1665" s="5"/>
      <c r="P1665" s="5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</row>
    <row r="1666" ht="15.75" customHeight="1">
      <c r="A1666" s="3" t="s">
        <v>1020</v>
      </c>
      <c r="B1666" s="3" t="s">
        <v>1021</v>
      </c>
      <c r="C1666" s="3" t="s">
        <v>80</v>
      </c>
      <c r="D1666" s="3" t="s">
        <v>1031</v>
      </c>
      <c r="E1666" s="3" t="s">
        <v>1032</v>
      </c>
      <c r="F1666" s="3">
        <v>5.0</v>
      </c>
      <c r="G1666" s="4">
        <v>-27.46744</v>
      </c>
      <c r="H1666" s="22">
        <v>-48.43611</v>
      </c>
      <c r="I1666" s="5">
        <v>11.0</v>
      </c>
      <c r="J1666" s="5" t="s">
        <v>1036</v>
      </c>
      <c r="K1666" s="5" t="s">
        <v>1037</v>
      </c>
      <c r="L1666" s="3"/>
      <c r="M1666" s="5">
        <v>10.0</v>
      </c>
      <c r="N1666" s="5">
        <v>58.0</v>
      </c>
      <c r="O1666" s="5" t="s">
        <v>1038</v>
      </c>
      <c r="P1666" s="5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</row>
    <row r="1667" ht="15.75" customHeight="1">
      <c r="A1667" s="3" t="s">
        <v>1020</v>
      </c>
      <c r="B1667" s="3" t="s">
        <v>1021</v>
      </c>
      <c r="C1667" s="3" t="s">
        <v>80</v>
      </c>
      <c r="D1667" s="3" t="s">
        <v>1031</v>
      </c>
      <c r="E1667" s="3" t="s">
        <v>1032</v>
      </c>
      <c r="F1667" s="3">
        <v>5.0</v>
      </c>
      <c r="G1667" s="4">
        <v>-27.46744</v>
      </c>
      <c r="H1667" s="22">
        <v>-48.43611</v>
      </c>
      <c r="I1667" s="5">
        <v>12.0</v>
      </c>
      <c r="J1667" s="3" t="s">
        <v>232</v>
      </c>
      <c r="K1667" s="5" t="s">
        <v>232</v>
      </c>
      <c r="L1667" s="3"/>
      <c r="M1667" s="5">
        <v>7.0</v>
      </c>
      <c r="N1667" s="5">
        <v>29.0</v>
      </c>
      <c r="O1667" s="5"/>
      <c r="P1667" s="3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</row>
    <row r="1668" ht="15.75" customHeight="1">
      <c r="A1668" s="3" t="s">
        <v>1020</v>
      </c>
      <c r="B1668" s="3" t="s">
        <v>1021</v>
      </c>
      <c r="C1668" s="3" t="s">
        <v>80</v>
      </c>
      <c r="D1668" s="3" t="s">
        <v>1031</v>
      </c>
      <c r="E1668" s="3" t="s">
        <v>1032</v>
      </c>
      <c r="F1668" s="3">
        <v>5.0</v>
      </c>
      <c r="G1668" s="4">
        <v>-27.46744</v>
      </c>
      <c r="H1668" s="22">
        <v>-48.43611</v>
      </c>
      <c r="I1668" s="5">
        <v>13.0</v>
      </c>
      <c r="J1668" s="5" t="s">
        <v>1039</v>
      </c>
      <c r="K1668" s="5" t="s">
        <v>1039</v>
      </c>
      <c r="L1668" s="3"/>
      <c r="M1668" s="5">
        <v>10.0</v>
      </c>
      <c r="N1668" s="5">
        <v>40.0</v>
      </c>
      <c r="O1668" s="5"/>
      <c r="P1668" s="3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</row>
    <row r="1669" ht="15.75" customHeight="1">
      <c r="A1669" s="3" t="s">
        <v>1020</v>
      </c>
      <c r="B1669" s="3" t="s">
        <v>1021</v>
      </c>
      <c r="C1669" s="3" t="s">
        <v>80</v>
      </c>
      <c r="D1669" s="3" t="s">
        <v>1031</v>
      </c>
      <c r="E1669" s="3" t="s">
        <v>1032</v>
      </c>
      <c r="F1669" s="3">
        <v>5.0</v>
      </c>
      <c r="G1669" s="4">
        <v>-27.46744</v>
      </c>
      <c r="H1669" s="22">
        <v>-48.43611</v>
      </c>
      <c r="I1669" s="5">
        <v>14.0</v>
      </c>
      <c r="J1669" s="5" t="s">
        <v>1025</v>
      </c>
      <c r="K1669" s="5" t="s">
        <v>1025</v>
      </c>
      <c r="L1669" s="3"/>
      <c r="M1669" s="5">
        <v>7.0</v>
      </c>
      <c r="N1669" s="5">
        <v>20.0</v>
      </c>
      <c r="O1669" s="5"/>
      <c r="P1669" s="3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</row>
    <row r="1670" ht="15.75" customHeight="1">
      <c r="A1670" s="3" t="s">
        <v>1020</v>
      </c>
      <c r="B1670" s="3" t="s">
        <v>1021</v>
      </c>
      <c r="C1670" s="3" t="s">
        <v>80</v>
      </c>
      <c r="D1670" s="3" t="s">
        <v>1031</v>
      </c>
      <c r="E1670" s="3" t="s">
        <v>1032</v>
      </c>
      <c r="F1670" s="3">
        <v>5.0</v>
      </c>
      <c r="G1670" s="4">
        <v>-27.46744</v>
      </c>
      <c r="H1670" s="22">
        <v>-48.43611</v>
      </c>
      <c r="I1670" s="5">
        <v>15.0</v>
      </c>
      <c r="J1670" s="5" t="s">
        <v>1025</v>
      </c>
      <c r="K1670" s="5" t="s">
        <v>1025</v>
      </c>
      <c r="L1670" s="3"/>
      <c r="M1670" s="5">
        <v>14.0</v>
      </c>
      <c r="N1670" s="5">
        <v>89.0</v>
      </c>
      <c r="O1670" s="5"/>
      <c r="P1670" s="3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</row>
    <row r="1671" ht="15.75" customHeight="1">
      <c r="A1671" s="3" t="s">
        <v>1020</v>
      </c>
      <c r="B1671" s="3" t="s">
        <v>1021</v>
      </c>
      <c r="C1671" s="3" t="s">
        <v>80</v>
      </c>
      <c r="D1671" s="3" t="s">
        <v>1031</v>
      </c>
      <c r="E1671" s="3" t="s">
        <v>1032</v>
      </c>
      <c r="F1671" s="3">
        <v>5.0</v>
      </c>
      <c r="G1671" s="4">
        <v>-27.46744</v>
      </c>
      <c r="H1671" s="22">
        <v>-48.43611</v>
      </c>
      <c r="I1671" s="5">
        <v>16.0</v>
      </c>
      <c r="J1671" s="5" t="s">
        <v>1025</v>
      </c>
      <c r="K1671" s="5" t="s">
        <v>1025</v>
      </c>
      <c r="L1671" s="3"/>
      <c r="M1671" s="5">
        <v>9.0</v>
      </c>
      <c r="N1671" s="5">
        <v>39.0</v>
      </c>
      <c r="O1671" s="5"/>
      <c r="P1671" s="3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</row>
    <row r="1672" ht="15.75" customHeight="1">
      <c r="A1672" s="3" t="s">
        <v>1020</v>
      </c>
      <c r="B1672" s="3" t="s">
        <v>1021</v>
      </c>
      <c r="C1672" s="3" t="s">
        <v>80</v>
      </c>
      <c r="D1672" s="3" t="s">
        <v>1031</v>
      </c>
      <c r="E1672" s="3" t="s">
        <v>1032</v>
      </c>
      <c r="F1672" s="3">
        <v>5.0</v>
      </c>
      <c r="G1672" s="4">
        <v>-27.46744</v>
      </c>
      <c r="H1672" s="22">
        <v>-48.43611</v>
      </c>
      <c r="I1672" s="5">
        <v>17.0</v>
      </c>
      <c r="J1672" s="5" t="s">
        <v>1025</v>
      </c>
      <c r="K1672" s="5" t="s">
        <v>1025</v>
      </c>
      <c r="L1672" s="3"/>
      <c r="M1672" s="5">
        <v>13.0</v>
      </c>
      <c r="N1672" s="5">
        <v>71.0</v>
      </c>
      <c r="O1672" s="5"/>
      <c r="P1672" s="3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</row>
    <row r="1673" ht="15.75" customHeight="1">
      <c r="A1673" s="3" t="s">
        <v>1020</v>
      </c>
      <c r="B1673" s="3" t="s">
        <v>1021</v>
      </c>
      <c r="C1673" s="3" t="s">
        <v>80</v>
      </c>
      <c r="D1673" s="3" t="s">
        <v>1031</v>
      </c>
      <c r="E1673" s="3" t="s">
        <v>1032</v>
      </c>
      <c r="F1673" s="3">
        <v>5.0</v>
      </c>
      <c r="G1673" s="4">
        <v>-27.46744</v>
      </c>
      <c r="H1673" s="22">
        <v>-48.43611</v>
      </c>
      <c r="I1673" s="5">
        <v>18.0</v>
      </c>
      <c r="J1673" s="5" t="s">
        <v>153</v>
      </c>
      <c r="K1673" s="5" t="s">
        <v>153</v>
      </c>
      <c r="L1673" s="3"/>
      <c r="M1673" s="5">
        <v>12.0</v>
      </c>
      <c r="N1673" s="5">
        <v>104.0</v>
      </c>
      <c r="O1673" s="5"/>
      <c r="P1673" s="3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</row>
    <row r="1674" ht="15.75" customHeight="1">
      <c r="A1674" s="3" t="s">
        <v>1020</v>
      </c>
      <c r="B1674" s="3" t="s">
        <v>1021</v>
      </c>
      <c r="C1674" s="3" t="s">
        <v>80</v>
      </c>
      <c r="D1674" s="3" t="s">
        <v>1031</v>
      </c>
      <c r="E1674" s="3" t="s">
        <v>1032</v>
      </c>
      <c r="F1674" s="3">
        <v>5.0</v>
      </c>
      <c r="G1674" s="4">
        <v>-27.46744</v>
      </c>
      <c r="H1674" s="22">
        <v>-48.43611</v>
      </c>
      <c r="I1674" s="5">
        <v>19.0</v>
      </c>
      <c r="J1674" s="5" t="s">
        <v>1039</v>
      </c>
      <c r="K1674" s="5" t="s">
        <v>1039</v>
      </c>
      <c r="L1674" s="3"/>
      <c r="M1674" s="5">
        <v>17.0</v>
      </c>
      <c r="N1674" s="5">
        <v>100.0</v>
      </c>
      <c r="O1674" s="5"/>
      <c r="P1674" s="3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</row>
    <row r="1675" ht="15.75" customHeight="1">
      <c r="A1675" s="3" t="s">
        <v>1020</v>
      </c>
      <c r="B1675" s="3" t="s">
        <v>1021</v>
      </c>
      <c r="C1675" s="3" t="s">
        <v>80</v>
      </c>
      <c r="D1675" s="3" t="s">
        <v>1031</v>
      </c>
      <c r="E1675" s="3" t="s">
        <v>1032</v>
      </c>
      <c r="F1675" s="3">
        <v>5.0</v>
      </c>
      <c r="G1675" s="4">
        <v>-27.46744</v>
      </c>
      <c r="H1675" s="22">
        <v>-48.43611</v>
      </c>
      <c r="I1675" s="5">
        <v>20.0</v>
      </c>
      <c r="J1675" s="5" t="s">
        <v>37</v>
      </c>
      <c r="K1675" s="5" t="s">
        <v>37</v>
      </c>
      <c r="L1675" s="3"/>
      <c r="M1675" s="5">
        <v>15.0</v>
      </c>
      <c r="N1675" s="5">
        <v>90.0</v>
      </c>
      <c r="O1675" s="5"/>
      <c r="P1675" s="3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</row>
    <row r="1676" ht="15.75" customHeight="1">
      <c r="A1676" s="3" t="s">
        <v>1020</v>
      </c>
      <c r="B1676" s="3" t="s">
        <v>1021</v>
      </c>
      <c r="C1676" s="3" t="s">
        <v>80</v>
      </c>
      <c r="D1676" s="3" t="s">
        <v>1031</v>
      </c>
      <c r="E1676" s="3" t="s">
        <v>1040</v>
      </c>
      <c r="F1676" s="3">
        <v>6.0</v>
      </c>
      <c r="G1676" s="4">
        <v>-27.46749</v>
      </c>
      <c r="H1676" s="22">
        <v>-48.43592</v>
      </c>
      <c r="I1676" s="5">
        <v>1.0</v>
      </c>
      <c r="J1676" s="5" t="s">
        <v>1036</v>
      </c>
      <c r="K1676" s="5" t="s">
        <v>1037</v>
      </c>
      <c r="L1676" s="3"/>
      <c r="M1676" s="5">
        <v>10.0</v>
      </c>
      <c r="N1676" s="5">
        <v>54.0</v>
      </c>
      <c r="O1676" s="5"/>
      <c r="P1676" s="3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</row>
    <row r="1677" ht="15.75" customHeight="1">
      <c r="A1677" s="3" t="s">
        <v>1020</v>
      </c>
      <c r="B1677" s="3" t="s">
        <v>1021</v>
      </c>
      <c r="C1677" s="3" t="s">
        <v>80</v>
      </c>
      <c r="D1677" s="3" t="s">
        <v>1031</v>
      </c>
      <c r="E1677" s="3" t="s">
        <v>1040</v>
      </c>
      <c r="F1677" s="3">
        <v>6.0</v>
      </c>
      <c r="G1677" s="4">
        <v>-27.46749</v>
      </c>
      <c r="H1677" s="22">
        <v>-48.43592</v>
      </c>
      <c r="I1677" s="5">
        <v>2.0</v>
      </c>
      <c r="J1677" s="5" t="s">
        <v>455</v>
      </c>
      <c r="K1677" s="5" t="s">
        <v>455</v>
      </c>
      <c r="L1677" s="3"/>
      <c r="M1677" s="5">
        <v>9.0</v>
      </c>
      <c r="N1677" s="5" t="s">
        <v>1041</v>
      </c>
      <c r="O1677" s="5"/>
      <c r="P1677" s="3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</row>
    <row r="1678" ht="15.75" customHeight="1">
      <c r="A1678" s="3" t="s">
        <v>1020</v>
      </c>
      <c r="B1678" s="3" t="s">
        <v>1021</v>
      </c>
      <c r="C1678" s="3" t="s">
        <v>80</v>
      </c>
      <c r="D1678" s="3" t="s">
        <v>1031</v>
      </c>
      <c r="E1678" s="3" t="s">
        <v>1040</v>
      </c>
      <c r="F1678" s="3">
        <v>6.0</v>
      </c>
      <c r="G1678" s="4">
        <v>-27.46749</v>
      </c>
      <c r="H1678" s="22">
        <v>-48.43592</v>
      </c>
      <c r="I1678" s="5">
        <v>3.0</v>
      </c>
      <c r="J1678" s="5" t="s">
        <v>1036</v>
      </c>
      <c r="K1678" s="5" t="s">
        <v>1037</v>
      </c>
      <c r="L1678" s="3"/>
      <c r="M1678" s="5">
        <v>8.0</v>
      </c>
      <c r="N1678" s="5">
        <v>25.0</v>
      </c>
      <c r="O1678" s="5"/>
      <c r="P1678" s="3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</row>
    <row r="1679" ht="15.75" customHeight="1">
      <c r="A1679" s="3" t="s">
        <v>1020</v>
      </c>
      <c r="B1679" s="3" t="s">
        <v>1021</v>
      </c>
      <c r="C1679" s="3" t="s">
        <v>80</v>
      </c>
      <c r="D1679" s="3" t="s">
        <v>1031</v>
      </c>
      <c r="E1679" s="3" t="s">
        <v>1040</v>
      </c>
      <c r="F1679" s="3">
        <v>6.0</v>
      </c>
      <c r="G1679" s="4">
        <v>-27.46749</v>
      </c>
      <c r="H1679" s="22">
        <v>-48.43592</v>
      </c>
      <c r="I1679" s="5">
        <v>4.0</v>
      </c>
      <c r="J1679" s="3" t="s">
        <v>232</v>
      </c>
      <c r="K1679" s="3" t="s">
        <v>232</v>
      </c>
      <c r="L1679" s="3"/>
      <c r="M1679" s="5">
        <v>7.0</v>
      </c>
      <c r="N1679" s="5">
        <v>23.0</v>
      </c>
      <c r="O1679" s="5"/>
      <c r="P1679" s="3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</row>
    <row r="1680" ht="15.75" customHeight="1">
      <c r="A1680" s="3" t="s">
        <v>1020</v>
      </c>
      <c r="B1680" s="3" t="s">
        <v>1021</v>
      </c>
      <c r="C1680" s="3" t="s">
        <v>80</v>
      </c>
      <c r="D1680" s="3" t="s">
        <v>1031</v>
      </c>
      <c r="E1680" s="3" t="s">
        <v>1040</v>
      </c>
      <c r="F1680" s="3">
        <v>6.0</v>
      </c>
      <c r="G1680" s="4">
        <v>-27.46749</v>
      </c>
      <c r="H1680" s="22">
        <v>-48.43592</v>
      </c>
      <c r="I1680" s="5">
        <v>5.0</v>
      </c>
      <c r="J1680" s="5" t="s">
        <v>1025</v>
      </c>
      <c r="K1680" s="5" t="s">
        <v>1025</v>
      </c>
      <c r="L1680" s="3"/>
      <c r="M1680" s="5">
        <v>8.0</v>
      </c>
      <c r="N1680" s="5">
        <v>28.0</v>
      </c>
      <c r="O1680" s="5"/>
      <c r="P1680" s="3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</row>
    <row r="1681" ht="15.75" customHeight="1">
      <c r="A1681" s="3" t="s">
        <v>1020</v>
      </c>
      <c r="B1681" s="3" t="s">
        <v>1021</v>
      </c>
      <c r="C1681" s="3" t="s">
        <v>80</v>
      </c>
      <c r="D1681" s="3" t="s">
        <v>1031</v>
      </c>
      <c r="E1681" s="3" t="s">
        <v>1040</v>
      </c>
      <c r="F1681" s="3">
        <v>6.0</v>
      </c>
      <c r="G1681" s="4">
        <v>-27.46749</v>
      </c>
      <c r="H1681" s="22">
        <v>-48.43592</v>
      </c>
      <c r="I1681" s="5">
        <v>6.0</v>
      </c>
      <c r="J1681" s="5" t="s">
        <v>154</v>
      </c>
      <c r="K1681" s="5" t="s">
        <v>154</v>
      </c>
      <c r="L1681" s="3"/>
      <c r="M1681" s="5">
        <v>12.0</v>
      </c>
      <c r="N1681" s="5">
        <v>97.0</v>
      </c>
      <c r="O1681" s="5"/>
      <c r="P1681" s="3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</row>
    <row r="1682" ht="15.75" customHeight="1">
      <c r="A1682" s="3" t="s">
        <v>1020</v>
      </c>
      <c r="B1682" s="3" t="s">
        <v>1021</v>
      </c>
      <c r="C1682" s="3" t="s">
        <v>80</v>
      </c>
      <c r="D1682" s="3" t="s">
        <v>1031</v>
      </c>
      <c r="E1682" s="3" t="s">
        <v>1040</v>
      </c>
      <c r="F1682" s="3">
        <v>6.0</v>
      </c>
      <c r="G1682" s="4">
        <v>-27.46749</v>
      </c>
      <c r="H1682" s="22">
        <v>-48.43592</v>
      </c>
      <c r="I1682" s="5">
        <v>7.0</v>
      </c>
      <c r="J1682" s="5" t="s">
        <v>153</v>
      </c>
      <c r="K1682" s="5" t="s">
        <v>153</v>
      </c>
      <c r="L1682" s="3"/>
      <c r="M1682" s="5">
        <v>6.0</v>
      </c>
      <c r="N1682" s="5">
        <v>32.0</v>
      </c>
      <c r="O1682" s="5"/>
      <c r="P1682" s="3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</row>
    <row r="1683" ht="15.75" customHeight="1">
      <c r="A1683" s="3" t="s">
        <v>1020</v>
      </c>
      <c r="B1683" s="3" t="s">
        <v>1021</v>
      </c>
      <c r="C1683" s="3" t="s">
        <v>80</v>
      </c>
      <c r="D1683" s="3" t="s">
        <v>1031</v>
      </c>
      <c r="E1683" s="3" t="s">
        <v>1040</v>
      </c>
      <c r="F1683" s="3">
        <v>6.0</v>
      </c>
      <c r="G1683" s="4">
        <v>-27.46749</v>
      </c>
      <c r="H1683" s="22">
        <v>-48.43592</v>
      </c>
      <c r="I1683" s="5">
        <v>8.0</v>
      </c>
      <c r="J1683" s="5" t="s">
        <v>1036</v>
      </c>
      <c r="K1683" s="5" t="s">
        <v>1037</v>
      </c>
      <c r="L1683" s="3"/>
      <c r="M1683" s="5">
        <v>9.0</v>
      </c>
      <c r="N1683" s="5">
        <v>41.0</v>
      </c>
      <c r="O1683" s="5"/>
      <c r="P1683" s="3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</row>
    <row r="1684" ht="15.75" customHeight="1">
      <c r="A1684" s="3" t="s">
        <v>1020</v>
      </c>
      <c r="B1684" s="3" t="s">
        <v>1021</v>
      </c>
      <c r="C1684" s="3" t="s">
        <v>80</v>
      </c>
      <c r="D1684" s="3" t="s">
        <v>1031</v>
      </c>
      <c r="E1684" s="3" t="s">
        <v>1040</v>
      </c>
      <c r="F1684" s="3">
        <v>6.0</v>
      </c>
      <c r="G1684" s="4">
        <v>-27.46749</v>
      </c>
      <c r="H1684" s="22">
        <v>-48.43592</v>
      </c>
      <c r="I1684" s="5">
        <v>9.0</v>
      </c>
      <c r="J1684" s="5" t="s">
        <v>335</v>
      </c>
      <c r="K1684" s="5" t="s">
        <v>335</v>
      </c>
      <c r="L1684" s="3"/>
      <c r="M1684" s="5">
        <v>12.0</v>
      </c>
      <c r="N1684" s="5">
        <v>97.0</v>
      </c>
      <c r="O1684" s="5"/>
      <c r="P1684" s="3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</row>
    <row r="1685" ht="15.75" customHeight="1">
      <c r="A1685" s="3" t="s">
        <v>1020</v>
      </c>
      <c r="B1685" s="3" t="s">
        <v>1021</v>
      </c>
      <c r="C1685" s="3" t="s">
        <v>80</v>
      </c>
      <c r="D1685" s="3" t="s">
        <v>1031</v>
      </c>
      <c r="E1685" s="3" t="s">
        <v>1040</v>
      </c>
      <c r="F1685" s="3">
        <v>6.0</v>
      </c>
      <c r="G1685" s="4">
        <v>-27.46749</v>
      </c>
      <c r="H1685" s="22">
        <v>-48.43592</v>
      </c>
      <c r="I1685" s="5">
        <v>10.0</v>
      </c>
      <c r="J1685" s="5" t="s">
        <v>78</v>
      </c>
      <c r="K1685" s="5" t="s">
        <v>78</v>
      </c>
      <c r="L1685" s="3"/>
      <c r="M1685" s="5">
        <v>11.0</v>
      </c>
      <c r="N1685" s="5">
        <v>57.0</v>
      </c>
      <c r="O1685" s="5"/>
      <c r="P1685" s="3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</row>
    <row r="1686" ht="15.75" customHeight="1">
      <c r="A1686" s="3" t="s">
        <v>1020</v>
      </c>
      <c r="B1686" s="3" t="s">
        <v>1021</v>
      </c>
      <c r="C1686" s="3" t="s">
        <v>80</v>
      </c>
      <c r="D1686" s="3" t="s">
        <v>1031</v>
      </c>
      <c r="E1686" s="3" t="s">
        <v>1040</v>
      </c>
      <c r="F1686" s="3">
        <v>6.0</v>
      </c>
      <c r="G1686" s="4">
        <v>-27.46749</v>
      </c>
      <c r="H1686" s="22">
        <v>-48.43592</v>
      </c>
      <c r="I1686" s="5">
        <v>11.0</v>
      </c>
      <c r="J1686" s="5" t="s">
        <v>154</v>
      </c>
      <c r="K1686" s="5" t="s">
        <v>154</v>
      </c>
      <c r="L1686" s="3"/>
      <c r="M1686" s="5">
        <v>9.0</v>
      </c>
      <c r="N1686" s="5">
        <v>20.0</v>
      </c>
      <c r="O1686" s="5"/>
      <c r="P1686" s="3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</row>
    <row r="1687" ht="15.75" customHeight="1">
      <c r="A1687" s="3" t="s">
        <v>1020</v>
      </c>
      <c r="B1687" s="3" t="s">
        <v>1021</v>
      </c>
      <c r="C1687" s="3" t="s">
        <v>80</v>
      </c>
      <c r="D1687" s="3" t="s">
        <v>1031</v>
      </c>
      <c r="E1687" s="3" t="s">
        <v>1040</v>
      </c>
      <c r="F1687" s="3">
        <v>6.0</v>
      </c>
      <c r="G1687" s="4">
        <v>-27.46749</v>
      </c>
      <c r="H1687" s="22">
        <v>-48.43592</v>
      </c>
      <c r="I1687" s="5">
        <v>12.0</v>
      </c>
      <c r="J1687" s="5" t="s">
        <v>154</v>
      </c>
      <c r="K1687" s="5" t="s">
        <v>154</v>
      </c>
      <c r="L1687" s="3"/>
      <c r="M1687" s="5">
        <v>8.0</v>
      </c>
      <c r="N1687" s="5">
        <v>22.0</v>
      </c>
      <c r="O1687" s="5"/>
      <c r="P1687" s="3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</row>
    <row r="1688" ht="15.75" customHeight="1">
      <c r="A1688" s="3" t="s">
        <v>1020</v>
      </c>
      <c r="B1688" s="3" t="s">
        <v>1021</v>
      </c>
      <c r="C1688" s="3" t="s">
        <v>80</v>
      </c>
      <c r="D1688" s="3" t="s">
        <v>1031</v>
      </c>
      <c r="E1688" s="3" t="s">
        <v>1040</v>
      </c>
      <c r="F1688" s="3">
        <v>6.0</v>
      </c>
      <c r="G1688" s="4">
        <v>-27.46749</v>
      </c>
      <c r="H1688" s="22">
        <v>-48.43592</v>
      </c>
      <c r="I1688" s="5">
        <v>13.0</v>
      </c>
      <c r="J1688" s="5" t="s">
        <v>153</v>
      </c>
      <c r="K1688" s="5" t="s">
        <v>153</v>
      </c>
      <c r="L1688" s="3"/>
      <c r="M1688" s="5">
        <v>4.0</v>
      </c>
      <c r="N1688" s="5">
        <v>23.0</v>
      </c>
      <c r="O1688" s="5"/>
      <c r="P1688" s="3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</row>
    <row r="1689" ht="15.75" customHeight="1">
      <c r="A1689" s="3" t="s">
        <v>1020</v>
      </c>
      <c r="B1689" s="3" t="s">
        <v>1021</v>
      </c>
      <c r="C1689" s="3" t="s">
        <v>80</v>
      </c>
      <c r="D1689" s="3" t="s">
        <v>1031</v>
      </c>
      <c r="E1689" s="3" t="s">
        <v>1040</v>
      </c>
      <c r="F1689" s="3">
        <v>6.0</v>
      </c>
      <c r="G1689" s="4">
        <v>-27.46749</v>
      </c>
      <c r="H1689" s="22">
        <v>-48.43592</v>
      </c>
      <c r="I1689" s="5">
        <v>14.0</v>
      </c>
      <c r="J1689" s="5" t="s">
        <v>839</v>
      </c>
      <c r="K1689" s="5" t="s">
        <v>839</v>
      </c>
      <c r="L1689" s="3"/>
      <c r="M1689" s="5">
        <v>6.0</v>
      </c>
      <c r="N1689" s="5">
        <v>26.0</v>
      </c>
      <c r="O1689" s="5" t="s">
        <v>1042</v>
      </c>
      <c r="P1689" s="3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</row>
    <row r="1690" ht="15.75" customHeight="1">
      <c r="A1690" s="3" t="s">
        <v>1020</v>
      </c>
      <c r="B1690" s="3" t="s">
        <v>1021</v>
      </c>
      <c r="C1690" s="3" t="s">
        <v>80</v>
      </c>
      <c r="D1690" s="3" t="s">
        <v>1031</v>
      </c>
      <c r="E1690" s="3" t="s">
        <v>1040</v>
      </c>
      <c r="F1690" s="3">
        <v>6.0</v>
      </c>
      <c r="G1690" s="4">
        <v>-27.46749</v>
      </c>
      <c r="H1690" s="22">
        <v>-48.43592</v>
      </c>
      <c r="I1690" s="5">
        <v>15.0</v>
      </c>
      <c r="J1690" s="5" t="s">
        <v>153</v>
      </c>
      <c r="K1690" s="5" t="s">
        <v>153</v>
      </c>
      <c r="L1690" s="3"/>
      <c r="M1690" s="5">
        <v>4.0</v>
      </c>
      <c r="N1690" s="5">
        <v>23.0</v>
      </c>
      <c r="O1690" s="5"/>
      <c r="P1690" s="3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</row>
    <row r="1691" ht="15.75" customHeight="1">
      <c r="A1691" s="3" t="s">
        <v>1020</v>
      </c>
      <c r="B1691" s="3" t="s">
        <v>1021</v>
      </c>
      <c r="C1691" s="3" t="s">
        <v>80</v>
      </c>
      <c r="D1691" s="3" t="s">
        <v>1031</v>
      </c>
      <c r="E1691" s="3" t="s">
        <v>1040</v>
      </c>
      <c r="F1691" s="3">
        <v>6.0</v>
      </c>
      <c r="G1691" s="4">
        <v>-27.46749</v>
      </c>
      <c r="H1691" s="22">
        <v>-48.43592</v>
      </c>
      <c r="I1691" s="5">
        <v>16.0</v>
      </c>
      <c r="J1691" s="19" t="s">
        <v>1043</v>
      </c>
      <c r="K1691" s="5" t="s">
        <v>315</v>
      </c>
      <c r="L1691" s="3"/>
      <c r="M1691" s="5">
        <v>7.5</v>
      </c>
      <c r="N1691" s="5">
        <v>23.0</v>
      </c>
      <c r="O1691" s="5" t="s">
        <v>1044</v>
      </c>
      <c r="P1691" s="3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</row>
    <row r="1692" ht="15.75" customHeight="1">
      <c r="A1692" s="3" t="s">
        <v>1020</v>
      </c>
      <c r="B1692" s="3" t="s">
        <v>1021</v>
      </c>
      <c r="C1692" s="3" t="s">
        <v>80</v>
      </c>
      <c r="D1692" s="3" t="s">
        <v>1031</v>
      </c>
      <c r="E1692" s="3" t="s">
        <v>1045</v>
      </c>
      <c r="F1692" s="3">
        <v>7.0</v>
      </c>
      <c r="G1692" s="4">
        <v>-27.46729</v>
      </c>
      <c r="H1692" s="4">
        <v>-48.43563</v>
      </c>
      <c r="I1692" s="5">
        <v>1.0</v>
      </c>
      <c r="J1692" s="5" t="s">
        <v>56</v>
      </c>
      <c r="K1692" s="5" t="s">
        <v>56</v>
      </c>
      <c r="L1692" s="3"/>
      <c r="M1692" s="5">
        <v>10.0</v>
      </c>
      <c r="N1692" s="5">
        <v>36.0</v>
      </c>
      <c r="O1692" s="5"/>
      <c r="P1692" s="3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</row>
    <row r="1693" ht="15.75" customHeight="1">
      <c r="A1693" s="3" t="s">
        <v>1020</v>
      </c>
      <c r="B1693" s="3" t="s">
        <v>1021</v>
      </c>
      <c r="C1693" s="3" t="s">
        <v>80</v>
      </c>
      <c r="D1693" s="3" t="s">
        <v>1031</v>
      </c>
      <c r="E1693" s="3" t="s">
        <v>1045</v>
      </c>
      <c r="F1693" s="3">
        <v>7.0</v>
      </c>
      <c r="G1693" s="4">
        <v>-27.46729</v>
      </c>
      <c r="H1693" s="4">
        <v>-48.43563</v>
      </c>
      <c r="I1693" s="5">
        <v>2.0</v>
      </c>
      <c r="J1693" s="25" t="s">
        <v>779</v>
      </c>
      <c r="K1693" s="25" t="s">
        <v>779</v>
      </c>
      <c r="L1693" s="3"/>
      <c r="M1693" s="5">
        <v>8.0</v>
      </c>
      <c r="N1693" s="5">
        <v>46.0</v>
      </c>
      <c r="O1693" s="5"/>
      <c r="P1693" s="3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</row>
    <row r="1694" ht="15.75" customHeight="1">
      <c r="A1694" s="3" t="s">
        <v>1020</v>
      </c>
      <c r="B1694" s="3" t="s">
        <v>1021</v>
      </c>
      <c r="C1694" s="3" t="s">
        <v>80</v>
      </c>
      <c r="D1694" s="3" t="s">
        <v>1031</v>
      </c>
      <c r="E1694" s="3" t="s">
        <v>1045</v>
      </c>
      <c r="F1694" s="3">
        <v>7.0</v>
      </c>
      <c r="G1694" s="4">
        <v>-27.46729</v>
      </c>
      <c r="H1694" s="4">
        <v>-48.43563</v>
      </c>
      <c r="I1694" s="5">
        <v>3.0</v>
      </c>
      <c r="J1694" s="25" t="s">
        <v>779</v>
      </c>
      <c r="K1694" s="25" t="s">
        <v>779</v>
      </c>
      <c r="L1694" s="3"/>
      <c r="M1694" s="5">
        <v>8.0</v>
      </c>
      <c r="N1694" s="5">
        <v>49.0</v>
      </c>
      <c r="O1694" s="5"/>
      <c r="P1694" s="3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</row>
    <row r="1695" ht="15.75" customHeight="1">
      <c r="A1695" s="3" t="s">
        <v>1020</v>
      </c>
      <c r="B1695" s="3" t="s">
        <v>1021</v>
      </c>
      <c r="C1695" s="3" t="s">
        <v>80</v>
      </c>
      <c r="D1695" s="3" t="s">
        <v>1031</v>
      </c>
      <c r="E1695" s="3" t="s">
        <v>1045</v>
      </c>
      <c r="F1695" s="3">
        <v>7.0</v>
      </c>
      <c r="G1695" s="4">
        <v>-27.46729</v>
      </c>
      <c r="H1695" s="4">
        <v>-48.43563</v>
      </c>
      <c r="I1695" s="5">
        <v>4.0</v>
      </c>
      <c r="J1695" s="25" t="s">
        <v>779</v>
      </c>
      <c r="K1695" s="25" t="s">
        <v>779</v>
      </c>
      <c r="L1695" s="3"/>
      <c r="M1695" s="5">
        <v>14.0</v>
      </c>
      <c r="N1695" s="5">
        <v>35.0</v>
      </c>
      <c r="O1695" s="5"/>
      <c r="P1695" s="3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</row>
    <row r="1696" ht="15.75" customHeight="1">
      <c r="A1696" s="3" t="s">
        <v>1020</v>
      </c>
      <c r="B1696" s="3" t="s">
        <v>1021</v>
      </c>
      <c r="C1696" s="3" t="s">
        <v>80</v>
      </c>
      <c r="D1696" s="3" t="s">
        <v>1031</v>
      </c>
      <c r="E1696" s="3" t="s">
        <v>1045</v>
      </c>
      <c r="F1696" s="3">
        <v>7.0</v>
      </c>
      <c r="G1696" s="4">
        <v>-27.46729</v>
      </c>
      <c r="H1696" s="4">
        <v>-48.43563</v>
      </c>
      <c r="I1696" s="5">
        <v>5.0</v>
      </c>
      <c r="J1696" s="25" t="s">
        <v>779</v>
      </c>
      <c r="K1696" s="25" t="s">
        <v>779</v>
      </c>
      <c r="L1696" s="3"/>
      <c r="M1696" s="5">
        <v>14.0</v>
      </c>
      <c r="N1696" s="5">
        <v>49.0</v>
      </c>
      <c r="O1696" s="5"/>
      <c r="P1696" s="3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</row>
    <row r="1697" ht="15.75" customHeight="1">
      <c r="A1697" s="3" t="s">
        <v>1020</v>
      </c>
      <c r="B1697" s="3" t="s">
        <v>1021</v>
      </c>
      <c r="C1697" s="3" t="s">
        <v>80</v>
      </c>
      <c r="D1697" s="3" t="s">
        <v>1031</v>
      </c>
      <c r="E1697" s="3" t="s">
        <v>1045</v>
      </c>
      <c r="F1697" s="3">
        <v>7.0</v>
      </c>
      <c r="G1697" s="4">
        <v>-27.46729</v>
      </c>
      <c r="H1697" s="4">
        <v>-48.43563</v>
      </c>
      <c r="I1697" s="5">
        <v>6.0</v>
      </c>
      <c r="J1697" s="19" t="s">
        <v>836</v>
      </c>
      <c r="K1697" s="5" t="s">
        <v>315</v>
      </c>
      <c r="L1697" s="3"/>
      <c r="M1697" s="5">
        <v>7.0</v>
      </c>
      <c r="N1697" s="5">
        <v>30.0</v>
      </c>
      <c r="O1697" s="5" t="s">
        <v>1046</v>
      </c>
      <c r="P1697" s="3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</row>
    <row r="1698" ht="15.75" customHeight="1">
      <c r="A1698" s="3" t="s">
        <v>1020</v>
      </c>
      <c r="B1698" s="3" t="s">
        <v>1021</v>
      </c>
      <c r="C1698" s="3" t="s">
        <v>80</v>
      </c>
      <c r="D1698" s="3" t="s">
        <v>1031</v>
      </c>
      <c r="E1698" s="3" t="s">
        <v>1045</v>
      </c>
      <c r="F1698" s="3">
        <v>7.0</v>
      </c>
      <c r="G1698" s="4">
        <v>-27.46729</v>
      </c>
      <c r="H1698" s="4">
        <v>-48.43563</v>
      </c>
      <c r="I1698" s="5">
        <v>7.0</v>
      </c>
      <c r="J1698" s="5" t="s">
        <v>323</v>
      </c>
      <c r="K1698" s="5" t="s">
        <v>323</v>
      </c>
      <c r="L1698" s="3"/>
      <c r="M1698" s="5">
        <v>6.0</v>
      </c>
      <c r="N1698" s="5">
        <v>35.0</v>
      </c>
      <c r="O1698" s="5"/>
      <c r="P1698" s="3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</row>
    <row r="1699" ht="15.75" customHeight="1">
      <c r="A1699" s="3" t="s">
        <v>1020</v>
      </c>
      <c r="B1699" s="3" t="s">
        <v>1021</v>
      </c>
      <c r="C1699" s="3" t="s">
        <v>80</v>
      </c>
      <c r="D1699" s="3" t="s">
        <v>1031</v>
      </c>
      <c r="E1699" s="3" t="s">
        <v>1045</v>
      </c>
      <c r="F1699" s="3">
        <v>7.0</v>
      </c>
      <c r="G1699" s="4">
        <v>-27.46729</v>
      </c>
      <c r="H1699" s="4">
        <v>-48.43563</v>
      </c>
      <c r="I1699" s="5">
        <v>8.0</v>
      </c>
      <c r="J1699" s="5" t="s">
        <v>98</v>
      </c>
      <c r="K1699" s="5" t="s">
        <v>98</v>
      </c>
      <c r="L1699" s="3"/>
      <c r="M1699" s="5">
        <v>8.0</v>
      </c>
      <c r="N1699" s="5" t="s">
        <v>1047</v>
      </c>
      <c r="O1699" s="5"/>
      <c r="P1699" s="3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</row>
    <row r="1700" ht="15.75" customHeight="1">
      <c r="A1700" s="3" t="s">
        <v>1020</v>
      </c>
      <c r="B1700" s="3" t="s">
        <v>1021</v>
      </c>
      <c r="C1700" s="3" t="s">
        <v>80</v>
      </c>
      <c r="D1700" s="3" t="s">
        <v>1031</v>
      </c>
      <c r="E1700" s="3" t="s">
        <v>1045</v>
      </c>
      <c r="F1700" s="3">
        <v>7.0</v>
      </c>
      <c r="G1700" s="4">
        <v>-27.46729</v>
      </c>
      <c r="H1700" s="4">
        <v>-48.43563</v>
      </c>
      <c r="I1700" s="5">
        <v>9.0</v>
      </c>
      <c r="J1700" s="5" t="s">
        <v>1048</v>
      </c>
      <c r="K1700" s="5" t="s">
        <v>1048</v>
      </c>
      <c r="L1700" s="3"/>
      <c r="M1700" s="5">
        <v>7.0</v>
      </c>
      <c r="N1700" s="5">
        <v>23.0</v>
      </c>
      <c r="O1700" s="5"/>
      <c r="P1700" s="3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</row>
    <row r="1701" ht="15.75" customHeight="1">
      <c r="A1701" s="3" t="s">
        <v>1020</v>
      </c>
      <c r="B1701" s="3" t="s">
        <v>1021</v>
      </c>
      <c r="C1701" s="3" t="s">
        <v>80</v>
      </c>
      <c r="D1701" s="3" t="s">
        <v>1031</v>
      </c>
      <c r="E1701" s="3" t="s">
        <v>1045</v>
      </c>
      <c r="F1701" s="3">
        <v>7.0</v>
      </c>
      <c r="G1701" s="4">
        <v>-27.46729</v>
      </c>
      <c r="H1701" s="4">
        <v>-48.43563</v>
      </c>
      <c r="I1701" s="5">
        <v>10.0</v>
      </c>
      <c r="J1701" s="3" t="s">
        <v>232</v>
      </c>
      <c r="K1701" s="3" t="s">
        <v>232</v>
      </c>
      <c r="L1701" s="3"/>
      <c r="M1701" s="5">
        <v>3.0</v>
      </c>
      <c r="N1701" s="5">
        <v>15.0</v>
      </c>
      <c r="O1701" s="5"/>
      <c r="P1701" s="3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</row>
    <row r="1702" ht="15.75" customHeight="1">
      <c r="A1702" s="3" t="s">
        <v>1020</v>
      </c>
      <c r="B1702" s="3" t="s">
        <v>1021</v>
      </c>
      <c r="C1702" s="3" t="s">
        <v>80</v>
      </c>
      <c r="D1702" s="3" t="s">
        <v>1031</v>
      </c>
      <c r="E1702" s="3" t="s">
        <v>1045</v>
      </c>
      <c r="F1702" s="3">
        <v>7.0</v>
      </c>
      <c r="G1702" s="4">
        <v>-27.46729</v>
      </c>
      <c r="H1702" s="4">
        <v>-48.43563</v>
      </c>
      <c r="I1702" s="5">
        <v>11.0</v>
      </c>
      <c r="J1702" s="5" t="s">
        <v>423</v>
      </c>
      <c r="K1702" s="5" t="s">
        <v>423</v>
      </c>
      <c r="L1702" s="3"/>
      <c r="M1702" s="5">
        <v>13.0</v>
      </c>
      <c r="N1702" s="5">
        <v>50.0</v>
      </c>
      <c r="O1702" s="5"/>
      <c r="P1702" s="3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</row>
    <row r="1703" ht="15.75" customHeight="1">
      <c r="A1703" s="3" t="s">
        <v>1020</v>
      </c>
      <c r="B1703" s="3" t="s">
        <v>1021</v>
      </c>
      <c r="C1703" s="3" t="s">
        <v>80</v>
      </c>
      <c r="D1703" s="3" t="s">
        <v>1031</v>
      </c>
      <c r="E1703" s="3" t="s">
        <v>1045</v>
      </c>
      <c r="F1703" s="3">
        <v>7.0</v>
      </c>
      <c r="G1703" s="4">
        <v>-27.46729</v>
      </c>
      <c r="H1703" s="4">
        <v>-48.43563</v>
      </c>
      <c r="I1703" s="5">
        <v>12.0</v>
      </c>
      <c r="J1703" s="5" t="s">
        <v>98</v>
      </c>
      <c r="K1703" s="5" t="s">
        <v>98</v>
      </c>
      <c r="L1703" s="3"/>
      <c r="M1703" s="5">
        <v>12.0</v>
      </c>
      <c r="N1703" s="5">
        <v>26.0</v>
      </c>
      <c r="O1703" s="5"/>
      <c r="P1703" s="3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</row>
    <row r="1704" ht="15.75" customHeight="1">
      <c r="A1704" s="3" t="s">
        <v>1020</v>
      </c>
      <c r="B1704" s="3" t="s">
        <v>1021</v>
      </c>
      <c r="C1704" s="3" t="s">
        <v>80</v>
      </c>
      <c r="D1704" s="3" t="s">
        <v>1031</v>
      </c>
      <c r="E1704" s="3" t="s">
        <v>1045</v>
      </c>
      <c r="F1704" s="3">
        <v>7.0</v>
      </c>
      <c r="G1704" s="4">
        <v>-27.46729</v>
      </c>
      <c r="H1704" s="4">
        <v>-48.43563</v>
      </c>
      <c r="I1704" s="5">
        <v>13.0</v>
      </c>
      <c r="J1704" s="5" t="s">
        <v>56</v>
      </c>
      <c r="K1704" s="5" t="s">
        <v>56</v>
      </c>
      <c r="L1704" s="3"/>
      <c r="M1704" s="5">
        <v>9.0</v>
      </c>
      <c r="N1704" s="5">
        <v>16.0</v>
      </c>
      <c r="O1704" s="5"/>
      <c r="P1704" s="3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</row>
    <row r="1705" ht="15.75" customHeight="1">
      <c r="A1705" s="3" t="s">
        <v>1020</v>
      </c>
      <c r="B1705" s="3" t="s">
        <v>1021</v>
      </c>
      <c r="C1705" s="3" t="s">
        <v>80</v>
      </c>
      <c r="D1705" s="3" t="s">
        <v>1031</v>
      </c>
      <c r="E1705" s="3" t="s">
        <v>1045</v>
      </c>
      <c r="F1705" s="3">
        <v>7.0</v>
      </c>
      <c r="G1705" s="4">
        <v>-27.46729</v>
      </c>
      <c r="H1705" s="4">
        <v>-48.43563</v>
      </c>
      <c r="I1705" s="5">
        <v>14.0</v>
      </c>
      <c r="J1705" s="5" t="s">
        <v>154</v>
      </c>
      <c r="K1705" s="5" t="s">
        <v>154</v>
      </c>
      <c r="L1705" s="3"/>
      <c r="M1705" s="5">
        <v>10.0</v>
      </c>
      <c r="N1705" s="5">
        <v>53.0</v>
      </c>
      <c r="O1705" s="5"/>
      <c r="P1705" s="3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</row>
    <row r="1706" ht="15.75" customHeight="1">
      <c r="A1706" s="3" t="s">
        <v>1020</v>
      </c>
      <c r="B1706" s="3" t="s">
        <v>1021</v>
      </c>
      <c r="C1706" s="3" t="s">
        <v>80</v>
      </c>
      <c r="D1706" s="3" t="s">
        <v>1031</v>
      </c>
      <c r="E1706" s="3" t="s">
        <v>1045</v>
      </c>
      <c r="F1706" s="3">
        <v>7.0</v>
      </c>
      <c r="G1706" s="4">
        <v>-27.46729</v>
      </c>
      <c r="H1706" s="4">
        <v>-48.43563</v>
      </c>
      <c r="I1706" s="5">
        <v>15.0</v>
      </c>
      <c r="J1706" s="5" t="s">
        <v>421</v>
      </c>
      <c r="K1706" s="5" t="s">
        <v>421</v>
      </c>
      <c r="L1706" s="3"/>
      <c r="M1706" s="5">
        <v>6.0</v>
      </c>
      <c r="N1706" s="5">
        <v>24.0</v>
      </c>
      <c r="O1706" s="5"/>
      <c r="P1706" s="3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</row>
    <row r="1707" ht="15.75" customHeight="1">
      <c r="A1707" s="3" t="s">
        <v>1020</v>
      </c>
      <c r="B1707" s="3" t="s">
        <v>1021</v>
      </c>
      <c r="C1707" s="3" t="s">
        <v>80</v>
      </c>
      <c r="D1707" s="3" t="s">
        <v>1031</v>
      </c>
      <c r="E1707" s="3" t="s">
        <v>1045</v>
      </c>
      <c r="F1707" s="3">
        <v>7.0</v>
      </c>
      <c r="G1707" s="4">
        <v>-27.46729</v>
      </c>
      <c r="H1707" s="4">
        <v>-48.43563</v>
      </c>
      <c r="I1707" s="5">
        <v>16.0</v>
      </c>
      <c r="J1707" s="5" t="s">
        <v>323</v>
      </c>
      <c r="K1707" s="5" t="s">
        <v>323</v>
      </c>
      <c r="L1707" s="3"/>
      <c r="M1707" s="5">
        <v>6.0</v>
      </c>
      <c r="N1707" s="5">
        <v>26.0</v>
      </c>
      <c r="O1707" s="5"/>
      <c r="P1707" s="3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</row>
    <row r="1708" ht="15.75" customHeight="1">
      <c r="A1708" s="3" t="s">
        <v>1020</v>
      </c>
      <c r="B1708" s="3" t="s">
        <v>1021</v>
      </c>
      <c r="C1708" s="3" t="s">
        <v>80</v>
      </c>
      <c r="D1708" s="3" t="s">
        <v>1031</v>
      </c>
      <c r="E1708" s="3" t="s">
        <v>1045</v>
      </c>
      <c r="F1708" s="3">
        <v>7.0</v>
      </c>
      <c r="G1708" s="4">
        <v>-27.46729</v>
      </c>
      <c r="H1708" s="4">
        <v>-48.43563</v>
      </c>
      <c r="I1708" s="5">
        <v>17.0</v>
      </c>
      <c r="J1708" s="3" t="s">
        <v>232</v>
      </c>
      <c r="K1708" s="3" t="s">
        <v>232</v>
      </c>
      <c r="L1708" s="3"/>
      <c r="M1708" s="5">
        <v>6.5</v>
      </c>
      <c r="N1708" s="5">
        <v>19.0</v>
      </c>
      <c r="O1708" s="5"/>
      <c r="P1708" s="3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</row>
    <row r="1709" ht="15.75" customHeight="1">
      <c r="A1709" s="3" t="s">
        <v>1020</v>
      </c>
      <c r="B1709" s="3" t="s">
        <v>1021</v>
      </c>
      <c r="C1709" s="3" t="s">
        <v>80</v>
      </c>
      <c r="D1709" s="3" t="s">
        <v>1031</v>
      </c>
      <c r="E1709" s="3" t="s">
        <v>1045</v>
      </c>
      <c r="F1709" s="3">
        <v>7.0</v>
      </c>
      <c r="G1709" s="4">
        <v>-27.46729</v>
      </c>
      <c r="H1709" s="4">
        <v>-48.43563</v>
      </c>
      <c r="I1709" s="5">
        <v>18.0</v>
      </c>
      <c r="J1709" s="3" t="s">
        <v>232</v>
      </c>
      <c r="K1709" s="3" t="s">
        <v>232</v>
      </c>
      <c r="L1709" s="3"/>
      <c r="M1709" s="5">
        <v>13.0</v>
      </c>
      <c r="N1709" s="5" t="s">
        <v>1049</v>
      </c>
      <c r="O1709" s="5"/>
      <c r="P1709" s="3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</row>
    <row r="1710" ht="15.75" customHeight="1">
      <c r="A1710" s="3" t="s">
        <v>1020</v>
      </c>
      <c r="B1710" s="3" t="s">
        <v>1021</v>
      </c>
      <c r="C1710" s="3" t="s">
        <v>80</v>
      </c>
      <c r="D1710" s="3" t="s">
        <v>1031</v>
      </c>
      <c r="E1710" s="3" t="s">
        <v>1045</v>
      </c>
      <c r="F1710" s="3">
        <v>7.0</v>
      </c>
      <c r="G1710" s="4">
        <v>-27.46729</v>
      </c>
      <c r="H1710" s="4">
        <v>-48.43563</v>
      </c>
      <c r="I1710" s="5">
        <v>19.0</v>
      </c>
      <c r="J1710" s="5" t="s">
        <v>1025</v>
      </c>
      <c r="K1710" s="5" t="s">
        <v>1025</v>
      </c>
      <c r="L1710" s="3"/>
      <c r="M1710" s="5">
        <v>10.0</v>
      </c>
      <c r="N1710" s="5">
        <v>31.0</v>
      </c>
      <c r="O1710" s="5"/>
      <c r="P1710" s="3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</row>
    <row r="1711" ht="15.75" customHeight="1">
      <c r="A1711" s="3" t="s">
        <v>1020</v>
      </c>
      <c r="B1711" s="3" t="s">
        <v>1021</v>
      </c>
      <c r="C1711" s="3" t="s">
        <v>80</v>
      </c>
      <c r="D1711" s="3" t="s">
        <v>1031</v>
      </c>
      <c r="E1711" s="3" t="s">
        <v>1045</v>
      </c>
      <c r="F1711" s="3">
        <v>7.0</v>
      </c>
      <c r="G1711" s="4">
        <v>-27.46729</v>
      </c>
      <c r="H1711" s="4">
        <v>-48.43563</v>
      </c>
      <c r="I1711" s="5">
        <v>20.0</v>
      </c>
      <c r="J1711" s="5" t="s">
        <v>767</v>
      </c>
      <c r="K1711" s="5" t="s">
        <v>767</v>
      </c>
      <c r="L1711" s="3"/>
      <c r="M1711" s="5">
        <v>7.5</v>
      </c>
      <c r="N1711" s="5">
        <v>23.0</v>
      </c>
      <c r="O1711" s="5"/>
      <c r="P1711" s="3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</row>
    <row r="1712" ht="15.75" customHeight="1">
      <c r="A1712" s="3" t="s">
        <v>1020</v>
      </c>
      <c r="B1712" s="3" t="s">
        <v>1021</v>
      </c>
      <c r="C1712" s="3" t="s">
        <v>80</v>
      </c>
      <c r="D1712" s="3" t="s">
        <v>1031</v>
      </c>
      <c r="E1712" s="3" t="s">
        <v>1045</v>
      </c>
      <c r="F1712" s="3">
        <v>7.0</v>
      </c>
      <c r="G1712" s="4">
        <v>-27.46729</v>
      </c>
      <c r="H1712" s="4">
        <v>-48.43563</v>
      </c>
      <c r="I1712" s="5">
        <v>21.0</v>
      </c>
      <c r="J1712" s="5" t="s">
        <v>323</v>
      </c>
      <c r="K1712" s="5" t="s">
        <v>323</v>
      </c>
      <c r="L1712" s="3"/>
      <c r="M1712" s="5">
        <v>6.0</v>
      </c>
      <c r="N1712" s="5" t="s">
        <v>1050</v>
      </c>
      <c r="O1712" s="5"/>
      <c r="P1712" s="3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</row>
    <row r="1713" ht="15.75" customHeight="1">
      <c r="A1713" s="3" t="s">
        <v>1020</v>
      </c>
      <c r="B1713" s="3" t="s">
        <v>1021</v>
      </c>
      <c r="C1713" s="3" t="s">
        <v>80</v>
      </c>
      <c r="D1713" s="3" t="s">
        <v>1031</v>
      </c>
      <c r="E1713" s="3" t="s">
        <v>1051</v>
      </c>
      <c r="F1713" s="3">
        <v>8.0</v>
      </c>
      <c r="G1713" s="4">
        <v>-27.46725</v>
      </c>
      <c r="H1713" s="22">
        <v>-48.43545</v>
      </c>
      <c r="I1713" s="5">
        <v>1.0</v>
      </c>
      <c r="J1713" s="5" t="s">
        <v>154</v>
      </c>
      <c r="K1713" s="5" t="s">
        <v>154</v>
      </c>
      <c r="L1713" s="3"/>
      <c r="M1713" s="5">
        <v>11.0</v>
      </c>
      <c r="N1713" s="5">
        <v>42.0</v>
      </c>
      <c r="O1713" s="5"/>
      <c r="P1713" s="3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</row>
    <row r="1714" ht="15.75" customHeight="1">
      <c r="A1714" s="3" t="s">
        <v>1020</v>
      </c>
      <c r="B1714" s="3" t="s">
        <v>1021</v>
      </c>
      <c r="C1714" s="3" t="s">
        <v>80</v>
      </c>
      <c r="D1714" s="3" t="s">
        <v>1031</v>
      </c>
      <c r="E1714" s="3" t="s">
        <v>1051</v>
      </c>
      <c r="F1714" s="3">
        <v>8.0</v>
      </c>
      <c r="G1714" s="4">
        <v>-27.46725</v>
      </c>
      <c r="H1714" s="22">
        <v>-48.43545</v>
      </c>
      <c r="I1714" s="5">
        <v>2.0</v>
      </c>
      <c r="J1714" s="3" t="s">
        <v>232</v>
      </c>
      <c r="K1714" s="5" t="s">
        <v>232</v>
      </c>
      <c r="L1714" s="3"/>
      <c r="M1714" s="5">
        <v>10.0</v>
      </c>
      <c r="N1714" s="5">
        <v>66.0</v>
      </c>
      <c r="O1714" s="5"/>
      <c r="P1714" s="3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</row>
    <row r="1715" ht="15.75" customHeight="1">
      <c r="A1715" s="3" t="s">
        <v>1020</v>
      </c>
      <c r="B1715" s="3" t="s">
        <v>1021</v>
      </c>
      <c r="C1715" s="3" t="s">
        <v>80</v>
      </c>
      <c r="D1715" s="3" t="s">
        <v>1031</v>
      </c>
      <c r="E1715" s="3" t="s">
        <v>1051</v>
      </c>
      <c r="F1715" s="3">
        <v>8.0</v>
      </c>
      <c r="G1715" s="4">
        <v>-27.46725</v>
      </c>
      <c r="H1715" s="22">
        <v>-48.43545</v>
      </c>
      <c r="I1715" s="5">
        <v>3.0</v>
      </c>
      <c r="J1715" s="5" t="s">
        <v>1052</v>
      </c>
      <c r="K1715" s="5" t="s">
        <v>1052</v>
      </c>
      <c r="L1715" s="3"/>
      <c r="M1715" s="5">
        <v>8.0</v>
      </c>
      <c r="N1715" s="5" t="s">
        <v>1053</v>
      </c>
      <c r="O1715" s="5"/>
      <c r="P1715" s="3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</row>
    <row r="1716" ht="15.75" customHeight="1">
      <c r="A1716" s="3" t="s">
        <v>1020</v>
      </c>
      <c r="B1716" s="3" t="s">
        <v>1021</v>
      </c>
      <c r="C1716" s="3" t="s">
        <v>80</v>
      </c>
      <c r="D1716" s="3" t="s">
        <v>1031</v>
      </c>
      <c r="E1716" s="3" t="s">
        <v>1051</v>
      </c>
      <c r="F1716" s="3">
        <v>8.0</v>
      </c>
      <c r="G1716" s="4">
        <v>-27.46725</v>
      </c>
      <c r="H1716" s="22">
        <v>-48.43545</v>
      </c>
      <c r="I1716" s="5">
        <v>4.0</v>
      </c>
      <c r="J1716" s="3" t="s">
        <v>232</v>
      </c>
      <c r="K1716" s="5" t="s">
        <v>232</v>
      </c>
      <c r="L1716" s="3"/>
      <c r="M1716" s="5">
        <v>6.0</v>
      </c>
      <c r="N1716" s="5">
        <v>25.0</v>
      </c>
      <c r="O1716" s="5"/>
      <c r="P1716" s="3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</row>
    <row r="1717" ht="15.75" customHeight="1">
      <c r="A1717" s="3" t="s">
        <v>1020</v>
      </c>
      <c r="B1717" s="3" t="s">
        <v>1021</v>
      </c>
      <c r="C1717" s="3" t="s">
        <v>80</v>
      </c>
      <c r="D1717" s="3" t="s">
        <v>1031</v>
      </c>
      <c r="E1717" s="3" t="s">
        <v>1051</v>
      </c>
      <c r="F1717" s="3">
        <v>8.0</v>
      </c>
      <c r="G1717" s="4">
        <v>-27.46725</v>
      </c>
      <c r="H1717" s="22">
        <v>-48.43545</v>
      </c>
      <c r="I1717" s="5">
        <v>5.0</v>
      </c>
      <c r="J1717" s="19" t="s">
        <v>836</v>
      </c>
      <c r="K1717" s="5" t="s">
        <v>315</v>
      </c>
      <c r="L1717" s="3"/>
      <c r="M1717" s="5">
        <v>12.0</v>
      </c>
      <c r="N1717" s="5">
        <v>42.0</v>
      </c>
      <c r="O1717" s="5" t="s">
        <v>1054</v>
      </c>
      <c r="P1717" s="3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</row>
    <row r="1718" ht="14.25" customHeight="1">
      <c r="A1718" s="3" t="s">
        <v>1020</v>
      </c>
      <c r="B1718" s="3" t="s">
        <v>1021</v>
      </c>
      <c r="C1718" s="3" t="s">
        <v>80</v>
      </c>
      <c r="D1718" s="3" t="s">
        <v>1031</v>
      </c>
      <c r="E1718" s="3" t="s">
        <v>1051</v>
      </c>
      <c r="F1718" s="3">
        <v>8.0</v>
      </c>
      <c r="G1718" s="4">
        <v>-27.46725</v>
      </c>
      <c r="H1718" s="22">
        <v>-48.43545</v>
      </c>
      <c r="I1718" s="5">
        <v>6.0</v>
      </c>
      <c r="J1718" s="5" t="s">
        <v>421</v>
      </c>
      <c r="K1718" s="5" t="s">
        <v>421</v>
      </c>
      <c r="L1718" s="3"/>
      <c r="M1718" s="5">
        <v>8.0</v>
      </c>
      <c r="N1718" s="5">
        <v>22.0</v>
      </c>
      <c r="O1718" s="5"/>
      <c r="P1718" s="3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</row>
    <row r="1719" ht="15.75" customHeight="1">
      <c r="A1719" s="3" t="s">
        <v>1020</v>
      </c>
      <c r="B1719" s="3" t="s">
        <v>1021</v>
      </c>
      <c r="C1719" s="3" t="s">
        <v>80</v>
      </c>
      <c r="D1719" s="3" t="s">
        <v>1031</v>
      </c>
      <c r="E1719" s="3" t="s">
        <v>1051</v>
      </c>
      <c r="F1719" s="3">
        <v>8.0</v>
      </c>
      <c r="G1719" s="4">
        <v>-27.46725</v>
      </c>
      <c r="H1719" s="22">
        <v>-48.43545</v>
      </c>
      <c r="I1719" s="5">
        <v>7.0</v>
      </c>
      <c r="J1719" s="5" t="s">
        <v>930</v>
      </c>
      <c r="K1719" s="5" t="s">
        <v>930</v>
      </c>
      <c r="L1719" s="3"/>
      <c r="M1719" s="5">
        <v>8.0</v>
      </c>
      <c r="N1719" s="5">
        <v>23.0</v>
      </c>
      <c r="O1719" s="5"/>
      <c r="P1719" s="3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</row>
    <row r="1720" ht="15.75" customHeight="1">
      <c r="A1720" s="3" t="s">
        <v>1020</v>
      </c>
      <c r="B1720" s="3" t="s">
        <v>1021</v>
      </c>
      <c r="C1720" s="3" t="s">
        <v>80</v>
      </c>
      <c r="D1720" s="3" t="s">
        <v>1031</v>
      </c>
      <c r="E1720" s="3" t="s">
        <v>1051</v>
      </c>
      <c r="F1720" s="3">
        <v>8.0</v>
      </c>
      <c r="G1720" s="4">
        <v>-27.46725</v>
      </c>
      <c r="H1720" s="22">
        <v>-48.43545</v>
      </c>
      <c r="I1720" s="5">
        <v>8.0</v>
      </c>
      <c r="J1720" s="5" t="s">
        <v>301</v>
      </c>
      <c r="K1720" s="5" t="s">
        <v>105</v>
      </c>
      <c r="L1720" s="3"/>
      <c r="M1720" s="5">
        <v>5.0</v>
      </c>
      <c r="N1720" s="5">
        <v>19.0</v>
      </c>
      <c r="O1720" s="5"/>
      <c r="P1720" s="3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</row>
    <row r="1721" ht="15.75" customHeight="1">
      <c r="A1721" s="3" t="s">
        <v>1020</v>
      </c>
      <c r="B1721" s="3" t="s">
        <v>1021</v>
      </c>
      <c r="C1721" s="3" t="s">
        <v>80</v>
      </c>
      <c r="D1721" s="3" t="s">
        <v>1031</v>
      </c>
      <c r="E1721" s="3" t="s">
        <v>1051</v>
      </c>
      <c r="F1721" s="3">
        <v>8.0</v>
      </c>
      <c r="G1721" s="4">
        <v>-27.46725</v>
      </c>
      <c r="H1721" s="22">
        <v>-48.43545</v>
      </c>
      <c r="I1721" s="5">
        <v>9.0</v>
      </c>
      <c r="J1721" s="5" t="s">
        <v>1055</v>
      </c>
      <c r="K1721" s="5" t="s">
        <v>105</v>
      </c>
      <c r="L1721" s="3"/>
      <c r="M1721" s="5">
        <v>10.0</v>
      </c>
      <c r="N1721" s="5">
        <v>17.0</v>
      </c>
      <c r="O1721" s="5"/>
      <c r="P1721" s="3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</row>
    <row r="1722" ht="15.75" customHeight="1">
      <c r="A1722" s="3" t="s">
        <v>1020</v>
      </c>
      <c r="B1722" s="3" t="s">
        <v>1021</v>
      </c>
      <c r="C1722" s="3" t="s">
        <v>80</v>
      </c>
      <c r="D1722" s="3" t="s">
        <v>1031</v>
      </c>
      <c r="E1722" s="3" t="s">
        <v>1051</v>
      </c>
      <c r="F1722" s="3">
        <v>8.0</v>
      </c>
      <c r="G1722" s="4">
        <v>-27.46725</v>
      </c>
      <c r="H1722" s="22">
        <v>-48.43545</v>
      </c>
      <c r="I1722" s="5">
        <v>10.0</v>
      </c>
      <c r="J1722" s="5" t="s">
        <v>1055</v>
      </c>
      <c r="K1722" s="5" t="s">
        <v>105</v>
      </c>
      <c r="L1722" s="3"/>
      <c r="M1722" s="5">
        <v>5.0</v>
      </c>
      <c r="N1722" s="5">
        <v>23.0</v>
      </c>
      <c r="O1722" s="5"/>
      <c r="P1722" s="3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</row>
    <row r="1723" ht="15.75" customHeight="1">
      <c r="A1723" s="3" t="s">
        <v>1020</v>
      </c>
      <c r="B1723" s="3" t="s">
        <v>1021</v>
      </c>
      <c r="C1723" s="3" t="s">
        <v>80</v>
      </c>
      <c r="D1723" s="3" t="s">
        <v>1031</v>
      </c>
      <c r="E1723" s="3" t="s">
        <v>1051</v>
      </c>
      <c r="F1723" s="3">
        <v>8.0</v>
      </c>
      <c r="G1723" s="4">
        <v>-27.46725</v>
      </c>
      <c r="H1723" s="22">
        <v>-48.43545</v>
      </c>
      <c r="I1723" s="5">
        <v>11.0</v>
      </c>
      <c r="J1723" s="5" t="s">
        <v>335</v>
      </c>
      <c r="K1723" s="5" t="s">
        <v>335</v>
      </c>
      <c r="L1723" s="3"/>
      <c r="M1723" s="5">
        <v>14.0</v>
      </c>
      <c r="N1723" s="5">
        <v>105.0</v>
      </c>
      <c r="O1723" s="5"/>
      <c r="P1723" s="3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</row>
    <row r="1724" ht="15.75" customHeight="1">
      <c r="A1724" s="3" t="s">
        <v>1020</v>
      </c>
      <c r="B1724" s="3" t="s">
        <v>1021</v>
      </c>
      <c r="C1724" s="3" t="s">
        <v>80</v>
      </c>
      <c r="D1724" s="3" t="s">
        <v>1031</v>
      </c>
      <c r="E1724" s="3" t="s">
        <v>1051</v>
      </c>
      <c r="F1724" s="3">
        <v>8.0</v>
      </c>
      <c r="G1724" s="4">
        <v>-27.46725</v>
      </c>
      <c r="H1724" s="22">
        <v>-48.43545</v>
      </c>
      <c r="I1724" s="5">
        <v>12.0</v>
      </c>
      <c r="J1724" s="5" t="s">
        <v>455</v>
      </c>
      <c r="K1724" s="5" t="s">
        <v>455</v>
      </c>
      <c r="L1724" s="3"/>
      <c r="M1724" s="5">
        <v>10.0</v>
      </c>
      <c r="N1724" s="5">
        <v>25.0</v>
      </c>
      <c r="O1724" s="5" t="s">
        <v>1056</v>
      </c>
      <c r="P1724" s="3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</row>
    <row r="1725" ht="15.75" customHeight="1">
      <c r="A1725" s="3" t="s">
        <v>1020</v>
      </c>
      <c r="B1725" s="3" t="s">
        <v>1021</v>
      </c>
      <c r="C1725" s="3" t="s">
        <v>80</v>
      </c>
      <c r="D1725" s="3" t="s">
        <v>1031</v>
      </c>
      <c r="E1725" s="3" t="s">
        <v>1051</v>
      </c>
      <c r="F1725" s="3">
        <v>8.0</v>
      </c>
      <c r="G1725" s="4">
        <v>-27.46725</v>
      </c>
      <c r="H1725" s="22">
        <v>-48.43545</v>
      </c>
      <c r="I1725" s="5">
        <v>13.0</v>
      </c>
      <c r="J1725" s="5" t="s">
        <v>301</v>
      </c>
      <c r="K1725" s="5" t="s">
        <v>105</v>
      </c>
      <c r="L1725" s="3"/>
      <c r="M1725" s="5">
        <v>7.0</v>
      </c>
      <c r="N1725" s="5">
        <v>24.0</v>
      </c>
      <c r="O1725" s="5"/>
      <c r="P1725" s="3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</row>
    <row r="1726" ht="15.75" customHeight="1">
      <c r="A1726" s="3" t="s">
        <v>1020</v>
      </c>
      <c r="B1726" s="3" t="s">
        <v>1021</v>
      </c>
      <c r="C1726" s="3" t="s">
        <v>80</v>
      </c>
      <c r="D1726" s="3" t="s">
        <v>1031</v>
      </c>
      <c r="E1726" s="3" t="s">
        <v>1051</v>
      </c>
      <c r="F1726" s="3">
        <v>8.0</v>
      </c>
      <c r="G1726" s="4">
        <v>-27.46725</v>
      </c>
      <c r="H1726" s="22">
        <v>-48.43545</v>
      </c>
      <c r="I1726" s="5">
        <v>14.0</v>
      </c>
      <c r="J1726" s="5" t="s">
        <v>31</v>
      </c>
      <c r="K1726" s="5" t="s">
        <v>31</v>
      </c>
      <c r="L1726" s="3"/>
      <c r="M1726" s="5">
        <v>7.0</v>
      </c>
      <c r="N1726" s="5">
        <v>31.0</v>
      </c>
      <c r="O1726" s="5"/>
      <c r="P1726" s="3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</row>
    <row r="1727" ht="15.75" customHeight="1">
      <c r="A1727" s="3" t="s">
        <v>1020</v>
      </c>
      <c r="B1727" s="3" t="s">
        <v>1021</v>
      </c>
      <c r="C1727" s="3" t="s">
        <v>80</v>
      </c>
      <c r="D1727" s="3" t="s">
        <v>1031</v>
      </c>
      <c r="E1727" s="3" t="s">
        <v>1051</v>
      </c>
      <c r="F1727" s="3">
        <v>8.0</v>
      </c>
      <c r="G1727" s="4">
        <v>-27.46725</v>
      </c>
      <c r="H1727" s="22">
        <v>-48.43545</v>
      </c>
      <c r="I1727" s="5">
        <v>15.0</v>
      </c>
      <c r="J1727" s="5" t="s">
        <v>421</v>
      </c>
      <c r="K1727" s="5" t="s">
        <v>421</v>
      </c>
      <c r="L1727" s="3"/>
      <c r="M1727" s="5">
        <v>6.0</v>
      </c>
      <c r="N1727" s="5">
        <v>21.0</v>
      </c>
      <c r="O1727" s="5"/>
      <c r="P1727" s="3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</row>
    <row r="1728" ht="15.75" customHeight="1">
      <c r="A1728" s="3" t="s">
        <v>1020</v>
      </c>
      <c r="B1728" s="3" t="s">
        <v>1021</v>
      </c>
      <c r="C1728" s="3" t="s">
        <v>80</v>
      </c>
      <c r="D1728" s="3" t="s">
        <v>1031</v>
      </c>
      <c r="E1728" s="3" t="s">
        <v>1051</v>
      </c>
      <c r="F1728" s="3">
        <v>8.0</v>
      </c>
      <c r="G1728" s="4">
        <v>-27.46725</v>
      </c>
      <c r="H1728" s="22">
        <v>-48.43545</v>
      </c>
      <c r="I1728" s="5">
        <v>16.0</v>
      </c>
      <c r="J1728" s="5" t="s">
        <v>78</v>
      </c>
      <c r="K1728" s="5" t="s">
        <v>78</v>
      </c>
      <c r="L1728" s="3"/>
      <c r="M1728" s="5">
        <v>9.0</v>
      </c>
      <c r="N1728" s="5">
        <v>22.0</v>
      </c>
      <c r="O1728" s="5"/>
      <c r="P1728" s="3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</row>
    <row r="1729" ht="15.75" customHeight="1">
      <c r="A1729" s="3" t="s">
        <v>1020</v>
      </c>
      <c r="B1729" s="3" t="s">
        <v>1021</v>
      </c>
      <c r="C1729" s="3" t="s">
        <v>80</v>
      </c>
      <c r="D1729" s="3" t="s">
        <v>1031</v>
      </c>
      <c r="E1729" s="3" t="s">
        <v>1051</v>
      </c>
      <c r="F1729" s="3">
        <v>8.0</v>
      </c>
      <c r="G1729" s="4">
        <v>-27.46725</v>
      </c>
      <c r="H1729" s="22">
        <v>-48.43545</v>
      </c>
      <c r="I1729" s="5">
        <v>17.0</v>
      </c>
      <c r="J1729" s="19" t="s">
        <v>836</v>
      </c>
      <c r="K1729" s="5" t="s">
        <v>315</v>
      </c>
      <c r="L1729" s="3"/>
      <c r="M1729" s="5">
        <v>7.0</v>
      </c>
      <c r="N1729" s="5">
        <v>22.0</v>
      </c>
      <c r="O1729" s="5" t="s">
        <v>1057</v>
      </c>
      <c r="P1729" s="3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</row>
    <row r="1730" ht="15.75" customHeight="1">
      <c r="A1730" s="3" t="s">
        <v>1020</v>
      </c>
      <c r="B1730" s="3" t="s">
        <v>1021</v>
      </c>
      <c r="C1730" s="3" t="s">
        <v>80</v>
      </c>
      <c r="D1730" s="3" t="s">
        <v>1031</v>
      </c>
      <c r="E1730" s="3" t="s">
        <v>1051</v>
      </c>
      <c r="F1730" s="3">
        <v>8.0</v>
      </c>
      <c r="G1730" s="4">
        <v>-27.46725</v>
      </c>
      <c r="H1730" s="22">
        <v>-48.43545</v>
      </c>
      <c r="I1730" s="5">
        <v>18.0</v>
      </c>
      <c r="J1730" s="5" t="s">
        <v>373</v>
      </c>
      <c r="K1730" s="5" t="s">
        <v>373</v>
      </c>
      <c r="L1730" s="3"/>
      <c r="M1730" s="5">
        <v>9.0</v>
      </c>
      <c r="N1730" s="5">
        <v>64.0</v>
      </c>
      <c r="O1730" s="5"/>
      <c r="P1730" s="3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</row>
    <row r="1731" ht="15.75" customHeight="1">
      <c r="A1731" s="3" t="s">
        <v>1020</v>
      </c>
      <c r="B1731" s="3" t="s">
        <v>1021</v>
      </c>
      <c r="C1731" s="3" t="s">
        <v>80</v>
      </c>
      <c r="D1731" s="3" t="s">
        <v>1031</v>
      </c>
      <c r="E1731" s="3" t="s">
        <v>1051</v>
      </c>
      <c r="F1731" s="3">
        <v>8.0</v>
      </c>
      <c r="G1731" s="4">
        <v>-27.46725</v>
      </c>
      <c r="H1731" s="22">
        <v>-48.43545</v>
      </c>
      <c r="I1731" s="5">
        <v>19.0</v>
      </c>
      <c r="J1731" s="25" t="s">
        <v>779</v>
      </c>
      <c r="K1731" s="25" t="s">
        <v>779</v>
      </c>
      <c r="L1731" s="3"/>
      <c r="M1731" s="5">
        <v>8.0</v>
      </c>
      <c r="N1731" s="5">
        <v>39.0</v>
      </c>
      <c r="O1731" s="5"/>
      <c r="P1731" s="3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</row>
    <row r="1732" ht="15.75" customHeight="1">
      <c r="A1732" s="3" t="s">
        <v>1020</v>
      </c>
      <c r="B1732" s="3" t="s">
        <v>1021</v>
      </c>
      <c r="C1732" s="3" t="s">
        <v>80</v>
      </c>
      <c r="D1732" s="3" t="s">
        <v>1031</v>
      </c>
      <c r="E1732" s="3" t="s">
        <v>1051</v>
      </c>
      <c r="F1732" s="3">
        <v>8.0</v>
      </c>
      <c r="G1732" s="4">
        <v>-27.46725</v>
      </c>
      <c r="H1732" s="22">
        <v>-48.43545</v>
      </c>
      <c r="I1732" s="5">
        <v>20.0</v>
      </c>
      <c r="J1732" s="5" t="s">
        <v>78</v>
      </c>
      <c r="K1732" s="5" t="s">
        <v>78</v>
      </c>
      <c r="L1732" s="3"/>
      <c r="M1732" s="5">
        <v>9.0</v>
      </c>
      <c r="N1732" s="5">
        <v>59.0</v>
      </c>
      <c r="O1732" s="5"/>
      <c r="P1732" s="3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</row>
    <row r="1733" ht="15.75" customHeight="1">
      <c r="A1733" s="3" t="s">
        <v>1020</v>
      </c>
      <c r="B1733" s="3" t="s">
        <v>1021</v>
      </c>
      <c r="C1733" s="3" t="s">
        <v>80</v>
      </c>
      <c r="D1733" s="3" t="s">
        <v>1031</v>
      </c>
      <c r="E1733" s="3" t="s">
        <v>1051</v>
      </c>
      <c r="F1733" s="3">
        <v>8.0</v>
      </c>
      <c r="G1733" s="4">
        <v>-27.46725</v>
      </c>
      <c r="H1733" s="22">
        <v>-48.43545</v>
      </c>
      <c r="I1733" s="5">
        <v>21.0</v>
      </c>
      <c r="J1733" s="5" t="s">
        <v>1058</v>
      </c>
      <c r="K1733" s="5" t="s">
        <v>1058</v>
      </c>
      <c r="L1733" s="3"/>
      <c r="M1733" s="5">
        <v>10.0</v>
      </c>
      <c r="N1733" s="5" t="s">
        <v>1059</v>
      </c>
      <c r="O1733" s="5"/>
      <c r="P1733" s="3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</row>
    <row r="1734" ht="15.75" customHeight="1">
      <c r="A1734" s="3" t="s">
        <v>1020</v>
      </c>
      <c r="B1734" s="3" t="s">
        <v>1021</v>
      </c>
      <c r="C1734" s="3" t="s">
        <v>80</v>
      </c>
      <c r="D1734" s="3" t="s">
        <v>1031</v>
      </c>
      <c r="E1734" s="3" t="s">
        <v>1051</v>
      </c>
      <c r="F1734" s="3">
        <v>8.0</v>
      </c>
      <c r="G1734" s="4">
        <v>-27.46725</v>
      </c>
      <c r="H1734" s="22">
        <v>-48.43545</v>
      </c>
      <c r="I1734" s="5">
        <v>22.0</v>
      </c>
      <c r="J1734" s="5" t="s">
        <v>154</v>
      </c>
      <c r="K1734" s="5" t="s">
        <v>154</v>
      </c>
      <c r="L1734" s="3"/>
      <c r="M1734" s="5">
        <v>9.0</v>
      </c>
      <c r="N1734" s="5">
        <v>26.0</v>
      </c>
      <c r="O1734" s="5"/>
      <c r="P1734" s="3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</row>
    <row r="1735" ht="15.75" customHeight="1">
      <c r="A1735" s="3" t="s">
        <v>1020</v>
      </c>
      <c r="B1735" s="3" t="s">
        <v>1021</v>
      </c>
      <c r="C1735" s="3" t="s">
        <v>80</v>
      </c>
      <c r="D1735" s="3" t="s">
        <v>1031</v>
      </c>
      <c r="E1735" s="3" t="s">
        <v>1051</v>
      </c>
      <c r="F1735" s="3">
        <v>8.0</v>
      </c>
      <c r="G1735" s="4">
        <v>-27.46725</v>
      </c>
      <c r="H1735" s="22">
        <v>-48.43545</v>
      </c>
      <c r="I1735" s="5">
        <v>23.0</v>
      </c>
      <c r="J1735" s="5" t="s">
        <v>100</v>
      </c>
      <c r="K1735" s="5" t="s">
        <v>100</v>
      </c>
      <c r="L1735" s="3"/>
      <c r="M1735" s="5">
        <v>8.0</v>
      </c>
      <c r="N1735" s="5">
        <v>17.0</v>
      </c>
      <c r="O1735" s="5"/>
      <c r="P1735" s="3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</row>
    <row r="1736" ht="15.75" customHeight="1">
      <c r="A1736" s="3" t="s">
        <v>1020</v>
      </c>
      <c r="B1736" s="3" t="s">
        <v>1021</v>
      </c>
      <c r="C1736" s="3" t="s">
        <v>80</v>
      </c>
      <c r="D1736" s="3" t="s">
        <v>1031</v>
      </c>
      <c r="E1736" s="3" t="s">
        <v>1051</v>
      </c>
      <c r="F1736" s="3">
        <v>8.0</v>
      </c>
      <c r="G1736" s="4">
        <v>-27.46725</v>
      </c>
      <c r="H1736" s="22">
        <v>-48.43545</v>
      </c>
      <c r="I1736" s="5">
        <v>24.0</v>
      </c>
      <c r="J1736" s="3" t="s">
        <v>232</v>
      </c>
      <c r="K1736" s="3" t="s">
        <v>232</v>
      </c>
      <c r="L1736" s="3"/>
      <c r="M1736" s="5">
        <v>7.0</v>
      </c>
      <c r="N1736" s="5">
        <v>18.0</v>
      </c>
      <c r="O1736" s="5"/>
      <c r="P1736" s="3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</row>
    <row r="1737" ht="15.75" customHeight="1">
      <c r="A1737" s="3" t="s">
        <v>1020</v>
      </c>
      <c r="B1737" s="3" t="s">
        <v>1021</v>
      </c>
      <c r="C1737" s="3" t="s">
        <v>80</v>
      </c>
      <c r="D1737" s="3" t="s">
        <v>1031</v>
      </c>
      <c r="E1737" s="3" t="s">
        <v>1051</v>
      </c>
      <c r="F1737" s="3">
        <v>8.0</v>
      </c>
      <c r="G1737" s="4">
        <v>-27.46725</v>
      </c>
      <c r="H1737" s="22">
        <v>-48.43545</v>
      </c>
      <c r="I1737" s="5">
        <v>25.0</v>
      </c>
      <c r="J1737" s="3" t="s">
        <v>232</v>
      </c>
      <c r="K1737" s="3" t="s">
        <v>232</v>
      </c>
      <c r="L1737" s="3"/>
      <c r="M1737" s="5">
        <v>7.0</v>
      </c>
      <c r="N1737" s="5" t="s">
        <v>1060</v>
      </c>
      <c r="O1737" s="5"/>
      <c r="P1737" s="3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</row>
    <row r="1738" ht="15.75" customHeight="1">
      <c r="A1738" s="3" t="s">
        <v>1020</v>
      </c>
      <c r="B1738" s="3" t="s">
        <v>1021</v>
      </c>
      <c r="C1738" s="3" t="s">
        <v>80</v>
      </c>
      <c r="D1738" s="3" t="s">
        <v>1031</v>
      </c>
      <c r="E1738" s="3" t="s">
        <v>1051</v>
      </c>
      <c r="F1738" s="3">
        <v>8.0</v>
      </c>
      <c r="G1738" s="4">
        <v>-27.46725</v>
      </c>
      <c r="H1738" s="22">
        <v>-48.43545</v>
      </c>
      <c r="I1738" s="5">
        <v>26.0</v>
      </c>
      <c r="J1738" s="5" t="s">
        <v>930</v>
      </c>
      <c r="K1738" s="5" t="s">
        <v>930</v>
      </c>
      <c r="L1738" s="3"/>
      <c r="M1738" s="5">
        <v>10.0</v>
      </c>
      <c r="N1738" s="5">
        <v>34.0</v>
      </c>
      <c r="O1738" s="5"/>
      <c r="P1738" s="3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</row>
    <row r="1739" ht="15.75" customHeight="1">
      <c r="A1739" s="3" t="s">
        <v>1020</v>
      </c>
      <c r="B1739" s="3" t="s">
        <v>1021</v>
      </c>
      <c r="C1739" s="3" t="s">
        <v>80</v>
      </c>
      <c r="D1739" s="3" t="s">
        <v>1031</v>
      </c>
      <c r="E1739" s="3" t="s">
        <v>1051</v>
      </c>
      <c r="F1739" s="3">
        <v>8.0</v>
      </c>
      <c r="G1739" s="4">
        <v>-27.46725</v>
      </c>
      <c r="H1739" s="22">
        <v>-48.43545</v>
      </c>
      <c r="I1739" s="5">
        <v>27.0</v>
      </c>
      <c r="J1739" s="5" t="s">
        <v>31</v>
      </c>
      <c r="K1739" s="5" t="s">
        <v>31</v>
      </c>
      <c r="L1739" s="3"/>
      <c r="M1739" s="5">
        <v>6.0</v>
      </c>
      <c r="N1739" s="5">
        <v>17.0</v>
      </c>
      <c r="O1739" s="5"/>
      <c r="P1739" s="3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</row>
    <row r="1740" ht="15.75" customHeight="1">
      <c r="A1740" s="3" t="s">
        <v>1020</v>
      </c>
      <c r="B1740" s="3" t="s">
        <v>1021</v>
      </c>
      <c r="C1740" s="3" t="s">
        <v>80</v>
      </c>
      <c r="D1740" s="3" t="s">
        <v>1031</v>
      </c>
      <c r="E1740" s="3" t="s">
        <v>1051</v>
      </c>
      <c r="F1740" s="3">
        <v>8.0</v>
      </c>
      <c r="G1740" s="4">
        <v>-27.46725</v>
      </c>
      <c r="H1740" s="22">
        <v>-48.43545</v>
      </c>
      <c r="I1740" s="5">
        <v>28.0</v>
      </c>
      <c r="J1740" s="5" t="s">
        <v>98</v>
      </c>
      <c r="K1740" s="5" t="s">
        <v>98</v>
      </c>
      <c r="L1740" s="3"/>
      <c r="M1740" s="5">
        <v>14.0</v>
      </c>
      <c r="N1740" s="5">
        <v>60.0</v>
      </c>
      <c r="O1740" s="5"/>
      <c r="P1740" s="3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</row>
    <row r="1741" ht="15.75" customHeight="1">
      <c r="A1741" s="3" t="s">
        <v>1061</v>
      </c>
      <c r="B1741" s="3" t="s">
        <v>1062</v>
      </c>
      <c r="C1741" s="3" t="s">
        <v>19</v>
      </c>
      <c r="D1741" s="3" t="s">
        <v>1063</v>
      </c>
      <c r="E1741" s="3" t="s">
        <v>1064</v>
      </c>
      <c r="F1741" s="3">
        <v>1.0</v>
      </c>
      <c r="G1741" s="4">
        <v>-27.50474</v>
      </c>
      <c r="H1741" s="4">
        <v>-48.50674</v>
      </c>
      <c r="I1741" s="5">
        <v>1.0</v>
      </c>
      <c r="J1741" s="5" t="s">
        <v>1065</v>
      </c>
      <c r="K1741" s="5" t="s">
        <v>1065</v>
      </c>
      <c r="L1741" s="3"/>
      <c r="M1741" s="5">
        <v>7.0</v>
      </c>
      <c r="N1741" s="5">
        <v>33.0</v>
      </c>
      <c r="O1741" s="3"/>
      <c r="P1741" s="3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</row>
    <row r="1742" ht="15.75" customHeight="1">
      <c r="A1742" s="3" t="s">
        <v>1061</v>
      </c>
      <c r="B1742" s="3" t="s">
        <v>1062</v>
      </c>
      <c r="C1742" s="3" t="s">
        <v>19</v>
      </c>
      <c r="D1742" s="3" t="s">
        <v>1063</v>
      </c>
      <c r="E1742" s="3" t="s">
        <v>1064</v>
      </c>
      <c r="F1742" s="3">
        <v>1.0</v>
      </c>
      <c r="G1742" s="4">
        <v>-27.50474</v>
      </c>
      <c r="H1742" s="4">
        <v>-48.50674</v>
      </c>
      <c r="I1742" s="5">
        <v>2.0</v>
      </c>
      <c r="J1742" s="5" t="s">
        <v>1066</v>
      </c>
      <c r="K1742" s="5" t="s">
        <v>1066</v>
      </c>
      <c r="L1742" s="3"/>
      <c r="M1742" s="5">
        <v>10.0</v>
      </c>
      <c r="N1742" s="5">
        <v>38.0</v>
      </c>
      <c r="O1742" s="3"/>
      <c r="P1742" s="3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</row>
    <row r="1743" ht="15.75" customHeight="1">
      <c r="A1743" s="3" t="s">
        <v>1061</v>
      </c>
      <c r="B1743" s="3" t="s">
        <v>1062</v>
      </c>
      <c r="C1743" s="3" t="s">
        <v>19</v>
      </c>
      <c r="D1743" s="3" t="s">
        <v>1063</v>
      </c>
      <c r="E1743" s="3" t="s">
        <v>1064</v>
      </c>
      <c r="F1743" s="3">
        <v>1.0</v>
      </c>
      <c r="G1743" s="4">
        <v>-27.50474</v>
      </c>
      <c r="H1743" s="4">
        <v>-48.50674</v>
      </c>
      <c r="I1743" s="5">
        <v>3.0</v>
      </c>
      <c r="J1743" s="5" t="s">
        <v>1067</v>
      </c>
      <c r="K1743" s="5" t="s">
        <v>78</v>
      </c>
      <c r="L1743" s="3"/>
      <c r="M1743" s="5">
        <v>6.0</v>
      </c>
      <c r="N1743" s="5">
        <v>31.0</v>
      </c>
      <c r="O1743" s="3"/>
      <c r="P1743" s="3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</row>
    <row r="1744" ht="15.75" customHeight="1">
      <c r="A1744" s="3" t="s">
        <v>1061</v>
      </c>
      <c r="B1744" s="3" t="s">
        <v>1062</v>
      </c>
      <c r="C1744" s="3" t="s">
        <v>19</v>
      </c>
      <c r="D1744" s="3" t="s">
        <v>1063</v>
      </c>
      <c r="E1744" s="3" t="s">
        <v>1064</v>
      </c>
      <c r="F1744" s="3">
        <v>1.0</v>
      </c>
      <c r="G1744" s="4">
        <v>-27.50474</v>
      </c>
      <c r="H1744" s="4">
        <v>-48.50674</v>
      </c>
      <c r="I1744" s="5">
        <v>4.0</v>
      </c>
      <c r="J1744" s="5" t="s">
        <v>323</v>
      </c>
      <c r="K1744" s="5" t="s">
        <v>323</v>
      </c>
      <c r="L1744" s="3"/>
      <c r="M1744" s="5">
        <v>6.0</v>
      </c>
      <c r="N1744" s="5" t="s">
        <v>1068</v>
      </c>
      <c r="O1744" s="3"/>
      <c r="P1744" s="3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</row>
    <row r="1745" ht="15.75" customHeight="1">
      <c r="A1745" s="3" t="s">
        <v>1061</v>
      </c>
      <c r="B1745" s="3" t="s">
        <v>1062</v>
      </c>
      <c r="C1745" s="3" t="s">
        <v>19</v>
      </c>
      <c r="D1745" s="3" t="s">
        <v>1063</v>
      </c>
      <c r="E1745" s="3" t="s">
        <v>1064</v>
      </c>
      <c r="F1745" s="3">
        <v>1.0</v>
      </c>
      <c r="G1745" s="4">
        <v>-27.50474</v>
      </c>
      <c r="H1745" s="4">
        <v>-48.50674</v>
      </c>
      <c r="I1745" s="5">
        <v>5.0</v>
      </c>
      <c r="J1745" s="5" t="s">
        <v>1065</v>
      </c>
      <c r="K1745" s="5" t="s">
        <v>1065</v>
      </c>
      <c r="L1745" s="3"/>
      <c r="M1745" s="5">
        <v>5.0</v>
      </c>
      <c r="N1745" s="5">
        <v>37.0</v>
      </c>
      <c r="O1745" s="3"/>
      <c r="P1745" s="3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</row>
    <row r="1746" ht="15.75" customHeight="1">
      <c r="A1746" s="3" t="s">
        <v>1061</v>
      </c>
      <c r="B1746" s="3" t="s">
        <v>1062</v>
      </c>
      <c r="C1746" s="3" t="s">
        <v>19</v>
      </c>
      <c r="D1746" s="3" t="s">
        <v>1063</v>
      </c>
      <c r="E1746" s="3" t="s">
        <v>1064</v>
      </c>
      <c r="F1746" s="3">
        <v>1.0</v>
      </c>
      <c r="G1746" s="4">
        <v>-27.50474</v>
      </c>
      <c r="H1746" s="4">
        <v>-48.50674</v>
      </c>
      <c r="I1746" s="5">
        <v>6.0</v>
      </c>
      <c r="J1746" s="5" t="s">
        <v>1069</v>
      </c>
      <c r="K1746" s="5" t="s">
        <v>1025</v>
      </c>
      <c r="L1746" s="3"/>
      <c r="M1746" s="5">
        <v>8.0</v>
      </c>
      <c r="N1746" s="5">
        <v>26.0</v>
      </c>
      <c r="O1746" s="3"/>
      <c r="P1746" s="3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</row>
    <row r="1747" ht="15.75" customHeight="1">
      <c r="A1747" s="3" t="s">
        <v>1061</v>
      </c>
      <c r="B1747" s="3" t="s">
        <v>1062</v>
      </c>
      <c r="C1747" s="3" t="s">
        <v>19</v>
      </c>
      <c r="D1747" s="3" t="s">
        <v>1063</v>
      </c>
      <c r="E1747" s="3" t="s">
        <v>1064</v>
      </c>
      <c r="F1747" s="3">
        <v>1.0</v>
      </c>
      <c r="G1747" s="4">
        <v>-27.50474</v>
      </c>
      <c r="H1747" s="4">
        <v>-48.50674</v>
      </c>
      <c r="I1747" s="5">
        <v>7.0</v>
      </c>
      <c r="J1747" s="5" t="s">
        <v>1070</v>
      </c>
      <c r="K1747" s="5" t="s">
        <v>767</v>
      </c>
      <c r="L1747" s="3"/>
      <c r="M1747" s="5">
        <v>3.0</v>
      </c>
      <c r="N1747" s="5">
        <v>18.0</v>
      </c>
      <c r="O1747" s="3"/>
      <c r="P1747" s="3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</row>
    <row r="1748" ht="15.75" customHeight="1">
      <c r="A1748" s="3" t="s">
        <v>1061</v>
      </c>
      <c r="B1748" s="3" t="s">
        <v>1062</v>
      </c>
      <c r="C1748" s="3" t="s">
        <v>19</v>
      </c>
      <c r="D1748" s="3" t="s">
        <v>1063</v>
      </c>
      <c r="E1748" s="3" t="s">
        <v>1064</v>
      </c>
      <c r="F1748" s="3">
        <v>1.0</v>
      </c>
      <c r="G1748" s="4">
        <v>-27.50474</v>
      </c>
      <c r="H1748" s="4">
        <v>-48.50674</v>
      </c>
      <c r="I1748" s="5">
        <v>8.0</v>
      </c>
      <c r="J1748" s="5" t="s">
        <v>1070</v>
      </c>
      <c r="K1748" s="5" t="s">
        <v>767</v>
      </c>
      <c r="L1748" s="3"/>
      <c r="M1748" s="5">
        <v>6.0</v>
      </c>
      <c r="N1748" s="5">
        <v>28.0</v>
      </c>
      <c r="O1748" s="3"/>
      <c r="P1748" s="3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</row>
    <row r="1749" ht="15.75" customHeight="1">
      <c r="A1749" s="3" t="s">
        <v>1061</v>
      </c>
      <c r="B1749" s="3" t="s">
        <v>1062</v>
      </c>
      <c r="C1749" s="3" t="s">
        <v>19</v>
      </c>
      <c r="D1749" s="3" t="s">
        <v>1063</v>
      </c>
      <c r="E1749" s="3" t="s">
        <v>1064</v>
      </c>
      <c r="F1749" s="3">
        <v>1.0</v>
      </c>
      <c r="G1749" s="4">
        <v>-27.50474</v>
      </c>
      <c r="H1749" s="4">
        <v>-48.50674</v>
      </c>
      <c r="I1749" s="5">
        <v>9.0</v>
      </c>
      <c r="J1749" s="5" t="s">
        <v>1070</v>
      </c>
      <c r="K1749" s="5" t="s">
        <v>767</v>
      </c>
      <c r="L1749" s="3"/>
      <c r="M1749" s="5">
        <v>9.0</v>
      </c>
      <c r="N1749" s="5">
        <v>44.0</v>
      </c>
      <c r="O1749" s="3"/>
      <c r="P1749" s="3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</row>
    <row r="1750" ht="15.75" customHeight="1">
      <c r="A1750" s="3" t="s">
        <v>1061</v>
      </c>
      <c r="B1750" s="3" t="s">
        <v>1062</v>
      </c>
      <c r="C1750" s="3" t="s">
        <v>19</v>
      </c>
      <c r="D1750" s="3" t="s">
        <v>1063</v>
      </c>
      <c r="E1750" s="3" t="s">
        <v>1064</v>
      </c>
      <c r="F1750" s="3">
        <v>1.0</v>
      </c>
      <c r="G1750" s="4">
        <v>-27.50474</v>
      </c>
      <c r="H1750" s="4">
        <v>-48.50674</v>
      </c>
      <c r="I1750" s="5">
        <v>10.0</v>
      </c>
      <c r="J1750" s="5" t="s">
        <v>1070</v>
      </c>
      <c r="K1750" s="5" t="s">
        <v>767</v>
      </c>
      <c r="L1750" s="3"/>
      <c r="M1750" s="5">
        <v>7.0</v>
      </c>
      <c r="N1750" s="5">
        <v>23.0</v>
      </c>
      <c r="O1750" s="3"/>
      <c r="P1750" s="3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</row>
    <row r="1751" ht="15.75" customHeight="1">
      <c r="A1751" s="3" t="s">
        <v>1061</v>
      </c>
      <c r="B1751" s="3" t="s">
        <v>1062</v>
      </c>
      <c r="C1751" s="3" t="s">
        <v>19</v>
      </c>
      <c r="D1751" s="3" t="s">
        <v>1063</v>
      </c>
      <c r="E1751" s="3" t="s">
        <v>1064</v>
      </c>
      <c r="F1751" s="3">
        <v>1.0</v>
      </c>
      <c r="G1751" s="4">
        <v>-27.50474</v>
      </c>
      <c r="H1751" s="4">
        <v>-48.50674</v>
      </c>
      <c r="I1751" s="5">
        <v>11.0</v>
      </c>
      <c r="J1751" s="5" t="s">
        <v>1070</v>
      </c>
      <c r="K1751" s="5" t="s">
        <v>767</v>
      </c>
      <c r="L1751" s="3"/>
      <c r="M1751" s="5">
        <v>6.0</v>
      </c>
      <c r="N1751" s="5">
        <v>24.0</v>
      </c>
      <c r="O1751" s="3"/>
      <c r="P1751" s="3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</row>
    <row r="1752" ht="15.75" customHeight="1">
      <c r="A1752" s="3" t="s">
        <v>1061</v>
      </c>
      <c r="B1752" s="3" t="s">
        <v>1062</v>
      </c>
      <c r="C1752" s="3" t="s">
        <v>19</v>
      </c>
      <c r="D1752" s="3" t="s">
        <v>1063</v>
      </c>
      <c r="E1752" s="3" t="s">
        <v>1064</v>
      </c>
      <c r="F1752" s="3">
        <v>1.0</v>
      </c>
      <c r="G1752" s="4">
        <v>-27.50474</v>
      </c>
      <c r="H1752" s="4">
        <v>-48.50674</v>
      </c>
      <c r="I1752" s="5">
        <v>12.0</v>
      </c>
      <c r="J1752" s="5" t="s">
        <v>1070</v>
      </c>
      <c r="K1752" s="5" t="s">
        <v>767</v>
      </c>
      <c r="L1752" s="3"/>
      <c r="M1752" s="5">
        <v>5.0</v>
      </c>
      <c r="N1752" s="5">
        <v>16.0</v>
      </c>
      <c r="O1752" s="3"/>
      <c r="P1752" s="3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</row>
    <row r="1753" ht="15.75" customHeight="1">
      <c r="A1753" s="3" t="s">
        <v>1061</v>
      </c>
      <c r="B1753" s="3" t="s">
        <v>1062</v>
      </c>
      <c r="C1753" s="3" t="s">
        <v>19</v>
      </c>
      <c r="D1753" s="3" t="s">
        <v>1063</v>
      </c>
      <c r="E1753" s="3" t="s">
        <v>1064</v>
      </c>
      <c r="F1753" s="3">
        <v>1.0</v>
      </c>
      <c r="G1753" s="4">
        <v>-27.50474</v>
      </c>
      <c r="H1753" s="4">
        <v>-48.50674</v>
      </c>
      <c r="I1753" s="5">
        <v>13.0</v>
      </c>
      <c r="J1753" s="5" t="s">
        <v>1070</v>
      </c>
      <c r="K1753" s="5" t="s">
        <v>767</v>
      </c>
      <c r="L1753" s="3"/>
      <c r="M1753" s="5">
        <v>6.0</v>
      </c>
      <c r="N1753" s="5" t="s">
        <v>1071</v>
      </c>
      <c r="O1753" s="3"/>
      <c r="P1753" s="3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</row>
    <row r="1754" ht="15.75" customHeight="1">
      <c r="A1754" s="3" t="s">
        <v>1061</v>
      </c>
      <c r="B1754" s="3" t="s">
        <v>1062</v>
      </c>
      <c r="C1754" s="3" t="s">
        <v>19</v>
      </c>
      <c r="D1754" s="3" t="s">
        <v>1063</v>
      </c>
      <c r="E1754" s="3" t="s">
        <v>1064</v>
      </c>
      <c r="F1754" s="3">
        <v>1.0</v>
      </c>
      <c r="G1754" s="4">
        <v>-27.50474</v>
      </c>
      <c r="H1754" s="4">
        <v>-48.50674</v>
      </c>
      <c r="I1754" s="5">
        <v>14.0</v>
      </c>
      <c r="J1754" s="5" t="s">
        <v>1070</v>
      </c>
      <c r="K1754" s="5" t="s">
        <v>767</v>
      </c>
      <c r="L1754" s="3"/>
      <c r="M1754" s="5">
        <v>5.0</v>
      </c>
      <c r="N1754" s="5">
        <v>50.0</v>
      </c>
      <c r="O1754" s="3"/>
      <c r="P1754" s="3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</row>
    <row r="1755" ht="15.75" customHeight="1">
      <c r="A1755" s="3" t="s">
        <v>1061</v>
      </c>
      <c r="B1755" s="3" t="s">
        <v>1062</v>
      </c>
      <c r="C1755" s="3" t="s">
        <v>19</v>
      </c>
      <c r="D1755" s="3" t="s">
        <v>1063</v>
      </c>
      <c r="E1755" s="3" t="s">
        <v>1064</v>
      </c>
      <c r="F1755" s="3">
        <v>1.0</v>
      </c>
      <c r="G1755" s="4">
        <v>-27.50474</v>
      </c>
      <c r="H1755" s="4">
        <v>-48.50674</v>
      </c>
      <c r="I1755" s="5">
        <v>15.0</v>
      </c>
      <c r="J1755" s="5" t="s">
        <v>1070</v>
      </c>
      <c r="K1755" s="5" t="s">
        <v>767</v>
      </c>
      <c r="L1755" s="3"/>
      <c r="M1755" s="5">
        <v>6.0</v>
      </c>
      <c r="N1755" s="5">
        <v>31.0</v>
      </c>
      <c r="O1755" s="3"/>
      <c r="P1755" s="3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</row>
    <row r="1756" ht="15.75" customHeight="1">
      <c r="A1756" s="3" t="s">
        <v>1061</v>
      </c>
      <c r="B1756" s="3" t="s">
        <v>1062</v>
      </c>
      <c r="C1756" s="3" t="s">
        <v>19</v>
      </c>
      <c r="D1756" s="3" t="s">
        <v>1063</v>
      </c>
      <c r="E1756" s="3" t="s">
        <v>1064</v>
      </c>
      <c r="F1756" s="3">
        <v>1.0</v>
      </c>
      <c r="G1756" s="4">
        <v>-27.50474</v>
      </c>
      <c r="H1756" s="4">
        <v>-48.50674</v>
      </c>
      <c r="I1756" s="5">
        <v>16.0</v>
      </c>
      <c r="J1756" s="5" t="s">
        <v>1066</v>
      </c>
      <c r="K1756" s="5" t="s">
        <v>1066</v>
      </c>
      <c r="L1756" s="3"/>
      <c r="M1756" s="5">
        <v>9.0</v>
      </c>
      <c r="N1756" s="5">
        <v>29.0</v>
      </c>
      <c r="O1756" s="3"/>
      <c r="P1756" s="3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</row>
    <row r="1757" ht="15.75" customHeight="1">
      <c r="A1757" s="3" t="s">
        <v>1061</v>
      </c>
      <c r="B1757" s="3" t="s">
        <v>1062</v>
      </c>
      <c r="C1757" s="3" t="s">
        <v>19</v>
      </c>
      <c r="D1757" s="3" t="s">
        <v>1063</v>
      </c>
      <c r="E1757" s="3" t="s">
        <v>1064</v>
      </c>
      <c r="F1757" s="3">
        <v>1.0</v>
      </c>
      <c r="G1757" s="4">
        <v>-27.50474</v>
      </c>
      <c r="H1757" s="4">
        <v>-48.50674</v>
      </c>
      <c r="I1757" s="5">
        <v>17.0</v>
      </c>
      <c r="J1757" s="5" t="s">
        <v>1066</v>
      </c>
      <c r="K1757" s="5" t="s">
        <v>1066</v>
      </c>
      <c r="L1757" s="3"/>
      <c r="M1757" s="5">
        <v>14.0</v>
      </c>
      <c r="N1757" s="5">
        <v>83.0</v>
      </c>
      <c r="O1757" s="3"/>
      <c r="P1757" s="3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</row>
    <row r="1758" ht="15.75" customHeight="1">
      <c r="A1758" s="3" t="s">
        <v>1061</v>
      </c>
      <c r="B1758" s="3" t="s">
        <v>1062</v>
      </c>
      <c r="C1758" s="3" t="s">
        <v>19</v>
      </c>
      <c r="D1758" s="3" t="s">
        <v>1063</v>
      </c>
      <c r="E1758" s="3" t="s">
        <v>1064</v>
      </c>
      <c r="F1758" s="3">
        <v>1.0</v>
      </c>
      <c r="G1758" s="4">
        <v>-27.50474</v>
      </c>
      <c r="H1758" s="4">
        <v>-48.50674</v>
      </c>
      <c r="I1758" s="5">
        <v>18.0</v>
      </c>
      <c r="J1758" s="5" t="s">
        <v>1065</v>
      </c>
      <c r="K1758" s="5" t="s">
        <v>1065</v>
      </c>
      <c r="L1758" s="3"/>
      <c r="M1758" s="5">
        <v>6.0</v>
      </c>
      <c r="N1758" s="5">
        <v>27.0</v>
      </c>
      <c r="O1758" s="3"/>
      <c r="P1758" s="3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</row>
    <row r="1759" ht="15.75" customHeight="1">
      <c r="A1759" s="3" t="s">
        <v>1061</v>
      </c>
      <c r="B1759" s="3" t="s">
        <v>1062</v>
      </c>
      <c r="C1759" s="3" t="s">
        <v>19</v>
      </c>
      <c r="D1759" s="3" t="s">
        <v>1063</v>
      </c>
      <c r="E1759" s="3" t="s">
        <v>1064</v>
      </c>
      <c r="F1759" s="3">
        <v>1.0</v>
      </c>
      <c r="G1759" s="4">
        <v>-27.50474</v>
      </c>
      <c r="H1759" s="4">
        <v>-48.50674</v>
      </c>
      <c r="I1759" s="5">
        <v>19.0</v>
      </c>
      <c r="J1759" s="5" t="s">
        <v>761</v>
      </c>
      <c r="K1759" s="5" t="s">
        <v>761</v>
      </c>
      <c r="L1759" s="3"/>
      <c r="M1759" s="5">
        <v>5.0</v>
      </c>
      <c r="N1759" s="5">
        <v>25.0</v>
      </c>
      <c r="O1759" s="3"/>
      <c r="P1759" s="3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</row>
    <row r="1760" ht="15.75" customHeight="1">
      <c r="A1760" s="3" t="s">
        <v>1061</v>
      </c>
      <c r="B1760" s="3" t="s">
        <v>1062</v>
      </c>
      <c r="C1760" s="3" t="s">
        <v>19</v>
      </c>
      <c r="D1760" s="3" t="s">
        <v>1063</v>
      </c>
      <c r="E1760" s="3" t="s">
        <v>1064</v>
      </c>
      <c r="F1760" s="3">
        <v>1.0</v>
      </c>
      <c r="G1760" s="4">
        <v>-27.50474</v>
      </c>
      <c r="H1760" s="4">
        <v>-48.50674</v>
      </c>
      <c r="I1760" s="5">
        <v>20.0</v>
      </c>
      <c r="J1760" s="5" t="s">
        <v>730</v>
      </c>
      <c r="K1760" s="5" t="s">
        <v>730</v>
      </c>
      <c r="L1760" s="3"/>
      <c r="M1760" s="5">
        <v>9.0</v>
      </c>
      <c r="N1760" s="5">
        <v>45.0</v>
      </c>
      <c r="O1760" s="3"/>
      <c r="P1760" s="3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</row>
    <row r="1761" ht="15.75" customHeight="1">
      <c r="A1761" s="3" t="s">
        <v>1061</v>
      </c>
      <c r="B1761" s="3" t="s">
        <v>1062</v>
      </c>
      <c r="C1761" s="3" t="s">
        <v>19</v>
      </c>
      <c r="D1761" s="3" t="s">
        <v>1063</v>
      </c>
      <c r="E1761" s="3" t="s">
        <v>1064</v>
      </c>
      <c r="F1761" s="3">
        <v>1.0</v>
      </c>
      <c r="G1761" s="4">
        <v>-27.50474</v>
      </c>
      <c r="H1761" s="4">
        <v>-48.50674</v>
      </c>
      <c r="I1761" s="5">
        <v>21.0</v>
      </c>
      <c r="J1761" s="5" t="s">
        <v>1065</v>
      </c>
      <c r="K1761" s="5" t="s">
        <v>1065</v>
      </c>
      <c r="L1761" s="3"/>
      <c r="M1761" s="5">
        <v>6.0</v>
      </c>
      <c r="N1761" s="5">
        <v>33.0</v>
      </c>
      <c r="O1761" s="3"/>
      <c r="P1761" s="3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</row>
    <row r="1762" ht="15.75" customHeight="1">
      <c r="A1762" s="3" t="s">
        <v>1061</v>
      </c>
      <c r="B1762" s="3" t="s">
        <v>1062</v>
      </c>
      <c r="C1762" s="3" t="s">
        <v>19</v>
      </c>
      <c r="D1762" s="3" t="s">
        <v>1063</v>
      </c>
      <c r="E1762" s="3" t="s">
        <v>1064</v>
      </c>
      <c r="F1762" s="3">
        <v>1.0</v>
      </c>
      <c r="G1762" s="4">
        <v>-27.50474</v>
      </c>
      <c r="H1762" s="4">
        <v>-48.50674</v>
      </c>
      <c r="I1762" s="5">
        <v>22.0</v>
      </c>
      <c r="J1762" s="5" t="s">
        <v>1070</v>
      </c>
      <c r="K1762" s="5" t="s">
        <v>767</v>
      </c>
      <c r="L1762" s="3"/>
      <c r="M1762" s="5">
        <v>7.0</v>
      </c>
      <c r="N1762" s="5">
        <v>47.0</v>
      </c>
      <c r="O1762" s="3"/>
      <c r="P1762" s="3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</row>
    <row r="1763" ht="15.75" customHeight="1">
      <c r="A1763" s="3" t="s">
        <v>1061</v>
      </c>
      <c r="B1763" s="3" t="s">
        <v>1062</v>
      </c>
      <c r="C1763" s="3" t="s">
        <v>19</v>
      </c>
      <c r="D1763" s="3" t="s">
        <v>1063</v>
      </c>
      <c r="E1763" s="3" t="s">
        <v>1072</v>
      </c>
      <c r="F1763" s="3">
        <v>2.0</v>
      </c>
      <c r="G1763" s="4">
        <v>-27.50438</v>
      </c>
      <c r="H1763" s="4">
        <v>-48.50653</v>
      </c>
      <c r="I1763" s="5">
        <v>1.0</v>
      </c>
      <c r="J1763" s="5" t="s">
        <v>1070</v>
      </c>
      <c r="K1763" s="5" t="s">
        <v>767</v>
      </c>
      <c r="L1763" s="3"/>
      <c r="M1763" s="5">
        <v>9.0</v>
      </c>
      <c r="N1763" s="5">
        <v>17.0</v>
      </c>
      <c r="O1763" s="3"/>
      <c r="P1763" s="3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</row>
    <row r="1764" ht="15.75" customHeight="1">
      <c r="A1764" s="3" t="s">
        <v>1061</v>
      </c>
      <c r="B1764" s="3" t="s">
        <v>1062</v>
      </c>
      <c r="C1764" s="3" t="s">
        <v>19</v>
      </c>
      <c r="D1764" s="3" t="s">
        <v>1063</v>
      </c>
      <c r="E1764" s="3" t="s">
        <v>1072</v>
      </c>
      <c r="F1764" s="3">
        <v>2.0</v>
      </c>
      <c r="G1764" s="4">
        <v>-27.50438</v>
      </c>
      <c r="H1764" s="4">
        <v>-48.50653</v>
      </c>
      <c r="I1764" s="5">
        <v>2.0</v>
      </c>
      <c r="J1764" s="5" t="s">
        <v>761</v>
      </c>
      <c r="K1764" s="5" t="s">
        <v>761</v>
      </c>
      <c r="L1764" s="3"/>
      <c r="M1764" s="5">
        <v>9.0</v>
      </c>
      <c r="N1764" s="5">
        <v>34.0</v>
      </c>
      <c r="O1764" s="3"/>
      <c r="P1764" s="3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</row>
    <row r="1765" ht="15.75" customHeight="1">
      <c r="A1765" s="3" t="s">
        <v>1061</v>
      </c>
      <c r="B1765" s="3" t="s">
        <v>1062</v>
      </c>
      <c r="C1765" s="3" t="s">
        <v>19</v>
      </c>
      <c r="D1765" s="3" t="s">
        <v>1063</v>
      </c>
      <c r="E1765" s="3" t="s">
        <v>1072</v>
      </c>
      <c r="F1765" s="3">
        <v>2.0</v>
      </c>
      <c r="G1765" s="4">
        <v>-27.50438</v>
      </c>
      <c r="H1765" s="4">
        <v>-48.50653</v>
      </c>
      <c r="I1765" s="5">
        <v>3.0</v>
      </c>
      <c r="J1765" s="5" t="s">
        <v>761</v>
      </c>
      <c r="K1765" s="5" t="s">
        <v>761</v>
      </c>
      <c r="L1765" s="3"/>
      <c r="M1765" s="5">
        <v>8.0</v>
      </c>
      <c r="N1765" s="5">
        <v>42.0</v>
      </c>
      <c r="O1765" s="3"/>
      <c r="P1765" s="3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</row>
    <row r="1766" ht="15.75" customHeight="1">
      <c r="A1766" s="3" t="s">
        <v>1061</v>
      </c>
      <c r="B1766" s="3" t="s">
        <v>1062</v>
      </c>
      <c r="C1766" s="3" t="s">
        <v>19</v>
      </c>
      <c r="D1766" s="3" t="s">
        <v>1063</v>
      </c>
      <c r="E1766" s="3" t="s">
        <v>1072</v>
      </c>
      <c r="F1766" s="3">
        <v>2.0</v>
      </c>
      <c r="G1766" s="4">
        <v>-27.50438</v>
      </c>
      <c r="H1766" s="4">
        <v>-48.50653</v>
      </c>
      <c r="I1766" s="5">
        <v>4.0</v>
      </c>
      <c r="J1766" s="5" t="s">
        <v>1069</v>
      </c>
      <c r="K1766" s="5" t="s">
        <v>1025</v>
      </c>
      <c r="L1766" s="3"/>
      <c r="M1766" s="5">
        <v>10.0</v>
      </c>
      <c r="N1766" s="5">
        <v>42.0</v>
      </c>
      <c r="O1766" s="3"/>
      <c r="P1766" s="3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</row>
    <row r="1767" ht="15.75" customHeight="1">
      <c r="A1767" s="3" t="s">
        <v>1061</v>
      </c>
      <c r="B1767" s="3" t="s">
        <v>1062</v>
      </c>
      <c r="C1767" s="3" t="s">
        <v>19</v>
      </c>
      <c r="D1767" s="3" t="s">
        <v>1063</v>
      </c>
      <c r="E1767" s="3" t="s">
        <v>1072</v>
      </c>
      <c r="F1767" s="3">
        <v>2.0</v>
      </c>
      <c r="G1767" s="4">
        <v>-27.50438</v>
      </c>
      <c r="H1767" s="4">
        <v>-48.50653</v>
      </c>
      <c r="I1767" s="5">
        <v>5.0</v>
      </c>
      <c r="J1767" s="5" t="s">
        <v>1070</v>
      </c>
      <c r="K1767" s="5" t="s">
        <v>767</v>
      </c>
      <c r="L1767" s="3"/>
      <c r="M1767" s="5">
        <v>7.0</v>
      </c>
      <c r="N1767" s="5">
        <v>20.0</v>
      </c>
      <c r="O1767" s="3"/>
      <c r="P1767" s="3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</row>
    <row r="1768" ht="15.75" customHeight="1">
      <c r="A1768" s="3" t="s">
        <v>1061</v>
      </c>
      <c r="B1768" s="3" t="s">
        <v>1062</v>
      </c>
      <c r="C1768" s="3" t="s">
        <v>19</v>
      </c>
      <c r="D1768" s="3" t="s">
        <v>1063</v>
      </c>
      <c r="E1768" s="3" t="s">
        <v>1072</v>
      </c>
      <c r="F1768" s="3">
        <v>2.0</v>
      </c>
      <c r="G1768" s="4">
        <v>-27.50438</v>
      </c>
      <c r="H1768" s="4">
        <v>-48.50653</v>
      </c>
      <c r="I1768" s="5">
        <v>6.0</v>
      </c>
      <c r="J1768" s="5" t="s">
        <v>1070</v>
      </c>
      <c r="K1768" s="5" t="s">
        <v>767</v>
      </c>
      <c r="L1768" s="3"/>
      <c r="M1768" s="5">
        <v>7.0</v>
      </c>
      <c r="N1768" s="5">
        <v>20.0</v>
      </c>
      <c r="O1768" s="3"/>
      <c r="P1768" s="3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</row>
    <row r="1769" ht="15.75" customHeight="1">
      <c r="A1769" s="3" t="s">
        <v>1061</v>
      </c>
      <c r="B1769" s="3" t="s">
        <v>1062</v>
      </c>
      <c r="C1769" s="3" t="s">
        <v>19</v>
      </c>
      <c r="D1769" s="3" t="s">
        <v>1063</v>
      </c>
      <c r="E1769" s="3" t="s">
        <v>1072</v>
      </c>
      <c r="F1769" s="3">
        <v>2.0</v>
      </c>
      <c r="G1769" s="4">
        <v>-27.50438</v>
      </c>
      <c r="H1769" s="4">
        <v>-48.50653</v>
      </c>
      <c r="I1769" s="5">
        <v>7.0</v>
      </c>
      <c r="J1769" s="5" t="s">
        <v>761</v>
      </c>
      <c r="K1769" s="5" t="s">
        <v>761</v>
      </c>
      <c r="L1769" s="3"/>
      <c r="M1769" s="5">
        <v>8.0</v>
      </c>
      <c r="N1769" s="5">
        <v>23.0</v>
      </c>
      <c r="O1769" s="3"/>
      <c r="P1769" s="3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</row>
    <row r="1770" ht="15.75" customHeight="1">
      <c r="A1770" s="3" t="s">
        <v>1061</v>
      </c>
      <c r="B1770" s="3" t="s">
        <v>1062</v>
      </c>
      <c r="C1770" s="3" t="s">
        <v>19</v>
      </c>
      <c r="D1770" s="3" t="s">
        <v>1063</v>
      </c>
      <c r="E1770" s="3" t="s">
        <v>1072</v>
      </c>
      <c r="F1770" s="3">
        <v>2.0</v>
      </c>
      <c r="G1770" s="4">
        <v>-27.50438</v>
      </c>
      <c r="H1770" s="4">
        <v>-48.50653</v>
      </c>
      <c r="I1770" s="5">
        <v>8.0</v>
      </c>
      <c r="J1770" s="5" t="s">
        <v>1065</v>
      </c>
      <c r="K1770" s="5" t="s">
        <v>1065</v>
      </c>
      <c r="L1770" s="3"/>
      <c r="M1770" s="5">
        <v>7.0</v>
      </c>
      <c r="N1770" s="5">
        <v>33.0</v>
      </c>
      <c r="O1770" s="3"/>
      <c r="P1770" s="3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</row>
    <row r="1771" ht="15.75" customHeight="1">
      <c r="A1771" s="3" t="s">
        <v>1061</v>
      </c>
      <c r="B1771" s="3" t="s">
        <v>1062</v>
      </c>
      <c r="C1771" s="3" t="s">
        <v>19</v>
      </c>
      <c r="D1771" s="3" t="s">
        <v>1063</v>
      </c>
      <c r="E1771" s="3" t="s">
        <v>1072</v>
      </c>
      <c r="F1771" s="3">
        <v>2.0</v>
      </c>
      <c r="G1771" s="4">
        <v>-27.50438</v>
      </c>
      <c r="H1771" s="4">
        <v>-48.50653</v>
      </c>
      <c r="I1771" s="5">
        <v>9.0</v>
      </c>
      <c r="J1771" s="5" t="s">
        <v>1070</v>
      </c>
      <c r="K1771" s="5" t="s">
        <v>767</v>
      </c>
      <c r="L1771" s="3"/>
      <c r="M1771" s="5">
        <v>8.0</v>
      </c>
      <c r="N1771" s="5">
        <v>28.0</v>
      </c>
      <c r="O1771" s="3"/>
      <c r="P1771" s="3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</row>
    <row r="1772" ht="15.75" customHeight="1">
      <c r="A1772" s="3" t="s">
        <v>1061</v>
      </c>
      <c r="B1772" s="3" t="s">
        <v>1062</v>
      </c>
      <c r="C1772" s="3" t="s">
        <v>19</v>
      </c>
      <c r="D1772" s="3" t="s">
        <v>1063</v>
      </c>
      <c r="E1772" s="3" t="s">
        <v>1072</v>
      </c>
      <c r="F1772" s="3">
        <v>2.0</v>
      </c>
      <c r="G1772" s="4">
        <v>-27.50438</v>
      </c>
      <c r="H1772" s="4">
        <v>-48.50653</v>
      </c>
      <c r="I1772" s="5">
        <v>10.0</v>
      </c>
      <c r="J1772" s="5" t="s">
        <v>1070</v>
      </c>
      <c r="K1772" s="5" t="s">
        <v>767</v>
      </c>
      <c r="L1772" s="3"/>
      <c r="M1772" s="5">
        <v>7.0</v>
      </c>
      <c r="N1772" s="5">
        <v>29.0</v>
      </c>
      <c r="O1772" s="3"/>
      <c r="P1772" s="3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</row>
    <row r="1773" ht="15.75" customHeight="1">
      <c r="A1773" s="3" t="s">
        <v>1061</v>
      </c>
      <c r="B1773" s="3" t="s">
        <v>1062</v>
      </c>
      <c r="C1773" s="3" t="s">
        <v>19</v>
      </c>
      <c r="D1773" s="3" t="s">
        <v>1063</v>
      </c>
      <c r="E1773" s="3" t="s">
        <v>1072</v>
      </c>
      <c r="F1773" s="3">
        <v>2.0</v>
      </c>
      <c r="G1773" s="4">
        <v>-27.50438</v>
      </c>
      <c r="H1773" s="4">
        <v>-48.50653</v>
      </c>
      <c r="I1773" s="5">
        <v>11.0</v>
      </c>
      <c r="J1773" s="5" t="s">
        <v>761</v>
      </c>
      <c r="K1773" s="5" t="s">
        <v>761</v>
      </c>
      <c r="L1773" s="3"/>
      <c r="M1773" s="5">
        <v>9.0</v>
      </c>
      <c r="N1773" s="5">
        <v>41.0</v>
      </c>
      <c r="O1773" s="3"/>
      <c r="P1773" s="3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</row>
    <row r="1774" ht="15.75" customHeight="1">
      <c r="A1774" s="3" t="s">
        <v>1061</v>
      </c>
      <c r="B1774" s="3" t="s">
        <v>1062</v>
      </c>
      <c r="C1774" s="3" t="s">
        <v>19</v>
      </c>
      <c r="D1774" s="3" t="s">
        <v>1063</v>
      </c>
      <c r="E1774" s="3" t="s">
        <v>1072</v>
      </c>
      <c r="F1774" s="3">
        <v>2.0</v>
      </c>
      <c r="G1774" s="4">
        <v>-27.50438</v>
      </c>
      <c r="H1774" s="4">
        <v>-48.50653</v>
      </c>
      <c r="I1774" s="5">
        <v>12.0</v>
      </c>
      <c r="J1774" s="5" t="s">
        <v>1070</v>
      </c>
      <c r="K1774" s="5" t="s">
        <v>767</v>
      </c>
      <c r="L1774" s="3"/>
      <c r="M1774" s="5">
        <v>4.0</v>
      </c>
      <c r="N1774" s="5">
        <v>18.0</v>
      </c>
      <c r="O1774" s="3"/>
      <c r="P1774" s="3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</row>
    <row r="1775" ht="15.75" customHeight="1">
      <c r="A1775" s="3" t="s">
        <v>1061</v>
      </c>
      <c r="B1775" s="3" t="s">
        <v>1062</v>
      </c>
      <c r="C1775" s="3" t="s">
        <v>19</v>
      </c>
      <c r="D1775" s="3" t="s">
        <v>1063</v>
      </c>
      <c r="E1775" s="3" t="s">
        <v>1072</v>
      </c>
      <c r="F1775" s="3">
        <v>2.0</v>
      </c>
      <c r="G1775" s="4">
        <v>-27.50438</v>
      </c>
      <c r="H1775" s="4">
        <v>-48.50653</v>
      </c>
      <c r="I1775" s="5">
        <v>13.0</v>
      </c>
      <c r="J1775" s="5" t="s">
        <v>100</v>
      </c>
      <c r="K1775" s="5" t="s">
        <v>100</v>
      </c>
      <c r="L1775" s="3"/>
      <c r="M1775" s="5">
        <v>8.0</v>
      </c>
      <c r="N1775" s="5" t="s">
        <v>1073</v>
      </c>
      <c r="O1775" s="3"/>
      <c r="P1775" s="3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</row>
    <row r="1776" ht="15.75" customHeight="1">
      <c r="A1776" s="3" t="s">
        <v>1061</v>
      </c>
      <c r="B1776" s="3" t="s">
        <v>1062</v>
      </c>
      <c r="C1776" s="3" t="s">
        <v>19</v>
      </c>
      <c r="D1776" s="3" t="s">
        <v>1063</v>
      </c>
      <c r="E1776" s="3" t="s">
        <v>1072</v>
      </c>
      <c r="F1776" s="3">
        <v>2.0</v>
      </c>
      <c r="G1776" s="4">
        <v>-27.50438</v>
      </c>
      <c r="H1776" s="4">
        <v>-48.50653</v>
      </c>
      <c r="I1776" s="5">
        <v>14.0</v>
      </c>
      <c r="J1776" s="5" t="s">
        <v>1070</v>
      </c>
      <c r="K1776" s="5" t="s">
        <v>767</v>
      </c>
      <c r="L1776" s="3"/>
      <c r="M1776" s="5">
        <v>8.0</v>
      </c>
      <c r="N1776" s="5">
        <v>23.0</v>
      </c>
      <c r="O1776" s="3"/>
      <c r="P1776" s="3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</row>
    <row r="1777" ht="15.75" customHeight="1">
      <c r="A1777" s="3" t="s">
        <v>1061</v>
      </c>
      <c r="B1777" s="3" t="s">
        <v>1062</v>
      </c>
      <c r="C1777" s="3" t="s">
        <v>19</v>
      </c>
      <c r="D1777" s="3" t="s">
        <v>1063</v>
      </c>
      <c r="E1777" s="3" t="s">
        <v>1074</v>
      </c>
      <c r="F1777" s="3">
        <v>3.0</v>
      </c>
      <c r="G1777" s="22">
        <v>-27.50463</v>
      </c>
      <c r="H1777" s="4">
        <v>-48.50626</v>
      </c>
      <c r="I1777" s="5">
        <v>1.0</v>
      </c>
      <c r="J1777" s="5" t="s">
        <v>98</v>
      </c>
      <c r="K1777" s="5" t="s">
        <v>98</v>
      </c>
      <c r="L1777" s="3"/>
      <c r="M1777" s="5">
        <v>8.0</v>
      </c>
      <c r="N1777" s="5">
        <v>36.0</v>
      </c>
      <c r="O1777" s="3"/>
      <c r="P1777" s="3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</row>
    <row r="1778" ht="15.75" customHeight="1">
      <c r="A1778" s="3" t="s">
        <v>1061</v>
      </c>
      <c r="B1778" s="3" t="s">
        <v>1062</v>
      </c>
      <c r="C1778" s="3" t="s">
        <v>19</v>
      </c>
      <c r="D1778" s="3" t="s">
        <v>1063</v>
      </c>
      <c r="E1778" s="3" t="s">
        <v>1074</v>
      </c>
      <c r="F1778" s="3">
        <v>3.0</v>
      </c>
      <c r="G1778" s="22">
        <v>-27.50463</v>
      </c>
      <c r="H1778" s="4">
        <v>-48.50626</v>
      </c>
      <c r="I1778" s="5">
        <v>2.0</v>
      </c>
      <c r="J1778" s="5" t="s">
        <v>1069</v>
      </c>
      <c r="K1778" s="5" t="s">
        <v>1025</v>
      </c>
      <c r="L1778" s="3"/>
      <c r="M1778" s="5">
        <v>5.0</v>
      </c>
      <c r="N1778" s="5">
        <v>22.0</v>
      </c>
      <c r="O1778" s="3"/>
      <c r="P1778" s="3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</row>
    <row r="1779" ht="15.75" customHeight="1">
      <c r="A1779" s="3" t="s">
        <v>1061</v>
      </c>
      <c r="B1779" s="3" t="s">
        <v>1062</v>
      </c>
      <c r="C1779" s="3" t="s">
        <v>19</v>
      </c>
      <c r="D1779" s="3" t="s">
        <v>1063</v>
      </c>
      <c r="E1779" s="3" t="s">
        <v>1074</v>
      </c>
      <c r="F1779" s="3">
        <v>3.0</v>
      </c>
      <c r="G1779" s="22">
        <v>-27.50463</v>
      </c>
      <c r="H1779" s="4">
        <v>-48.50626</v>
      </c>
      <c r="I1779" s="5">
        <v>3.0</v>
      </c>
      <c r="J1779" s="5" t="s">
        <v>1070</v>
      </c>
      <c r="K1779" s="5" t="s">
        <v>767</v>
      </c>
      <c r="L1779" s="3"/>
      <c r="M1779" s="5">
        <v>6.0</v>
      </c>
      <c r="N1779" s="5">
        <v>28.0</v>
      </c>
      <c r="O1779" s="3"/>
      <c r="P1779" s="3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</row>
    <row r="1780" ht="15.75" customHeight="1">
      <c r="A1780" s="3" t="s">
        <v>1061</v>
      </c>
      <c r="B1780" s="3" t="s">
        <v>1062</v>
      </c>
      <c r="C1780" s="3" t="s">
        <v>19</v>
      </c>
      <c r="D1780" s="3" t="s">
        <v>1063</v>
      </c>
      <c r="E1780" s="3" t="s">
        <v>1074</v>
      </c>
      <c r="F1780" s="3">
        <v>3.0</v>
      </c>
      <c r="G1780" s="22">
        <v>-27.50463</v>
      </c>
      <c r="H1780" s="4">
        <v>-48.50626</v>
      </c>
      <c r="I1780" s="5">
        <v>4.0</v>
      </c>
      <c r="J1780" s="5" t="s">
        <v>1070</v>
      </c>
      <c r="K1780" s="5" t="s">
        <v>767</v>
      </c>
      <c r="L1780" s="3"/>
      <c r="M1780" s="5">
        <v>5.0</v>
      </c>
      <c r="N1780" s="5">
        <v>19.0</v>
      </c>
      <c r="O1780" s="3"/>
      <c r="P1780" s="3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</row>
    <row r="1781" ht="15.75" customHeight="1">
      <c r="A1781" s="3" t="s">
        <v>1061</v>
      </c>
      <c r="B1781" s="3" t="s">
        <v>1062</v>
      </c>
      <c r="C1781" s="3" t="s">
        <v>19</v>
      </c>
      <c r="D1781" s="3" t="s">
        <v>1063</v>
      </c>
      <c r="E1781" s="3" t="s">
        <v>1074</v>
      </c>
      <c r="F1781" s="3">
        <v>3.0</v>
      </c>
      <c r="G1781" s="22">
        <v>-27.50463</v>
      </c>
      <c r="H1781" s="4">
        <v>-48.50626</v>
      </c>
      <c r="I1781" s="5">
        <v>5.0</v>
      </c>
      <c r="J1781" s="5" t="s">
        <v>761</v>
      </c>
      <c r="K1781" s="5" t="s">
        <v>761</v>
      </c>
      <c r="L1781" s="3"/>
      <c r="M1781" s="5">
        <v>10.0</v>
      </c>
      <c r="N1781" s="5">
        <v>64.0</v>
      </c>
      <c r="O1781" s="3"/>
      <c r="P1781" s="3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</row>
    <row r="1782" ht="15.75" customHeight="1">
      <c r="A1782" s="3" t="s">
        <v>1061</v>
      </c>
      <c r="B1782" s="3" t="s">
        <v>1062</v>
      </c>
      <c r="C1782" s="3" t="s">
        <v>19</v>
      </c>
      <c r="D1782" s="3" t="s">
        <v>1063</v>
      </c>
      <c r="E1782" s="3" t="s">
        <v>1074</v>
      </c>
      <c r="F1782" s="3">
        <v>3.0</v>
      </c>
      <c r="G1782" s="22">
        <v>-27.50463</v>
      </c>
      <c r="H1782" s="4">
        <v>-48.50626</v>
      </c>
      <c r="I1782" s="5">
        <v>6.0</v>
      </c>
      <c r="J1782" s="5" t="s">
        <v>1070</v>
      </c>
      <c r="K1782" s="5" t="s">
        <v>767</v>
      </c>
      <c r="L1782" s="3"/>
      <c r="M1782" s="5">
        <v>9.0</v>
      </c>
      <c r="N1782" s="5">
        <v>36.0</v>
      </c>
      <c r="O1782" s="3"/>
      <c r="P1782" s="3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</row>
    <row r="1783" ht="15.75" customHeight="1">
      <c r="A1783" s="3" t="s">
        <v>1061</v>
      </c>
      <c r="B1783" s="3" t="s">
        <v>1062</v>
      </c>
      <c r="C1783" s="3" t="s">
        <v>19</v>
      </c>
      <c r="D1783" s="3" t="s">
        <v>1063</v>
      </c>
      <c r="E1783" s="3" t="s">
        <v>1074</v>
      </c>
      <c r="F1783" s="3">
        <v>3.0</v>
      </c>
      <c r="G1783" s="22">
        <v>-27.50463</v>
      </c>
      <c r="H1783" s="4">
        <v>-48.50626</v>
      </c>
      <c r="I1783" s="5">
        <v>7.0</v>
      </c>
      <c r="J1783" s="5" t="s">
        <v>1069</v>
      </c>
      <c r="K1783" s="5" t="s">
        <v>1025</v>
      </c>
      <c r="L1783" s="3"/>
      <c r="M1783" s="5">
        <v>8.0</v>
      </c>
      <c r="N1783" s="5">
        <v>34.0</v>
      </c>
      <c r="O1783" s="3"/>
      <c r="P1783" s="3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</row>
    <row r="1784" ht="15.75" customHeight="1">
      <c r="A1784" s="3" t="s">
        <v>1061</v>
      </c>
      <c r="B1784" s="3" t="s">
        <v>1062</v>
      </c>
      <c r="C1784" s="3" t="s">
        <v>19</v>
      </c>
      <c r="D1784" s="3" t="s">
        <v>1063</v>
      </c>
      <c r="E1784" s="3" t="s">
        <v>1074</v>
      </c>
      <c r="F1784" s="3">
        <v>3.0</v>
      </c>
      <c r="G1784" s="22">
        <v>-27.50463</v>
      </c>
      <c r="H1784" s="4">
        <v>-48.50626</v>
      </c>
      <c r="I1784" s="5">
        <v>8.0</v>
      </c>
      <c r="J1784" s="5" t="s">
        <v>108</v>
      </c>
      <c r="K1784" s="5" t="s">
        <v>108</v>
      </c>
      <c r="L1784" s="3"/>
      <c r="M1784" s="5">
        <v>8.0</v>
      </c>
      <c r="N1784" s="5">
        <v>60.0</v>
      </c>
      <c r="O1784" s="3"/>
      <c r="P1784" s="3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</row>
    <row r="1785" ht="15.75" customHeight="1">
      <c r="A1785" s="3" t="s">
        <v>1061</v>
      </c>
      <c r="B1785" s="3" t="s">
        <v>1062</v>
      </c>
      <c r="C1785" s="3" t="s">
        <v>19</v>
      </c>
      <c r="D1785" s="3" t="s">
        <v>1063</v>
      </c>
      <c r="E1785" s="3" t="s">
        <v>1074</v>
      </c>
      <c r="F1785" s="3">
        <v>3.0</v>
      </c>
      <c r="G1785" s="22">
        <v>-27.50463</v>
      </c>
      <c r="H1785" s="4">
        <v>-48.50626</v>
      </c>
      <c r="I1785" s="5">
        <v>9.0</v>
      </c>
      <c r="J1785" s="5" t="s">
        <v>761</v>
      </c>
      <c r="K1785" s="5" t="s">
        <v>761</v>
      </c>
      <c r="L1785" s="3"/>
      <c r="M1785" s="5">
        <v>9.0</v>
      </c>
      <c r="N1785" s="5">
        <v>60.0</v>
      </c>
      <c r="O1785" s="3"/>
      <c r="P1785" s="3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</row>
    <row r="1786" ht="15.75" customHeight="1">
      <c r="A1786" s="3" t="s">
        <v>1061</v>
      </c>
      <c r="B1786" s="3" t="s">
        <v>1062</v>
      </c>
      <c r="C1786" s="3" t="s">
        <v>19</v>
      </c>
      <c r="D1786" s="3" t="s">
        <v>1063</v>
      </c>
      <c r="E1786" s="3" t="s">
        <v>1074</v>
      </c>
      <c r="F1786" s="3">
        <v>3.0</v>
      </c>
      <c r="G1786" s="22">
        <v>-27.50463</v>
      </c>
      <c r="H1786" s="4">
        <v>-48.50626</v>
      </c>
      <c r="I1786" s="5">
        <v>10.0</v>
      </c>
      <c r="J1786" s="5" t="s">
        <v>98</v>
      </c>
      <c r="K1786" s="5" t="s">
        <v>98</v>
      </c>
      <c r="L1786" s="3"/>
      <c r="M1786" s="5">
        <v>6.0</v>
      </c>
      <c r="N1786" s="5">
        <v>17.0</v>
      </c>
      <c r="O1786" s="3"/>
      <c r="P1786" s="3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</row>
    <row r="1787" ht="15.75" customHeight="1">
      <c r="A1787" s="3" t="s">
        <v>1061</v>
      </c>
      <c r="B1787" s="3" t="s">
        <v>1062</v>
      </c>
      <c r="C1787" s="3" t="s">
        <v>19</v>
      </c>
      <c r="D1787" s="3" t="s">
        <v>1063</v>
      </c>
      <c r="E1787" s="3" t="s">
        <v>1074</v>
      </c>
      <c r="F1787" s="3">
        <v>3.0</v>
      </c>
      <c r="G1787" s="22">
        <v>-27.50463</v>
      </c>
      <c r="H1787" s="4">
        <v>-48.50626</v>
      </c>
      <c r="I1787" s="5">
        <v>11.0</v>
      </c>
      <c r="J1787" s="5" t="s">
        <v>324</v>
      </c>
      <c r="K1787" s="5" t="s">
        <v>324</v>
      </c>
      <c r="L1787" s="3"/>
      <c r="M1787" s="5">
        <v>8.0</v>
      </c>
      <c r="N1787" s="5">
        <v>20.0</v>
      </c>
      <c r="O1787" s="3"/>
      <c r="P1787" s="3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</row>
    <row r="1788" ht="15.75" customHeight="1">
      <c r="A1788" s="3" t="s">
        <v>1061</v>
      </c>
      <c r="B1788" s="3" t="s">
        <v>1062</v>
      </c>
      <c r="C1788" s="3" t="s">
        <v>19</v>
      </c>
      <c r="D1788" s="3" t="s">
        <v>1063</v>
      </c>
      <c r="E1788" s="3" t="s">
        <v>1075</v>
      </c>
      <c r="F1788" s="3">
        <v>4.0</v>
      </c>
      <c r="G1788" s="22">
        <v>-27.50488</v>
      </c>
      <c r="H1788" s="4">
        <v>-48.50621</v>
      </c>
      <c r="I1788" s="5">
        <v>1.0</v>
      </c>
      <c r="J1788" s="5" t="s">
        <v>1069</v>
      </c>
      <c r="K1788" s="5" t="s">
        <v>1025</v>
      </c>
      <c r="L1788" s="3"/>
      <c r="M1788" s="5">
        <v>12.0</v>
      </c>
      <c r="N1788" s="5">
        <v>145.0</v>
      </c>
      <c r="O1788" s="3"/>
      <c r="P1788" s="3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</row>
    <row r="1789" ht="15.75" customHeight="1">
      <c r="A1789" s="3" t="s">
        <v>1061</v>
      </c>
      <c r="B1789" s="3" t="s">
        <v>1062</v>
      </c>
      <c r="C1789" s="3" t="s">
        <v>19</v>
      </c>
      <c r="D1789" s="3" t="s">
        <v>1063</v>
      </c>
      <c r="E1789" s="3" t="s">
        <v>1075</v>
      </c>
      <c r="F1789" s="3">
        <v>4.0</v>
      </c>
      <c r="G1789" s="22">
        <v>-27.50488</v>
      </c>
      <c r="H1789" s="4">
        <v>-48.50621</v>
      </c>
      <c r="I1789" s="5">
        <v>2.0</v>
      </c>
      <c r="J1789" s="5" t="s">
        <v>105</v>
      </c>
      <c r="K1789" s="5" t="s">
        <v>105</v>
      </c>
      <c r="L1789" s="3"/>
      <c r="M1789" s="5">
        <v>3.0</v>
      </c>
      <c r="N1789" s="5">
        <v>17.0</v>
      </c>
      <c r="O1789" s="3"/>
      <c r="P1789" s="3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</row>
    <row r="1790" ht="15.75" customHeight="1">
      <c r="A1790" s="3" t="s">
        <v>1061</v>
      </c>
      <c r="B1790" s="3" t="s">
        <v>1062</v>
      </c>
      <c r="C1790" s="3" t="s">
        <v>19</v>
      </c>
      <c r="D1790" s="3" t="s">
        <v>1063</v>
      </c>
      <c r="E1790" s="3" t="s">
        <v>1075</v>
      </c>
      <c r="F1790" s="3">
        <v>4.0</v>
      </c>
      <c r="G1790" s="22">
        <v>-27.50488</v>
      </c>
      <c r="H1790" s="4">
        <v>-48.50621</v>
      </c>
      <c r="I1790" s="5">
        <v>3.0</v>
      </c>
      <c r="J1790" s="5" t="s">
        <v>1069</v>
      </c>
      <c r="K1790" s="5" t="s">
        <v>1025</v>
      </c>
      <c r="L1790" s="3"/>
      <c r="M1790" s="5">
        <v>6.0</v>
      </c>
      <c r="N1790" s="5">
        <v>38.0</v>
      </c>
      <c r="O1790" s="3"/>
      <c r="P1790" s="3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</row>
    <row r="1791" ht="15.75" customHeight="1">
      <c r="A1791" s="3" t="s">
        <v>1061</v>
      </c>
      <c r="B1791" s="3" t="s">
        <v>1062</v>
      </c>
      <c r="C1791" s="3" t="s">
        <v>19</v>
      </c>
      <c r="D1791" s="3" t="s">
        <v>1063</v>
      </c>
      <c r="E1791" s="3" t="s">
        <v>1075</v>
      </c>
      <c r="F1791" s="3">
        <v>4.0</v>
      </c>
      <c r="G1791" s="22">
        <v>-27.50488</v>
      </c>
      <c r="H1791" s="4">
        <v>-48.50621</v>
      </c>
      <c r="I1791" s="5">
        <v>4.0</v>
      </c>
      <c r="J1791" s="5" t="s">
        <v>105</v>
      </c>
      <c r="K1791" s="5" t="s">
        <v>105</v>
      </c>
      <c r="L1791" s="3"/>
      <c r="M1791" s="5">
        <v>3.0</v>
      </c>
      <c r="N1791" s="5">
        <v>20.0</v>
      </c>
      <c r="O1791" s="3"/>
      <c r="P1791" s="3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</row>
    <row r="1792" ht="15.75" customHeight="1">
      <c r="A1792" s="3" t="s">
        <v>1061</v>
      </c>
      <c r="B1792" s="3" t="s">
        <v>1062</v>
      </c>
      <c r="C1792" s="3" t="s">
        <v>19</v>
      </c>
      <c r="D1792" s="3" t="s">
        <v>1063</v>
      </c>
      <c r="E1792" s="3" t="s">
        <v>1075</v>
      </c>
      <c r="F1792" s="3">
        <v>4.0</v>
      </c>
      <c r="G1792" s="22">
        <v>-27.50488</v>
      </c>
      <c r="H1792" s="4">
        <v>-48.50621</v>
      </c>
      <c r="I1792" s="5">
        <v>5.0</v>
      </c>
      <c r="J1792" s="5" t="s">
        <v>164</v>
      </c>
      <c r="K1792" s="5" t="s">
        <v>164</v>
      </c>
      <c r="L1792" s="3"/>
      <c r="M1792" s="5">
        <v>9.0</v>
      </c>
      <c r="N1792" s="5">
        <v>24.0</v>
      </c>
      <c r="O1792" s="3"/>
      <c r="P1792" s="3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</row>
    <row r="1793" ht="15.75" customHeight="1">
      <c r="A1793" s="3" t="s">
        <v>1061</v>
      </c>
      <c r="B1793" s="3" t="s">
        <v>1062</v>
      </c>
      <c r="C1793" s="3" t="s">
        <v>19</v>
      </c>
      <c r="D1793" s="3" t="s">
        <v>1063</v>
      </c>
      <c r="E1793" s="3" t="s">
        <v>1075</v>
      </c>
      <c r="F1793" s="3">
        <v>4.0</v>
      </c>
      <c r="G1793" s="22">
        <v>-27.50488</v>
      </c>
      <c r="H1793" s="4">
        <v>-48.50621</v>
      </c>
      <c r="I1793" s="5">
        <v>6.0</v>
      </c>
      <c r="J1793" s="5" t="s">
        <v>1070</v>
      </c>
      <c r="K1793" s="5" t="s">
        <v>767</v>
      </c>
      <c r="L1793" s="3"/>
      <c r="M1793" s="5">
        <v>6.0</v>
      </c>
      <c r="N1793" s="5">
        <v>25.0</v>
      </c>
      <c r="O1793" s="3"/>
      <c r="P1793" s="3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</row>
    <row r="1794" ht="15.75" customHeight="1">
      <c r="A1794" s="3" t="s">
        <v>1061</v>
      </c>
      <c r="B1794" s="3" t="s">
        <v>1062</v>
      </c>
      <c r="C1794" s="3" t="s">
        <v>19</v>
      </c>
      <c r="D1794" s="3" t="s">
        <v>1063</v>
      </c>
      <c r="E1794" s="3" t="s">
        <v>1075</v>
      </c>
      <c r="F1794" s="3">
        <v>4.0</v>
      </c>
      <c r="G1794" s="22">
        <v>-27.50488</v>
      </c>
      <c r="H1794" s="4">
        <v>-48.50621</v>
      </c>
      <c r="I1794" s="5">
        <v>7.0</v>
      </c>
      <c r="J1794" s="5" t="s">
        <v>1070</v>
      </c>
      <c r="K1794" s="5" t="s">
        <v>767</v>
      </c>
      <c r="L1794" s="3"/>
      <c r="M1794" s="5">
        <v>10.0</v>
      </c>
      <c r="N1794" s="5">
        <v>30.0</v>
      </c>
      <c r="O1794" s="3"/>
      <c r="P1794" s="3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</row>
    <row r="1795" ht="15.75" customHeight="1">
      <c r="A1795" s="3" t="s">
        <v>1061</v>
      </c>
      <c r="B1795" s="3" t="s">
        <v>1062</v>
      </c>
      <c r="C1795" s="3" t="s">
        <v>19</v>
      </c>
      <c r="D1795" s="3" t="s">
        <v>1063</v>
      </c>
      <c r="E1795" s="3" t="s">
        <v>1075</v>
      </c>
      <c r="F1795" s="3">
        <v>4.0</v>
      </c>
      <c r="G1795" s="22">
        <v>-27.50488</v>
      </c>
      <c r="H1795" s="4">
        <v>-48.50621</v>
      </c>
      <c r="I1795" s="5">
        <v>8.0</v>
      </c>
      <c r="J1795" s="5" t="s">
        <v>1069</v>
      </c>
      <c r="K1795" s="5" t="s">
        <v>1025</v>
      </c>
      <c r="L1795" s="3"/>
      <c r="M1795" s="5">
        <v>10.0</v>
      </c>
      <c r="N1795" s="5">
        <v>92.0</v>
      </c>
      <c r="O1795" s="3"/>
      <c r="P1795" s="3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</row>
    <row r="1796" ht="15.75" customHeight="1">
      <c r="A1796" s="3" t="s">
        <v>1061</v>
      </c>
      <c r="B1796" s="3" t="s">
        <v>1062</v>
      </c>
      <c r="C1796" s="3" t="s">
        <v>19</v>
      </c>
      <c r="D1796" s="3" t="s">
        <v>1063</v>
      </c>
      <c r="E1796" s="3" t="s">
        <v>1075</v>
      </c>
      <c r="F1796" s="3">
        <v>4.0</v>
      </c>
      <c r="G1796" s="22">
        <v>-27.50488</v>
      </c>
      <c r="H1796" s="4">
        <v>-48.50621</v>
      </c>
      <c r="I1796" s="5">
        <v>9.0</v>
      </c>
      <c r="J1796" s="5" t="s">
        <v>1076</v>
      </c>
      <c r="K1796" s="5" t="s">
        <v>323</v>
      </c>
      <c r="L1796" s="3"/>
      <c r="M1796" s="5">
        <v>8.0</v>
      </c>
      <c r="N1796" s="5">
        <v>18.0</v>
      </c>
      <c r="O1796" s="3"/>
      <c r="P1796" s="3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</row>
    <row r="1797" ht="15.75" customHeight="1">
      <c r="A1797" s="3" t="s">
        <v>1061</v>
      </c>
      <c r="B1797" s="3" t="s">
        <v>1062</v>
      </c>
      <c r="C1797" s="3" t="s">
        <v>19</v>
      </c>
      <c r="D1797" s="3" t="s">
        <v>1063</v>
      </c>
      <c r="E1797" s="3" t="s">
        <v>1075</v>
      </c>
      <c r="F1797" s="3">
        <v>4.0</v>
      </c>
      <c r="G1797" s="22">
        <v>-27.50488</v>
      </c>
      <c r="H1797" s="4">
        <v>-48.50621</v>
      </c>
      <c r="I1797" s="5">
        <v>10.0</v>
      </c>
      <c r="J1797" s="5" t="s">
        <v>1077</v>
      </c>
      <c r="K1797" s="5" t="s">
        <v>1077</v>
      </c>
      <c r="L1797" s="3"/>
      <c r="M1797" s="5">
        <v>10.0</v>
      </c>
      <c r="N1797" s="5">
        <v>28.0</v>
      </c>
      <c r="O1797" s="3"/>
      <c r="P1797" s="3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</row>
    <row r="1798" ht="15.75" customHeight="1">
      <c r="A1798" s="3" t="s">
        <v>1061</v>
      </c>
      <c r="B1798" s="3" t="s">
        <v>1062</v>
      </c>
      <c r="C1798" s="3" t="s">
        <v>19</v>
      </c>
      <c r="D1798" s="3" t="s">
        <v>1063</v>
      </c>
      <c r="E1798" s="3" t="s">
        <v>1075</v>
      </c>
      <c r="F1798" s="3">
        <v>4.0</v>
      </c>
      <c r="G1798" s="22">
        <v>-27.50488</v>
      </c>
      <c r="H1798" s="4">
        <v>-48.50621</v>
      </c>
      <c r="I1798" s="5">
        <v>11.0</v>
      </c>
      <c r="J1798" s="5" t="s">
        <v>1069</v>
      </c>
      <c r="K1798" s="5" t="s">
        <v>1025</v>
      </c>
      <c r="L1798" s="3"/>
      <c r="M1798" s="5">
        <v>8.0</v>
      </c>
      <c r="N1798" s="5">
        <v>20.0</v>
      </c>
      <c r="O1798" s="3"/>
      <c r="P1798" s="3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</row>
    <row r="1799" ht="15.75" customHeight="1">
      <c r="A1799" s="3" t="s">
        <v>1061</v>
      </c>
      <c r="B1799" s="3" t="s">
        <v>1062</v>
      </c>
      <c r="C1799" s="3" t="s">
        <v>19</v>
      </c>
      <c r="D1799" s="3" t="s">
        <v>1063</v>
      </c>
      <c r="E1799" s="3" t="s">
        <v>1075</v>
      </c>
      <c r="F1799" s="3">
        <v>4.0</v>
      </c>
      <c r="G1799" s="22">
        <v>-27.50488</v>
      </c>
      <c r="H1799" s="4">
        <v>-48.50621</v>
      </c>
      <c r="I1799" s="5">
        <v>12.0</v>
      </c>
      <c r="J1799" s="5" t="s">
        <v>98</v>
      </c>
      <c r="K1799" s="5" t="s">
        <v>98</v>
      </c>
      <c r="L1799" s="3"/>
      <c r="M1799" s="5">
        <v>9.0</v>
      </c>
      <c r="N1799" s="5" t="s">
        <v>1078</v>
      </c>
      <c r="O1799" s="3"/>
      <c r="P1799" s="3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</row>
    <row r="1800" ht="15.75" customHeight="1">
      <c r="A1800" s="3" t="s">
        <v>1061</v>
      </c>
      <c r="B1800" s="3" t="s">
        <v>1062</v>
      </c>
      <c r="C1800" s="3" t="s">
        <v>19</v>
      </c>
      <c r="D1800" s="3" t="s">
        <v>1063</v>
      </c>
      <c r="E1800" s="3" t="s">
        <v>1075</v>
      </c>
      <c r="F1800" s="3">
        <v>4.0</v>
      </c>
      <c r="G1800" s="22">
        <v>-27.50488</v>
      </c>
      <c r="H1800" s="4">
        <v>-48.50621</v>
      </c>
      <c r="I1800" s="5">
        <v>13.0</v>
      </c>
      <c r="J1800" s="5" t="s">
        <v>1069</v>
      </c>
      <c r="K1800" s="5" t="s">
        <v>1025</v>
      </c>
      <c r="L1800" s="3"/>
      <c r="M1800" s="5">
        <v>9.5</v>
      </c>
      <c r="N1800" s="5">
        <v>35.0</v>
      </c>
      <c r="O1800" s="3"/>
      <c r="P1800" s="3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</row>
    <row r="1801" ht="15.75" customHeight="1">
      <c r="A1801" s="3" t="s">
        <v>1061</v>
      </c>
      <c r="B1801" s="3" t="s">
        <v>1062</v>
      </c>
      <c r="C1801" s="3" t="s">
        <v>19</v>
      </c>
      <c r="D1801" s="3" t="s">
        <v>1063</v>
      </c>
      <c r="E1801" s="3" t="s">
        <v>1075</v>
      </c>
      <c r="F1801" s="3">
        <v>4.0</v>
      </c>
      <c r="G1801" s="22">
        <v>-27.50488</v>
      </c>
      <c r="H1801" s="4">
        <v>-48.50621</v>
      </c>
      <c r="I1801" s="5">
        <v>14.0</v>
      </c>
      <c r="J1801" s="5" t="s">
        <v>1069</v>
      </c>
      <c r="K1801" s="5" t="s">
        <v>1025</v>
      </c>
      <c r="L1801" s="3"/>
      <c r="M1801" s="5">
        <v>12.0</v>
      </c>
      <c r="N1801" s="5">
        <v>72.0</v>
      </c>
      <c r="O1801" s="3"/>
      <c r="P1801" s="3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</row>
    <row r="1802" ht="15.75" customHeight="1">
      <c r="A1802" s="3" t="s">
        <v>1061</v>
      </c>
      <c r="B1802" s="3" t="s">
        <v>1062</v>
      </c>
      <c r="C1802" s="3" t="s">
        <v>19</v>
      </c>
      <c r="D1802" s="3" t="s">
        <v>1063</v>
      </c>
      <c r="E1802" s="3" t="s">
        <v>1075</v>
      </c>
      <c r="F1802" s="3">
        <v>4.0</v>
      </c>
      <c r="G1802" s="22">
        <v>-27.50488</v>
      </c>
      <c r="H1802" s="4">
        <v>-48.50621</v>
      </c>
      <c r="I1802" s="5">
        <v>15.0</v>
      </c>
      <c r="J1802" s="5" t="s">
        <v>98</v>
      </c>
      <c r="K1802" s="5" t="s">
        <v>98</v>
      </c>
      <c r="L1802" s="3"/>
      <c r="M1802" s="5">
        <v>13.0</v>
      </c>
      <c r="N1802" s="5">
        <v>51.0</v>
      </c>
      <c r="O1802" s="3"/>
      <c r="P1802" s="3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</row>
    <row r="1803" ht="15.75" customHeight="1">
      <c r="A1803" s="3" t="s">
        <v>1061</v>
      </c>
      <c r="B1803" s="3" t="s">
        <v>1062</v>
      </c>
      <c r="C1803" s="3" t="s">
        <v>19</v>
      </c>
      <c r="D1803" s="3" t="s">
        <v>1063</v>
      </c>
      <c r="E1803" s="3" t="s">
        <v>1075</v>
      </c>
      <c r="F1803" s="3">
        <v>4.0</v>
      </c>
      <c r="G1803" s="22">
        <v>-27.50488</v>
      </c>
      <c r="H1803" s="4">
        <v>-48.50621</v>
      </c>
      <c r="I1803" s="5">
        <v>16.0</v>
      </c>
      <c r="J1803" s="5" t="s">
        <v>1077</v>
      </c>
      <c r="K1803" s="5" t="s">
        <v>1077</v>
      </c>
      <c r="L1803" s="3"/>
      <c r="M1803" s="5">
        <v>11.0</v>
      </c>
      <c r="N1803" s="5">
        <v>41.0</v>
      </c>
      <c r="O1803" s="3"/>
      <c r="P1803" s="3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</row>
    <row r="1804" ht="15.75" customHeight="1">
      <c r="A1804" s="3" t="s">
        <v>1061</v>
      </c>
      <c r="B1804" s="3" t="s">
        <v>1062</v>
      </c>
      <c r="C1804" s="3" t="s">
        <v>80</v>
      </c>
      <c r="D1804" s="3" t="s">
        <v>1079</v>
      </c>
      <c r="E1804" s="3" t="s">
        <v>1080</v>
      </c>
      <c r="F1804" s="3">
        <v>5.0</v>
      </c>
      <c r="G1804" s="22">
        <v>-27.50749</v>
      </c>
      <c r="H1804" s="4">
        <v>-48.50407</v>
      </c>
      <c r="I1804" s="5">
        <v>1.0</v>
      </c>
      <c r="J1804" s="5" t="s">
        <v>1052</v>
      </c>
      <c r="K1804" s="5" t="s">
        <v>1052</v>
      </c>
      <c r="L1804" s="3"/>
      <c r="M1804" s="5">
        <v>12.0</v>
      </c>
      <c r="N1804" s="5" t="s">
        <v>1081</v>
      </c>
      <c r="O1804" s="5"/>
      <c r="P1804" s="3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</row>
    <row r="1805" ht="15.75" customHeight="1">
      <c r="A1805" s="3" t="s">
        <v>1061</v>
      </c>
      <c r="B1805" s="3" t="s">
        <v>1062</v>
      </c>
      <c r="C1805" s="3" t="s">
        <v>80</v>
      </c>
      <c r="D1805" s="3" t="s">
        <v>1079</v>
      </c>
      <c r="E1805" s="3" t="s">
        <v>1080</v>
      </c>
      <c r="F1805" s="3">
        <v>5.0</v>
      </c>
      <c r="G1805" s="22">
        <v>-27.50749</v>
      </c>
      <c r="H1805" s="4">
        <v>-48.50407</v>
      </c>
      <c r="I1805" s="5">
        <v>2.0</v>
      </c>
      <c r="J1805" s="5" t="s">
        <v>1070</v>
      </c>
      <c r="K1805" s="5" t="s">
        <v>767</v>
      </c>
      <c r="L1805" s="3"/>
      <c r="M1805" s="5">
        <v>8.0</v>
      </c>
      <c r="N1805" s="5">
        <v>21.0</v>
      </c>
      <c r="O1805" s="5" t="s">
        <v>1082</v>
      </c>
      <c r="P1805" s="3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</row>
    <row r="1806" ht="15.75" customHeight="1">
      <c r="A1806" s="3" t="s">
        <v>1061</v>
      </c>
      <c r="B1806" s="3" t="s">
        <v>1062</v>
      </c>
      <c r="C1806" s="3" t="s">
        <v>80</v>
      </c>
      <c r="D1806" s="3" t="s">
        <v>1079</v>
      </c>
      <c r="E1806" s="3" t="s">
        <v>1080</v>
      </c>
      <c r="F1806" s="3">
        <v>5.0</v>
      </c>
      <c r="G1806" s="22">
        <v>-27.50749</v>
      </c>
      <c r="H1806" s="4">
        <v>-48.50407</v>
      </c>
      <c r="I1806" s="5">
        <v>3.0</v>
      </c>
      <c r="J1806" s="5" t="s">
        <v>105</v>
      </c>
      <c r="K1806" s="5" t="s">
        <v>105</v>
      </c>
      <c r="L1806" s="3"/>
      <c r="M1806" s="5">
        <v>6.0</v>
      </c>
      <c r="N1806" s="5" t="s">
        <v>1083</v>
      </c>
      <c r="O1806" s="5"/>
      <c r="P1806" s="3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</row>
    <row r="1807" ht="15.75" customHeight="1">
      <c r="A1807" s="3" t="s">
        <v>1061</v>
      </c>
      <c r="B1807" s="3" t="s">
        <v>1062</v>
      </c>
      <c r="C1807" s="3" t="s">
        <v>80</v>
      </c>
      <c r="D1807" s="3" t="s">
        <v>1079</v>
      </c>
      <c r="E1807" s="3" t="s">
        <v>1080</v>
      </c>
      <c r="F1807" s="3">
        <v>5.0</v>
      </c>
      <c r="G1807" s="22">
        <v>-27.50749</v>
      </c>
      <c r="H1807" s="4">
        <v>-48.50407</v>
      </c>
      <c r="I1807" s="5">
        <v>4.0</v>
      </c>
      <c r="J1807" s="5" t="s">
        <v>1070</v>
      </c>
      <c r="K1807" s="5" t="s">
        <v>767</v>
      </c>
      <c r="L1807" s="3"/>
      <c r="M1807" s="5">
        <v>8.0</v>
      </c>
      <c r="N1807" s="5">
        <v>17.0</v>
      </c>
      <c r="O1807" s="5"/>
      <c r="P1807" s="3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</row>
    <row r="1808" ht="15.75" customHeight="1">
      <c r="A1808" s="3" t="s">
        <v>1061</v>
      </c>
      <c r="B1808" s="3" t="s">
        <v>1062</v>
      </c>
      <c r="C1808" s="3" t="s">
        <v>80</v>
      </c>
      <c r="D1808" s="3" t="s">
        <v>1079</v>
      </c>
      <c r="E1808" s="3" t="s">
        <v>1080</v>
      </c>
      <c r="F1808" s="3">
        <v>5.0</v>
      </c>
      <c r="G1808" s="22">
        <v>-27.50749</v>
      </c>
      <c r="H1808" s="4">
        <v>-48.50407</v>
      </c>
      <c r="I1808" s="5">
        <v>5.0</v>
      </c>
      <c r="J1808" s="5" t="s">
        <v>98</v>
      </c>
      <c r="K1808" s="5" t="s">
        <v>98</v>
      </c>
      <c r="L1808" s="3"/>
      <c r="M1808" s="5">
        <v>12.0</v>
      </c>
      <c r="N1808" s="5">
        <v>45.0</v>
      </c>
      <c r="O1808" s="5"/>
      <c r="P1808" s="3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</row>
    <row r="1809" ht="15.75" customHeight="1">
      <c r="A1809" s="3" t="s">
        <v>1061</v>
      </c>
      <c r="B1809" s="3" t="s">
        <v>1062</v>
      </c>
      <c r="C1809" s="3" t="s">
        <v>80</v>
      </c>
      <c r="D1809" s="3" t="s">
        <v>1079</v>
      </c>
      <c r="E1809" s="3" t="s">
        <v>1080</v>
      </c>
      <c r="F1809" s="3">
        <v>5.0</v>
      </c>
      <c r="G1809" s="22">
        <v>-27.50749</v>
      </c>
      <c r="H1809" s="4">
        <v>-48.50407</v>
      </c>
      <c r="I1809" s="5">
        <v>6.0</v>
      </c>
      <c r="J1809" s="5" t="s">
        <v>98</v>
      </c>
      <c r="K1809" s="5" t="s">
        <v>98</v>
      </c>
      <c r="L1809" s="3"/>
      <c r="M1809" s="5">
        <v>10.0</v>
      </c>
      <c r="N1809" s="5">
        <v>43.0</v>
      </c>
      <c r="O1809" s="5"/>
      <c r="P1809" s="3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</row>
    <row r="1810" ht="15.75" customHeight="1">
      <c r="A1810" s="3" t="s">
        <v>1061</v>
      </c>
      <c r="B1810" s="3" t="s">
        <v>1062</v>
      </c>
      <c r="C1810" s="3" t="s">
        <v>80</v>
      </c>
      <c r="D1810" s="3" t="s">
        <v>1079</v>
      </c>
      <c r="E1810" s="3" t="s">
        <v>1080</v>
      </c>
      <c r="F1810" s="3">
        <v>5.0</v>
      </c>
      <c r="G1810" s="22">
        <v>-27.50749</v>
      </c>
      <c r="H1810" s="4">
        <v>-48.50407</v>
      </c>
      <c r="I1810" s="5">
        <v>7.0</v>
      </c>
      <c r="J1810" s="5" t="s">
        <v>1070</v>
      </c>
      <c r="K1810" s="5" t="s">
        <v>767</v>
      </c>
      <c r="L1810" s="3"/>
      <c r="M1810" s="5">
        <v>7.0</v>
      </c>
      <c r="N1810" s="5">
        <v>32.0</v>
      </c>
      <c r="O1810" s="5"/>
      <c r="P1810" s="3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</row>
    <row r="1811" ht="15.75" customHeight="1">
      <c r="A1811" s="3" t="s">
        <v>1061</v>
      </c>
      <c r="B1811" s="3" t="s">
        <v>1062</v>
      </c>
      <c r="C1811" s="3" t="s">
        <v>80</v>
      </c>
      <c r="D1811" s="3" t="s">
        <v>1079</v>
      </c>
      <c r="E1811" s="3" t="s">
        <v>1080</v>
      </c>
      <c r="F1811" s="3">
        <v>5.0</v>
      </c>
      <c r="G1811" s="22">
        <v>-27.50749</v>
      </c>
      <c r="H1811" s="4">
        <v>-48.50407</v>
      </c>
      <c r="I1811" s="5">
        <v>8.0</v>
      </c>
      <c r="J1811" s="20" t="s">
        <v>395</v>
      </c>
      <c r="K1811" s="5" t="s">
        <v>315</v>
      </c>
      <c r="L1811" s="3"/>
      <c r="M1811" s="5"/>
      <c r="N1811" s="5"/>
      <c r="O1811" s="5"/>
      <c r="P1811" s="3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</row>
    <row r="1812" ht="15.75" customHeight="1">
      <c r="A1812" s="3" t="s">
        <v>1061</v>
      </c>
      <c r="B1812" s="3" t="s">
        <v>1062</v>
      </c>
      <c r="C1812" s="3" t="s">
        <v>80</v>
      </c>
      <c r="D1812" s="3" t="s">
        <v>1079</v>
      </c>
      <c r="E1812" s="3" t="s">
        <v>1080</v>
      </c>
      <c r="F1812" s="3">
        <v>5.0</v>
      </c>
      <c r="G1812" s="22">
        <v>-27.50749</v>
      </c>
      <c r="H1812" s="4">
        <v>-48.50407</v>
      </c>
      <c r="I1812" s="5">
        <v>9.0</v>
      </c>
      <c r="J1812" s="5" t="s">
        <v>104</v>
      </c>
      <c r="K1812" s="5" t="s">
        <v>104</v>
      </c>
      <c r="L1812" s="3"/>
      <c r="M1812" s="5">
        <v>7.0</v>
      </c>
      <c r="N1812" s="5">
        <v>29.0</v>
      </c>
      <c r="O1812" s="5"/>
      <c r="P1812" s="3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</row>
    <row r="1813" ht="15.75" customHeight="1">
      <c r="A1813" s="3" t="s">
        <v>1061</v>
      </c>
      <c r="B1813" s="3" t="s">
        <v>1062</v>
      </c>
      <c r="C1813" s="3" t="s">
        <v>80</v>
      </c>
      <c r="D1813" s="3" t="s">
        <v>1079</v>
      </c>
      <c r="E1813" s="3" t="s">
        <v>1080</v>
      </c>
      <c r="F1813" s="3">
        <v>5.0</v>
      </c>
      <c r="G1813" s="22">
        <v>-27.50749</v>
      </c>
      <c r="H1813" s="4">
        <v>-48.50407</v>
      </c>
      <c r="I1813" s="5">
        <v>10.0</v>
      </c>
      <c r="J1813" s="5" t="s">
        <v>98</v>
      </c>
      <c r="K1813" s="5" t="s">
        <v>98</v>
      </c>
      <c r="L1813" s="3"/>
      <c r="M1813" s="5">
        <v>12.0</v>
      </c>
      <c r="N1813" s="5" t="s">
        <v>1084</v>
      </c>
      <c r="O1813" s="5"/>
      <c r="P1813" s="3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</row>
    <row r="1814" ht="15.75" customHeight="1">
      <c r="A1814" s="3" t="s">
        <v>1061</v>
      </c>
      <c r="B1814" s="3" t="s">
        <v>1062</v>
      </c>
      <c r="C1814" s="3" t="s">
        <v>80</v>
      </c>
      <c r="D1814" s="3" t="s">
        <v>1079</v>
      </c>
      <c r="E1814" s="3" t="s">
        <v>1080</v>
      </c>
      <c r="F1814" s="3">
        <v>5.0</v>
      </c>
      <c r="G1814" s="22">
        <v>-27.50749</v>
      </c>
      <c r="H1814" s="4">
        <v>-48.50407</v>
      </c>
      <c r="I1814" s="5">
        <v>11.0</v>
      </c>
      <c r="J1814" s="5" t="s">
        <v>488</v>
      </c>
      <c r="K1814" s="5" t="s">
        <v>488</v>
      </c>
      <c r="L1814" s="3"/>
      <c r="M1814" s="5">
        <v>12.0</v>
      </c>
      <c r="N1814" s="5">
        <v>98.0</v>
      </c>
      <c r="O1814" s="5"/>
      <c r="P1814" s="3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</row>
    <row r="1815" ht="15.75" customHeight="1">
      <c r="A1815" s="3" t="s">
        <v>1061</v>
      </c>
      <c r="B1815" s="3" t="s">
        <v>1062</v>
      </c>
      <c r="C1815" s="3" t="s">
        <v>80</v>
      </c>
      <c r="D1815" s="3" t="s">
        <v>1079</v>
      </c>
      <c r="E1815" s="3" t="s">
        <v>1080</v>
      </c>
      <c r="F1815" s="3">
        <v>5.0</v>
      </c>
      <c r="G1815" s="22">
        <v>-27.50749</v>
      </c>
      <c r="H1815" s="4">
        <v>-48.50407</v>
      </c>
      <c r="I1815" s="5">
        <v>12.0</v>
      </c>
      <c r="J1815" s="5" t="s">
        <v>1070</v>
      </c>
      <c r="K1815" s="5" t="s">
        <v>767</v>
      </c>
      <c r="L1815" s="3"/>
      <c r="M1815" s="5">
        <v>10.0</v>
      </c>
      <c r="N1815" s="5" t="s">
        <v>1085</v>
      </c>
      <c r="O1815" s="5"/>
      <c r="P1815" s="3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</row>
    <row r="1816" ht="15.75" customHeight="1">
      <c r="A1816" s="3" t="s">
        <v>1061</v>
      </c>
      <c r="B1816" s="3" t="s">
        <v>1062</v>
      </c>
      <c r="C1816" s="3" t="s">
        <v>80</v>
      </c>
      <c r="D1816" s="3" t="s">
        <v>1079</v>
      </c>
      <c r="E1816" s="3" t="s">
        <v>1080</v>
      </c>
      <c r="F1816" s="3">
        <v>5.0</v>
      </c>
      <c r="G1816" s="22">
        <v>-27.50749</v>
      </c>
      <c r="H1816" s="4">
        <v>-48.50407</v>
      </c>
      <c r="I1816" s="5">
        <v>13.0</v>
      </c>
      <c r="J1816" s="5" t="s">
        <v>1070</v>
      </c>
      <c r="K1816" s="5" t="s">
        <v>767</v>
      </c>
      <c r="L1816" s="3"/>
      <c r="M1816" s="5">
        <v>10.0</v>
      </c>
      <c r="N1816" s="5">
        <v>31.0</v>
      </c>
      <c r="O1816" s="5"/>
      <c r="P1816" s="3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</row>
    <row r="1817" ht="15.75" customHeight="1">
      <c r="A1817" s="3" t="s">
        <v>1061</v>
      </c>
      <c r="B1817" s="3" t="s">
        <v>1062</v>
      </c>
      <c r="C1817" s="3" t="s">
        <v>80</v>
      </c>
      <c r="D1817" s="3" t="s">
        <v>1079</v>
      </c>
      <c r="E1817" s="3" t="s">
        <v>1080</v>
      </c>
      <c r="F1817" s="3">
        <v>5.0</v>
      </c>
      <c r="G1817" s="22">
        <v>-27.50749</v>
      </c>
      <c r="H1817" s="4">
        <v>-48.50407</v>
      </c>
      <c r="I1817" s="5">
        <v>14.0</v>
      </c>
      <c r="J1817" s="5" t="s">
        <v>28</v>
      </c>
      <c r="K1817" s="5" t="s">
        <v>28</v>
      </c>
      <c r="L1817" s="3"/>
      <c r="M1817" s="5">
        <v>9.0</v>
      </c>
      <c r="N1817" s="5">
        <v>26.0</v>
      </c>
      <c r="O1817" s="5"/>
      <c r="P1817" s="3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</row>
    <row r="1818" ht="15.75" customHeight="1">
      <c r="A1818" s="3" t="s">
        <v>1061</v>
      </c>
      <c r="B1818" s="3" t="s">
        <v>1062</v>
      </c>
      <c r="C1818" s="3" t="s">
        <v>80</v>
      </c>
      <c r="D1818" s="3" t="s">
        <v>1079</v>
      </c>
      <c r="E1818" s="3" t="s">
        <v>1080</v>
      </c>
      <c r="F1818" s="3">
        <v>5.0</v>
      </c>
      <c r="G1818" s="22">
        <v>-27.50749</v>
      </c>
      <c r="H1818" s="4">
        <v>-48.50407</v>
      </c>
      <c r="I1818" s="5">
        <v>15.0</v>
      </c>
      <c r="J1818" s="5" t="s">
        <v>1052</v>
      </c>
      <c r="K1818" s="5" t="s">
        <v>1052</v>
      </c>
      <c r="L1818" s="3"/>
      <c r="M1818" s="5">
        <v>8.0</v>
      </c>
      <c r="N1818" s="5">
        <v>23.0</v>
      </c>
      <c r="O1818" s="5"/>
      <c r="P1818" s="3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</row>
    <row r="1819" ht="15.75" customHeight="1">
      <c r="A1819" s="3" t="s">
        <v>1061</v>
      </c>
      <c r="B1819" s="3" t="s">
        <v>1062</v>
      </c>
      <c r="C1819" s="3" t="s">
        <v>80</v>
      </c>
      <c r="D1819" s="3" t="s">
        <v>1079</v>
      </c>
      <c r="E1819" s="3" t="s">
        <v>1080</v>
      </c>
      <c r="F1819" s="3">
        <v>5.0</v>
      </c>
      <c r="G1819" s="22">
        <v>-27.50749</v>
      </c>
      <c r="H1819" s="4">
        <v>-48.50407</v>
      </c>
      <c r="I1819" s="5">
        <v>16.0</v>
      </c>
      <c r="J1819" s="5" t="s">
        <v>108</v>
      </c>
      <c r="K1819" s="5" t="s">
        <v>108</v>
      </c>
      <c r="L1819" s="3"/>
      <c r="M1819" s="5">
        <v>12.0</v>
      </c>
      <c r="N1819" s="5">
        <v>87.0</v>
      </c>
      <c r="O1819" s="5"/>
      <c r="P1819" s="3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</row>
    <row r="1820" ht="15.75" customHeight="1">
      <c r="A1820" s="3" t="s">
        <v>1061</v>
      </c>
      <c r="B1820" s="3" t="s">
        <v>1062</v>
      </c>
      <c r="C1820" s="3" t="s">
        <v>80</v>
      </c>
      <c r="D1820" s="3" t="s">
        <v>1079</v>
      </c>
      <c r="E1820" s="3" t="s">
        <v>1080</v>
      </c>
      <c r="F1820" s="3">
        <v>5.0</v>
      </c>
      <c r="G1820" s="22">
        <v>-27.50749</v>
      </c>
      <c r="H1820" s="4">
        <v>-48.50407</v>
      </c>
      <c r="I1820" s="5">
        <v>17.0</v>
      </c>
      <c r="J1820" s="5" t="s">
        <v>108</v>
      </c>
      <c r="K1820" s="5" t="s">
        <v>108</v>
      </c>
      <c r="L1820" s="3"/>
      <c r="M1820" s="5">
        <v>10.0</v>
      </c>
      <c r="N1820" s="5">
        <v>57.0</v>
      </c>
      <c r="O1820" s="5"/>
      <c r="P1820" s="3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</row>
    <row r="1821" ht="15.75" customHeight="1">
      <c r="A1821" s="3" t="s">
        <v>1061</v>
      </c>
      <c r="B1821" s="3" t="s">
        <v>1062</v>
      </c>
      <c r="C1821" s="3" t="s">
        <v>80</v>
      </c>
      <c r="D1821" s="3" t="s">
        <v>1079</v>
      </c>
      <c r="E1821" s="3" t="s">
        <v>1080</v>
      </c>
      <c r="F1821" s="3">
        <v>5.0</v>
      </c>
      <c r="G1821" s="22">
        <v>-27.50749</v>
      </c>
      <c r="H1821" s="4">
        <v>-48.50407</v>
      </c>
      <c r="I1821" s="5">
        <v>18.0</v>
      </c>
      <c r="J1821" s="5" t="s">
        <v>55</v>
      </c>
      <c r="K1821" s="5" t="s">
        <v>55</v>
      </c>
      <c r="L1821" s="3"/>
      <c r="M1821" s="5">
        <v>6.0</v>
      </c>
      <c r="N1821" s="5">
        <v>31.0</v>
      </c>
      <c r="O1821" s="5"/>
      <c r="P1821" s="3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</row>
    <row r="1822" ht="15.75" customHeight="1">
      <c r="A1822" s="3" t="s">
        <v>1061</v>
      </c>
      <c r="B1822" s="3" t="s">
        <v>1062</v>
      </c>
      <c r="C1822" s="3" t="s">
        <v>80</v>
      </c>
      <c r="D1822" s="3" t="s">
        <v>1079</v>
      </c>
      <c r="E1822" s="3" t="s">
        <v>1080</v>
      </c>
      <c r="F1822" s="3">
        <v>5.0</v>
      </c>
      <c r="G1822" s="22">
        <v>-27.50749</v>
      </c>
      <c r="H1822" s="4">
        <v>-48.50407</v>
      </c>
      <c r="I1822" s="5">
        <v>19.0</v>
      </c>
      <c r="J1822" s="5" t="s">
        <v>28</v>
      </c>
      <c r="K1822" s="5" t="s">
        <v>28</v>
      </c>
      <c r="L1822" s="3"/>
      <c r="M1822" s="5">
        <v>10.0</v>
      </c>
      <c r="N1822" s="5" t="s">
        <v>1086</v>
      </c>
      <c r="O1822" s="5"/>
      <c r="P1822" s="3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</row>
    <row r="1823" ht="15.75" customHeight="1">
      <c r="A1823" s="3" t="s">
        <v>1061</v>
      </c>
      <c r="B1823" s="3" t="s">
        <v>1062</v>
      </c>
      <c r="C1823" s="3" t="s">
        <v>80</v>
      </c>
      <c r="D1823" s="3" t="s">
        <v>1079</v>
      </c>
      <c r="E1823" s="3" t="s">
        <v>1080</v>
      </c>
      <c r="F1823" s="3">
        <v>5.0</v>
      </c>
      <c r="G1823" s="22">
        <v>-27.50749</v>
      </c>
      <c r="H1823" s="4">
        <v>-48.50407</v>
      </c>
      <c r="I1823" s="5">
        <v>20.0</v>
      </c>
      <c r="J1823" s="5" t="s">
        <v>323</v>
      </c>
      <c r="K1823" s="5" t="s">
        <v>323</v>
      </c>
      <c r="L1823" s="3"/>
      <c r="M1823" s="5">
        <v>10.0</v>
      </c>
      <c r="N1823" s="5">
        <v>28.0</v>
      </c>
      <c r="O1823" s="5"/>
      <c r="P1823" s="3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</row>
    <row r="1824" ht="15.75" customHeight="1">
      <c r="A1824" s="3" t="s">
        <v>1061</v>
      </c>
      <c r="B1824" s="3" t="s">
        <v>1062</v>
      </c>
      <c r="C1824" s="3" t="s">
        <v>80</v>
      </c>
      <c r="D1824" s="3" t="s">
        <v>1079</v>
      </c>
      <c r="E1824" s="3" t="s">
        <v>1080</v>
      </c>
      <c r="F1824" s="3">
        <v>5.0</v>
      </c>
      <c r="G1824" s="22">
        <v>-27.50749</v>
      </c>
      <c r="H1824" s="4">
        <v>-48.50407</v>
      </c>
      <c r="I1824" s="5">
        <v>21.0</v>
      </c>
      <c r="J1824" s="5" t="s">
        <v>104</v>
      </c>
      <c r="K1824" s="5" t="s">
        <v>104</v>
      </c>
      <c r="L1824" s="3"/>
      <c r="M1824" s="5">
        <v>10.0</v>
      </c>
      <c r="N1824" s="5">
        <v>22.0</v>
      </c>
      <c r="O1824" s="5"/>
      <c r="P1824" s="3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</row>
    <row r="1825" ht="15.75" customHeight="1">
      <c r="A1825" s="3" t="s">
        <v>1061</v>
      </c>
      <c r="B1825" s="3" t="s">
        <v>1062</v>
      </c>
      <c r="C1825" s="3" t="s">
        <v>80</v>
      </c>
      <c r="D1825" s="3" t="s">
        <v>1079</v>
      </c>
      <c r="E1825" s="3" t="s">
        <v>1080</v>
      </c>
      <c r="F1825" s="3">
        <v>5.0</v>
      </c>
      <c r="G1825" s="22">
        <v>-27.50749</v>
      </c>
      <c r="H1825" s="4">
        <v>-48.50407</v>
      </c>
      <c r="I1825" s="5">
        <v>22.0</v>
      </c>
      <c r="J1825" s="21" t="s">
        <v>109</v>
      </c>
      <c r="K1825" s="21" t="s">
        <v>109</v>
      </c>
      <c r="L1825" s="3"/>
      <c r="M1825" s="5">
        <v>8.0</v>
      </c>
      <c r="N1825" s="5" t="s">
        <v>936</v>
      </c>
      <c r="O1825" s="5" t="s">
        <v>1087</v>
      </c>
      <c r="P1825" s="3" t="s">
        <v>1088</v>
      </c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</row>
    <row r="1826" ht="15.75" customHeight="1">
      <c r="A1826" s="3" t="s">
        <v>1061</v>
      </c>
      <c r="B1826" s="3" t="s">
        <v>1062</v>
      </c>
      <c r="C1826" s="3" t="s">
        <v>80</v>
      </c>
      <c r="D1826" s="3" t="s">
        <v>1079</v>
      </c>
      <c r="E1826" s="3" t="s">
        <v>1080</v>
      </c>
      <c r="F1826" s="3">
        <v>5.0</v>
      </c>
      <c r="G1826" s="22">
        <v>-27.50749</v>
      </c>
      <c r="H1826" s="4">
        <v>-48.50407</v>
      </c>
      <c r="I1826" s="5">
        <v>23.0</v>
      </c>
      <c r="J1826" s="5" t="s">
        <v>1070</v>
      </c>
      <c r="K1826" s="5" t="s">
        <v>767</v>
      </c>
      <c r="L1826" s="3"/>
      <c r="M1826" s="5">
        <v>8.0</v>
      </c>
      <c r="N1826" s="5" t="s">
        <v>564</v>
      </c>
      <c r="O1826" s="5"/>
      <c r="P1826" s="3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</row>
    <row r="1827" ht="15.75" customHeight="1">
      <c r="A1827" s="3" t="s">
        <v>1061</v>
      </c>
      <c r="B1827" s="3" t="s">
        <v>1062</v>
      </c>
      <c r="C1827" s="3" t="s">
        <v>80</v>
      </c>
      <c r="D1827" s="3" t="s">
        <v>1079</v>
      </c>
      <c r="E1827" s="3" t="s">
        <v>1080</v>
      </c>
      <c r="F1827" s="3">
        <v>5.0</v>
      </c>
      <c r="G1827" s="22">
        <v>-27.50749</v>
      </c>
      <c r="H1827" s="4">
        <v>-48.50407</v>
      </c>
      <c r="I1827" s="5">
        <v>24.0</v>
      </c>
      <c r="J1827" s="5" t="s">
        <v>104</v>
      </c>
      <c r="K1827" s="5" t="s">
        <v>104</v>
      </c>
      <c r="L1827" s="3"/>
      <c r="M1827" s="5">
        <v>10.0</v>
      </c>
      <c r="N1827" s="5">
        <v>34.0</v>
      </c>
      <c r="O1827" s="5"/>
      <c r="P1827" s="3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</row>
    <row r="1828" ht="15.75" customHeight="1">
      <c r="A1828" s="3" t="s">
        <v>1061</v>
      </c>
      <c r="B1828" s="3" t="s">
        <v>1062</v>
      </c>
      <c r="C1828" s="3" t="s">
        <v>80</v>
      </c>
      <c r="D1828" s="3" t="s">
        <v>1079</v>
      </c>
      <c r="E1828" s="3" t="s">
        <v>1080</v>
      </c>
      <c r="F1828" s="3">
        <v>5.0</v>
      </c>
      <c r="G1828" s="22">
        <v>-27.50749</v>
      </c>
      <c r="H1828" s="4">
        <v>-48.50407</v>
      </c>
      <c r="I1828" s="5">
        <v>25.0</v>
      </c>
      <c r="J1828" s="5" t="s">
        <v>232</v>
      </c>
      <c r="K1828" s="5" t="s">
        <v>232</v>
      </c>
      <c r="L1828" s="3"/>
      <c r="M1828" s="5">
        <v>6.0</v>
      </c>
      <c r="N1828" s="5">
        <v>21.0</v>
      </c>
      <c r="O1828" s="5" t="s">
        <v>1089</v>
      </c>
      <c r="P1828" s="3" t="s">
        <v>1088</v>
      </c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</row>
    <row r="1829" ht="15.75" customHeight="1">
      <c r="A1829" s="3" t="s">
        <v>1061</v>
      </c>
      <c r="B1829" s="3" t="s">
        <v>1062</v>
      </c>
      <c r="C1829" s="3" t="s">
        <v>80</v>
      </c>
      <c r="D1829" s="3" t="s">
        <v>1079</v>
      </c>
      <c r="E1829" s="3" t="s">
        <v>1080</v>
      </c>
      <c r="F1829" s="3">
        <v>5.0</v>
      </c>
      <c r="G1829" s="22">
        <v>-27.50749</v>
      </c>
      <c r="H1829" s="4">
        <v>-48.50407</v>
      </c>
      <c r="I1829" s="5">
        <v>26.0</v>
      </c>
      <c r="J1829" s="5" t="s">
        <v>323</v>
      </c>
      <c r="K1829" s="5" t="s">
        <v>323</v>
      </c>
      <c r="L1829" s="3"/>
      <c r="M1829" s="5">
        <v>8.0</v>
      </c>
      <c r="N1829" s="5">
        <v>35.0</v>
      </c>
      <c r="O1829" s="5"/>
      <c r="P1829" s="3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</row>
    <row r="1830" ht="15.75" customHeight="1">
      <c r="A1830" s="3" t="s">
        <v>1061</v>
      </c>
      <c r="B1830" s="3" t="s">
        <v>1062</v>
      </c>
      <c r="C1830" s="3" t="s">
        <v>80</v>
      </c>
      <c r="D1830" s="3" t="s">
        <v>1079</v>
      </c>
      <c r="E1830" s="3" t="s">
        <v>1090</v>
      </c>
      <c r="F1830" s="3">
        <v>6.0</v>
      </c>
      <c r="G1830" s="22">
        <v>-27.50731</v>
      </c>
      <c r="H1830" s="4">
        <v>-48.50387</v>
      </c>
      <c r="I1830" s="5">
        <v>1.0</v>
      </c>
      <c r="J1830" s="5" t="s">
        <v>730</v>
      </c>
      <c r="K1830" s="5" t="s">
        <v>730</v>
      </c>
      <c r="L1830" s="3"/>
      <c r="M1830" s="5">
        <v>10.0</v>
      </c>
      <c r="N1830" s="5">
        <v>58.0</v>
      </c>
      <c r="O1830" s="5"/>
      <c r="P1830" s="3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</row>
    <row r="1831" ht="15.75" customHeight="1">
      <c r="A1831" s="3" t="s">
        <v>1061</v>
      </c>
      <c r="B1831" s="3" t="s">
        <v>1062</v>
      </c>
      <c r="C1831" s="3" t="s">
        <v>80</v>
      </c>
      <c r="D1831" s="3" t="s">
        <v>1079</v>
      </c>
      <c r="E1831" s="3" t="s">
        <v>1090</v>
      </c>
      <c r="F1831" s="3">
        <v>6.0</v>
      </c>
      <c r="G1831" s="22">
        <v>-27.50731</v>
      </c>
      <c r="H1831" s="4">
        <v>-48.50387</v>
      </c>
      <c r="I1831" s="5">
        <v>2.0</v>
      </c>
      <c r="J1831" s="5" t="s">
        <v>323</v>
      </c>
      <c r="K1831" s="5" t="s">
        <v>323</v>
      </c>
      <c r="L1831" s="3"/>
      <c r="M1831" s="5">
        <v>6.0</v>
      </c>
      <c r="N1831" s="5">
        <v>19.0</v>
      </c>
      <c r="O1831" s="5"/>
      <c r="P1831" s="3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</row>
    <row r="1832" ht="15.75" customHeight="1">
      <c r="A1832" s="3" t="s">
        <v>1061</v>
      </c>
      <c r="B1832" s="3" t="s">
        <v>1062</v>
      </c>
      <c r="C1832" s="3" t="s">
        <v>80</v>
      </c>
      <c r="D1832" s="3" t="s">
        <v>1079</v>
      </c>
      <c r="E1832" s="3" t="s">
        <v>1090</v>
      </c>
      <c r="F1832" s="3">
        <v>6.0</v>
      </c>
      <c r="G1832" s="22">
        <v>-27.50731</v>
      </c>
      <c r="H1832" s="4">
        <v>-48.50387</v>
      </c>
      <c r="I1832" s="5">
        <v>3.0</v>
      </c>
      <c r="J1832" s="5" t="s">
        <v>1070</v>
      </c>
      <c r="K1832" s="5" t="s">
        <v>767</v>
      </c>
      <c r="L1832" s="3"/>
      <c r="M1832" s="5">
        <v>6.0</v>
      </c>
      <c r="N1832" s="5">
        <v>48.0</v>
      </c>
      <c r="O1832" s="5"/>
      <c r="P1832" s="3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</row>
    <row r="1833" ht="15.75" customHeight="1">
      <c r="A1833" s="3" t="s">
        <v>1061</v>
      </c>
      <c r="B1833" s="3" t="s">
        <v>1062</v>
      </c>
      <c r="C1833" s="3" t="s">
        <v>80</v>
      </c>
      <c r="D1833" s="3" t="s">
        <v>1079</v>
      </c>
      <c r="E1833" s="3" t="s">
        <v>1090</v>
      </c>
      <c r="F1833" s="3">
        <v>6.0</v>
      </c>
      <c r="G1833" s="22">
        <v>-27.50731</v>
      </c>
      <c r="H1833" s="4">
        <v>-48.50387</v>
      </c>
      <c r="I1833" s="5">
        <v>4.0</v>
      </c>
      <c r="J1833" s="5" t="s">
        <v>153</v>
      </c>
      <c r="K1833" s="5" t="s">
        <v>153</v>
      </c>
      <c r="L1833" s="3"/>
      <c r="M1833" s="5">
        <v>6.0</v>
      </c>
      <c r="N1833" s="5">
        <v>28.0</v>
      </c>
      <c r="O1833" s="5"/>
      <c r="P1833" s="3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</row>
    <row r="1834" ht="15.75" customHeight="1">
      <c r="A1834" s="3" t="s">
        <v>1061</v>
      </c>
      <c r="B1834" s="3" t="s">
        <v>1062</v>
      </c>
      <c r="C1834" s="3" t="s">
        <v>80</v>
      </c>
      <c r="D1834" s="3" t="s">
        <v>1079</v>
      </c>
      <c r="E1834" s="3" t="s">
        <v>1090</v>
      </c>
      <c r="F1834" s="3">
        <v>6.0</v>
      </c>
      <c r="G1834" s="22">
        <v>-27.50731</v>
      </c>
      <c r="H1834" s="4">
        <v>-48.50387</v>
      </c>
      <c r="I1834" s="5">
        <v>5.0</v>
      </c>
      <c r="J1834" s="5" t="s">
        <v>1070</v>
      </c>
      <c r="K1834" s="5" t="s">
        <v>767</v>
      </c>
      <c r="L1834" s="3"/>
      <c r="M1834" s="5">
        <v>9.0</v>
      </c>
      <c r="N1834" s="5">
        <v>69.0</v>
      </c>
      <c r="O1834" s="5"/>
      <c r="P1834" s="3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</row>
    <row r="1835" ht="15.75" customHeight="1">
      <c r="A1835" s="3" t="s">
        <v>1061</v>
      </c>
      <c r="B1835" s="3" t="s">
        <v>1062</v>
      </c>
      <c r="C1835" s="3" t="s">
        <v>80</v>
      </c>
      <c r="D1835" s="3" t="s">
        <v>1079</v>
      </c>
      <c r="E1835" s="3" t="s">
        <v>1090</v>
      </c>
      <c r="F1835" s="3">
        <v>6.0</v>
      </c>
      <c r="G1835" s="22">
        <v>-27.50731</v>
      </c>
      <c r="H1835" s="4">
        <v>-48.50387</v>
      </c>
      <c r="I1835" s="5">
        <v>6.0</v>
      </c>
      <c r="J1835" s="5" t="s">
        <v>1091</v>
      </c>
      <c r="K1835" s="5" t="s">
        <v>1091</v>
      </c>
      <c r="L1835" s="3"/>
      <c r="M1835" s="5">
        <v>10.0</v>
      </c>
      <c r="N1835" s="5">
        <v>22.0</v>
      </c>
      <c r="O1835" s="5"/>
      <c r="P1835" s="3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</row>
    <row r="1836" ht="15.75" customHeight="1">
      <c r="A1836" s="3" t="s">
        <v>1061</v>
      </c>
      <c r="B1836" s="3" t="s">
        <v>1062</v>
      </c>
      <c r="C1836" s="3" t="s">
        <v>80</v>
      </c>
      <c r="D1836" s="3" t="s">
        <v>1079</v>
      </c>
      <c r="E1836" s="3" t="s">
        <v>1090</v>
      </c>
      <c r="F1836" s="3">
        <v>6.0</v>
      </c>
      <c r="G1836" s="22">
        <v>-27.50731</v>
      </c>
      <c r="H1836" s="4">
        <v>-48.50387</v>
      </c>
      <c r="I1836" s="5">
        <v>7.0</v>
      </c>
      <c r="J1836" s="5" t="s">
        <v>1070</v>
      </c>
      <c r="K1836" s="5" t="s">
        <v>767</v>
      </c>
      <c r="L1836" s="3"/>
      <c r="M1836" s="5">
        <v>7.0</v>
      </c>
      <c r="N1836" s="5">
        <v>19.0</v>
      </c>
      <c r="O1836" s="5"/>
      <c r="P1836" s="3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</row>
    <row r="1837" ht="15.75" customHeight="1">
      <c r="A1837" s="3" t="s">
        <v>1061</v>
      </c>
      <c r="B1837" s="3" t="s">
        <v>1062</v>
      </c>
      <c r="C1837" s="3" t="s">
        <v>80</v>
      </c>
      <c r="D1837" s="3" t="s">
        <v>1079</v>
      </c>
      <c r="E1837" s="3" t="s">
        <v>1090</v>
      </c>
      <c r="F1837" s="3">
        <v>6.0</v>
      </c>
      <c r="G1837" s="22">
        <v>-27.50731</v>
      </c>
      <c r="H1837" s="4">
        <v>-48.50387</v>
      </c>
      <c r="I1837" s="5">
        <v>8.0</v>
      </c>
      <c r="J1837" s="5" t="s">
        <v>323</v>
      </c>
      <c r="K1837" s="5" t="s">
        <v>323</v>
      </c>
      <c r="L1837" s="3"/>
      <c r="M1837" s="5">
        <v>8.0</v>
      </c>
      <c r="N1837" s="5">
        <v>25.0</v>
      </c>
      <c r="O1837" s="5"/>
      <c r="P1837" s="3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</row>
    <row r="1838" ht="15.75" customHeight="1">
      <c r="A1838" s="3" t="s">
        <v>1061</v>
      </c>
      <c r="B1838" s="3" t="s">
        <v>1062</v>
      </c>
      <c r="C1838" s="3" t="s">
        <v>80</v>
      </c>
      <c r="D1838" s="3" t="s">
        <v>1079</v>
      </c>
      <c r="E1838" s="3" t="s">
        <v>1090</v>
      </c>
      <c r="F1838" s="3">
        <v>6.0</v>
      </c>
      <c r="G1838" s="22">
        <v>-27.50731</v>
      </c>
      <c r="H1838" s="4">
        <v>-48.50387</v>
      </c>
      <c r="I1838" s="5">
        <v>9.0</v>
      </c>
      <c r="J1838" s="5" t="s">
        <v>105</v>
      </c>
      <c r="K1838" s="5" t="s">
        <v>105</v>
      </c>
      <c r="L1838" s="3"/>
      <c r="M1838" s="5">
        <v>5.0</v>
      </c>
      <c r="N1838" s="5">
        <v>21.0</v>
      </c>
      <c r="O1838" s="5"/>
      <c r="P1838" s="3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</row>
    <row r="1839" ht="15.75" customHeight="1">
      <c r="A1839" s="3" t="s">
        <v>1061</v>
      </c>
      <c r="B1839" s="3" t="s">
        <v>1062</v>
      </c>
      <c r="C1839" s="3" t="s">
        <v>80</v>
      </c>
      <c r="D1839" s="3" t="s">
        <v>1079</v>
      </c>
      <c r="E1839" s="3" t="s">
        <v>1090</v>
      </c>
      <c r="F1839" s="3">
        <v>6.0</v>
      </c>
      <c r="G1839" s="22">
        <v>-27.50731</v>
      </c>
      <c r="H1839" s="4">
        <v>-48.50387</v>
      </c>
      <c r="I1839" s="5">
        <v>10.0</v>
      </c>
      <c r="J1839" s="5" t="s">
        <v>1070</v>
      </c>
      <c r="K1839" s="5" t="s">
        <v>767</v>
      </c>
      <c r="L1839" s="3"/>
      <c r="M1839" s="5">
        <v>9.0</v>
      </c>
      <c r="N1839" s="5" t="s">
        <v>1092</v>
      </c>
      <c r="O1839" s="5"/>
      <c r="P1839" s="3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</row>
    <row r="1840" ht="15.75" customHeight="1">
      <c r="A1840" s="3" t="s">
        <v>1061</v>
      </c>
      <c r="B1840" s="3" t="s">
        <v>1062</v>
      </c>
      <c r="C1840" s="3" t="s">
        <v>80</v>
      </c>
      <c r="D1840" s="3" t="s">
        <v>1079</v>
      </c>
      <c r="E1840" s="3" t="s">
        <v>1090</v>
      </c>
      <c r="F1840" s="3">
        <v>6.0</v>
      </c>
      <c r="G1840" s="22">
        <v>-27.50731</v>
      </c>
      <c r="H1840" s="4">
        <v>-48.50387</v>
      </c>
      <c r="I1840" s="5">
        <v>11.0</v>
      </c>
      <c r="J1840" s="19" t="s">
        <v>897</v>
      </c>
      <c r="K1840" s="5" t="s">
        <v>315</v>
      </c>
      <c r="L1840" s="3"/>
      <c r="M1840" s="5">
        <v>6.0</v>
      </c>
      <c r="N1840" s="5">
        <v>25.0</v>
      </c>
      <c r="O1840" s="5" t="s">
        <v>1093</v>
      </c>
      <c r="P1840" s="3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</row>
    <row r="1841" ht="15.75" customHeight="1">
      <c r="A1841" s="3" t="s">
        <v>1061</v>
      </c>
      <c r="B1841" s="3" t="s">
        <v>1062</v>
      </c>
      <c r="C1841" s="3" t="s">
        <v>80</v>
      </c>
      <c r="D1841" s="3" t="s">
        <v>1079</v>
      </c>
      <c r="E1841" s="3" t="s">
        <v>1090</v>
      </c>
      <c r="F1841" s="3">
        <v>6.0</v>
      </c>
      <c r="G1841" s="22">
        <v>-27.50731</v>
      </c>
      <c r="H1841" s="4">
        <v>-48.50387</v>
      </c>
      <c r="I1841" s="5">
        <v>12.0</v>
      </c>
      <c r="J1841" s="5" t="s">
        <v>55</v>
      </c>
      <c r="K1841" s="5" t="s">
        <v>55</v>
      </c>
      <c r="L1841" s="3"/>
      <c r="M1841" s="5">
        <v>7.0</v>
      </c>
      <c r="N1841" s="5">
        <v>19.0</v>
      </c>
      <c r="O1841" s="5"/>
      <c r="P1841" s="3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</row>
    <row r="1842" ht="15.75" customHeight="1">
      <c r="A1842" s="3" t="s">
        <v>1061</v>
      </c>
      <c r="B1842" s="3" t="s">
        <v>1062</v>
      </c>
      <c r="C1842" s="3" t="s">
        <v>80</v>
      </c>
      <c r="D1842" s="3" t="s">
        <v>1079</v>
      </c>
      <c r="E1842" s="3" t="s">
        <v>1090</v>
      </c>
      <c r="F1842" s="3">
        <v>6.0</v>
      </c>
      <c r="G1842" s="22">
        <v>-27.50731</v>
      </c>
      <c r="H1842" s="4">
        <v>-48.50387</v>
      </c>
      <c r="I1842" s="5">
        <v>13.0</v>
      </c>
      <c r="J1842" s="5" t="s">
        <v>323</v>
      </c>
      <c r="K1842" s="5" t="s">
        <v>323</v>
      </c>
      <c r="L1842" s="3"/>
      <c r="M1842" s="5">
        <v>9.0</v>
      </c>
      <c r="N1842" s="5">
        <v>31.0</v>
      </c>
      <c r="O1842" s="5"/>
      <c r="P1842" s="3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</row>
    <row r="1843" ht="15.75" customHeight="1">
      <c r="A1843" s="3" t="s">
        <v>1061</v>
      </c>
      <c r="B1843" s="3" t="s">
        <v>1062</v>
      </c>
      <c r="C1843" s="3" t="s">
        <v>80</v>
      </c>
      <c r="D1843" s="3" t="s">
        <v>1079</v>
      </c>
      <c r="E1843" s="3" t="s">
        <v>1090</v>
      </c>
      <c r="F1843" s="3">
        <v>6.0</v>
      </c>
      <c r="G1843" s="22">
        <v>-27.50731</v>
      </c>
      <c r="H1843" s="4">
        <v>-48.50387</v>
      </c>
      <c r="I1843" s="5">
        <v>14.0</v>
      </c>
      <c r="J1843" s="5" t="s">
        <v>55</v>
      </c>
      <c r="K1843" s="5" t="s">
        <v>55</v>
      </c>
      <c r="L1843" s="3"/>
      <c r="M1843" s="5">
        <v>7.0</v>
      </c>
      <c r="N1843" s="5" t="s">
        <v>1094</v>
      </c>
      <c r="O1843" s="5"/>
      <c r="P1843" s="3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</row>
    <row r="1844" ht="15.75" customHeight="1">
      <c r="A1844" s="3" t="s">
        <v>1061</v>
      </c>
      <c r="B1844" s="3" t="s">
        <v>1062</v>
      </c>
      <c r="C1844" s="3" t="s">
        <v>80</v>
      </c>
      <c r="D1844" s="3" t="s">
        <v>1079</v>
      </c>
      <c r="E1844" s="3" t="s">
        <v>1090</v>
      </c>
      <c r="F1844" s="3">
        <v>6.0</v>
      </c>
      <c r="G1844" s="22">
        <v>-27.50731</v>
      </c>
      <c r="H1844" s="4">
        <v>-48.50387</v>
      </c>
      <c r="I1844" s="5">
        <v>15.0</v>
      </c>
      <c r="J1844" s="5" t="s">
        <v>55</v>
      </c>
      <c r="K1844" s="5" t="s">
        <v>55</v>
      </c>
      <c r="L1844" s="3"/>
      <c r="M1844" s="5">
        <v>8.0</v>
      </c>
      <c r="N1844" s="5">
        <v>21.0</v>
      </c>
      <c r="O1844" s="5"/>
      <c r="P1844" s="3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</row>
    <row r="1845" ht="15.75" customHeight="1">
      <c r="A1845" s="3" t="s">
        <v>1061</v>
      </c>
      <c r="B1845" s="3" t="s">
        <v>1062</v>
      </c>
      <c r="C1845" s="3" t="s">
        <v>80</v>
      </c>
      <c r="D1845" s="3" t="s">
        <v>1079</v>
      </c>
      <c r="E1845" s="3" t="s">
        <v>1090</v>
      </c>
      <c r="F1845" s="3">
        <v>6.0</v>
      </c>
      <c r="G1845" s="22">
        <v>-27.50731</v>
      </c>
      <c r="H1845" s="4">
        <v>-48.50387</v>
      </c>
      <c r="I1845" s="5">
        <v>16.0</v>
      </c>
      <c r="J1845" s="5" t="s">
        <v>55</v>
      </c>
      <c r="K1845" s="5" t="s">
        <v>55</v>
      </c>
      <c r="L1845" s="3"/>
      <c r="M1845" s="5">
        <v>7.0</v>
      </c>
      <c r="N1845" s="5">
        <v>21.0</v>
      </c>
      <c r="O1845" s="5"/>
      <c r="P1845" s="3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</row>
    <row r="1846" ht="15.75" customHeight="1">
      <c r="A1846" s="3" t="s">
        <v>1061</v>
      </c>
      <c r="B1846" s="3" t="s">
        <v>1062</v>
      </c>
      <c r="C1846" s="3" t="s">
        <v>80</v>
      </c>
      <c r="D1846" s="3" t="s">
        <v>1079</v>
      </c>
      <c r="E1846" s="3" t="s">
        <v>1090</v>
      </c>
      <c r="F1846" s="3">
        <v>6.0</v>
      </c>
      <c r="G1846" s="22">
        <v>-27.50731</v>
      </c>
      <c r="H1846" s="4">
        <v>-48.50387</v>
      </c>
      <c r="I1846" s="5">
        <v>17.0</v>
      </c>
      <c r="J1846" s="5" t="s">
        <v>55</v>
      </c>
      <c r="K1846" s="5" t="s">
        <v>55</v>
      </c>
      <c r="L1846" s="3"/>
      <c r="M1846" s="5">
        <v>8.0</v>
      </c>
      <c r="N1846" s="5">
        <v>27.0</v>
      </c>
      <c r="O1846" s="5"/>
      <c r="P1846" s="3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</row>
    <row r="1847" ht="15.75" customHeight="1">
      <c r="A1847" s="3" t="s">
        <v>1061</v>
      </c>
      <c r="B1847" s="3" t="s">
        <v>1062</v>
      </c>
      <c r="C1847" s="3" t="s">
        <v>80</v>
      </c>
      <c r="D1847" s="3" t="s">
        <v>1079</v>
      </c>
      <c r="E1847" s="3" t="s">
        <v>1090</v>
      </c>
      <c r="F1847" s="3">
        <v>6.0</v>
      </c>
      <c r="G1847" s="22">
        <v>-27.50731</v>
      </c>
      <c r="H1847" s="4">
        <v>-48.50387</v>
      </c>
      <c r="I1847" s="5">
        <v>18.0</v>
      </c>
      <c r="J1847" s="5" t="s">
        <v>235</v>
      </c>
      <c r="K1847" s="5" t="s">
        <v>235</v>
      </c>
      <c r="L1847" s="3"/>
      <c r="M1847" s="5">
        <v>12.0</v>
      </c>
      <c r="N1847" s="5">
        <v>138.0</v>
      </c>
      <c r="O1847" s="5" t="s">
        <v>1095</v>
      </c>
      <c r="P1847" s="3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</row>
    <row r="1848" ht="15.75" customHeight="1">
      <c r="A1848" s="3" t="s">
        <v>1061</v>
      </c>
      <c r="B1848" s="3" t="s">
        <v>1062</v>
      </c>
      <c r="C1848" s="3" t="s">
        <v>80</v>
      </c>
      <c r="D1848" s="3" t="s">
        <v>1079</v>
      </c>
      <c r="E1848" s="3" t="s">
        <v>1090</v>
      </c>
      <c r="F1848" s="3">
        <v>6.0</v>
      </c>
      <c r="G1848" s="22">
        <v>-27.50731</v>
      </c>
      <c r="H1848" s="4">
        <v>-48.50387</v>
      </c>
      <c r="I1848" s="5">
        <v>19.0</v>
      </c>
      <c r="J1848" s="5" t="s">
        <v>55</v>
      </c>
      <c r="K1848" s="5" t="s">
        <v>55</v>
      </c>
      <c r="L1848" s="3"/>
      <c r="M1848" s="5">
        <v>7.0</v>
      </c>
      <c r="N1848" s="5">
        <v>21.0</v>
      </c>
      <c r="O1848" s="5"/>
      <c r="P1848" s="3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</row>
    <row r="1849" ht="15.75" customHeight="1">
      <c r="A1849" s="3" t="s">
        <v>1061</v>
      </c>
      <c r="B1849" s="3" t="s">
        <v>1062</v>
      </c>
      <c r="C1849" s="3" t="s">
        <v>80</v>
      </c>
      <c r="D1849" s="3" t="s">
        <v>1079</v>
      </c>
      <c r="E1849" s="3" t="s">
        <v>1090</v>
      </c>
      <c r="F1849" s="3">
        <v>6.0</v>
      </c>
      <c r="G1849" s="22">
        <v>-27.50731</v>
      </c>
      <c r="H1849" s="4">
        <v>-48.50387</v>
      </c>
      <c r="I1849" s="5">
        <v>20.0</v>
      </c>
      <c r="J1849" s="5" t="s">
        <v>323</v>
      </c>
      <c r="K1849" s="5" t="s">
        <v>323</v>
      </c>
      <c r="L1849" s="3"/>
      <c r="M1849" s="5">
        <v>8.0</v>
      </c>
      <c r="N1849" s="5">
        <v>21.0</v>
      </c>
      <c r="O1849" s="5"/>
      <c r="P1849" s="3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</row>
    <row r="1850" ht="15.75" customHeight="1">
      <c r="A1850" s="3" t="s">
        <v>1061</v>
      </c>
      <c r="B1850" s="3" t="s">
        <v>1062</v>
      </c>
      <c r="C1850" s="3" t="s">
        <v>80</v>
      </c>
      <c r="D1850" s="3" t="s">
        <v>1079</v>
      </c>
      <c r="E1850" s="3" t="s">
        <v>1090</v>
      </c>
      <c r="F1850" s="3">
        <v>6.0</v>
      </c>
      <c r="G1850" s="22">
        <v>-27.50731</v>
      </c>
      <c r="H1850" s="4">
        <v>-48.50387</v>
      </c>
      <c r="I1850" s="5">
        <v>21.0</v>
      </c>
      <c r="J1850" s="5" t="s">
        <v>55</v>
      </c>
      <c r="K1850" s="5" t="s">
        <v>55</v>
      </c>
      <c r="L1850" s="3"/>
      <c r="M1850" s="5">
        <v>9.0</v>
      </c>
      <c r="N1850" s="5">
        <v>28.0</v>
      </c>
      <c r="O1850" s="5"/>
      <c r="P1850" s="3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</row>
    <row r="1851" ht="15.75" customHeight="1">
      <c r="A1851" s="3" t="s">
        <v>1061</v>
      </c>
      <c r="B1851" s="3" t="s">
        <v>1062</v>
      </c>
      <c r="C1851" s="3" t="s">
        <v>80</v>
      </c>
      <c r="D1851" s="3" t="s">
        <v>1079</v>
      </c>
      <c r="E1851" s="3" t="s">
        <v>1090</v>
      </c>
      <c r="F1851" s="3">
        <v>6.0</v>
      </c>
      <c r="G1851" s="22">
        <v>-27.50731</v>
      </c>
      <c r="H1851" s="4">
        <v>-48.50387</v>
      </c>
      <c r="I1851" s="5">
        <v>22.0</v>
      </c>
      <c r="J1851" s="5" t="s">
        <v>1096</v>
      </c>
      <c r="K1851" s="5" t="s">
        <v>100</v>
      </c>
      <c r="L1851" s="3"/>
      <c r="M1851" s="5">
        <v>10.0</v>
      </c>
      <c r="N1851" s="5">
        <v>79.0</v>
      </c>
      <c r="O1851" s="5"/>
      <c r="P1851" s="3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</row>
    <row r="1852" ht="15.75" customHeight="1">
      <c r="A1852" s="3" t="s">
        <v>1061</v>
      </c>
      <c r="B1852" s="3" t="s">
        <v>1062</v>
      </c>
      <c r="C1852" s="3" t="s">
        <v>80</v>
      </c>
      <c r="D1852" s="3" t="s">
        <v>1079</v>
      </c>
      <c r="E1852" s="3" t="s">
        <v>1090</v>
      </c>
      <c r="F1852" s="3">
        <v>6.0</v>
      </c>
      <c r="G1852" s="22">
        <v>-27.50731</v>
      </c>
      <c r="H1852" s="4">
        <v>-48.50387</v>
      </c>
      <c r="I1852" s="5">
        <v>23.0</v>
      </c>
      <c r="J1852" s="5" t="s">
        <v>1070</v>
      </c>
      <c r="K1852" s="5" t="s">
        <v>767</v>
      </c>
      <c r="L1852" s="3"/>
      <c r="M1852" s="5">
        <v>10.0</v>
      </c>
      <c r="N1852" s="5">
        <v>54.0</v>
      </c>
      <c r="O1852" s="5"/>
      <c r="P1852" s="3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</row>
    <row r="1853" ht="15.75" customHeight="1">
      <c r="A1853" s="3" t="s">
        <v>1061</v>
      </c>
      <c r="B1853" s="3" t="s">
        <v>1062</v>
      </c>
      <c r="C1853" s="3" t="s">
        <v>80</v>
      </c>
      <c r="D1853" s="3" t="s">
        <v>1079</v>
      </c>
      <c r="E1853" s="3" t="s">
        <v>1090</v>
      </c>
      <c r="F1853" s="3">
        <v>6.0</v>
      </c>
      <c r="G1853" s="22">
        <v>-27.50731</v>
      </c>
      <c r="H1853" s="4">
        <v>-48.50387</v>
      </c>
      <c r="I1853" s="5">
        <v>24.0</v>
      </c>
      <c r="J1853" s="5" t="s">
        <v>78</v>
      </c>
      <c r="K1853" s="5" t="s">
        <v>78</v>
      </c>
      <c r="L1853" s="3"/>
      <c r="M1853" s="5">
        <v>7.0</v>
      </c>
      <c r="N1853" s="5">
        <v>27.0</v>
      </c>
      <c r="O1853" s="5"/>
      <c r="P1853" s="3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</row>
    <row r="1854" ht="15.75" customHeight="1">
      <c r="A1854" s="3" t="s">
        <v>1061</v>
      </c>
      <c r="B1854" s="3" t="s">
        <v>1062</v>
      </c>
      <c r="C1854" s="3" t="s">
        <v>80</v>
      </c>
      <c r="D1854" s="3" t="s">
        <v>1079</v>
      </c>
      <c r="E1854" s="3" t="s">
        <v>1090</v>
      </c>
      <c r="F1854" s="3">
        <v>6.0</v>
      </c>
      <c r="G1854" s="22">
        <v>-27.50731</v>
      </c>
      <c r="H1854" s="4">
        <v>-48.50387</v>
      </c>
      <c r="I1854" s="5">
        <v>25.0</v>
      </c>
      <c r="J1854" s="19" t="s">
        <v>1043</v>
      </c>
      <c r="K1854" s="5" t="s">
        <v>315</v>
      </c>
      <c r="L1854" s="3"/>
      <c r="M1854" s="5">
        <v>12.0</v>
      </c>
      <c r="N1854" s="5">
        <v>60.0</v>
      </c>
      <c r="O1854" s="5" t="s">
        <v>1097</v>
      </c>
      <c r="P1854" s="3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</row>
    <row r="1855" ht="15.75" customHeight="1">
      <c r="A1855" s="3" t="s">
        <v>1061</v>
      </c>
      <c r="B1855" s="3" t="s">
        <v>1062</v>
      </c>
      <c r="C1855" s="3" t="s">
        <v>80</v>
      </c>
      <c r="D1855" s="3" t="s">
        <v>1079</v>
      </c>
      <c r="E1855" s="3" t="s">
        <v>1090</v>
      </c>
      <c r="F1855" s="3">
        <v>6.0</v>
      </c>
      <c r="G1855" s="22">
        <v>-27.50731</v>
      </c>
      <c r="H1855" s="4">
        <v>-48.50387</v>
      </c>
      <c r="I1855" s="5">
        <v>26.0</v>
      </c>
      <c r="J1855" s="19" t="s">
        <v>1098</v>
      </c>
      <c r="K1855" s="5" t="s">
        <v>315</v>
      </c>
      <c r="L1855" s="3"/>
      <c r="M1855" s="5">
        <v>9.0</v>
      </c>
      <c r="N1855" s="5">
        <v>19.0</v>
      </c>
      <c r="O1855" s="5" t="s">
        <v>1099</v>
      </c>
      <c r="P1855" s="3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</row>
    <row r="1856" ht="15.75" customHeight="1">
      <c r="A1856" s="3" t="s">
        <v>1061</v>
      </c>
      <c r="B1856" s="3" t="s">
        <v>1062</v>
      </c>
      <c r="C1856" s="3" t="s">
        <v>80</v>
      </c>
      <c r="D1856" s="3" t="s">
        <v>1079</v>
      </c>
      <c r="E1856" s="3" t="s">
        <v>1090</v>
      </c>
      <c r="F1856" s="3">
        <v>6.0</v>
      </c>
      <c r="G1856" s="22">
        <v>-27.50731</v>
      </c>
      <c r="H1856" s="4">
        <v>-48.50387</v>
      </c>
      <c r="I1856" s="5">
        <v>27.0</v>
      </c>
      <c r="J1856" s="5" t="s">
        <v>323</v>
      </c>
      <c r="K1856" s="5" t="s">
        <v>323</v>
      </c>
      <c r="L1856" s="3"/>
      <c r="M1856" s="5">
        <v>5.0</v>
      </c>
      <c r="N1856" s="5">
        <v>18.0</v>
      </c>
      <c r="O1856" s="5"/>
      <c r="P1856" s="3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</row>
    <row r="1857" ht="15.75" customHeight="1">
      <c r="A1857" s="3" t="s">
        <v>1061</v>
      </c>
      <c r="B1857" s="3" t="s">
        <v>1062</v>
      </c>
      <c r="C1857" s="3" t="s">
        <v>80</v>
      </c>
      <c r="D1857" s="3" t="s">
        <v>1079</v>
      </c>
      <c r="E1857" s="3" t="s">
        <v>1100</v>
      </c>
      <c r="F1857" s="3">
        <v>7.0</v>
      </c>
      <c r="G1857" s="22">
        <v>-27.50746</v>
      </c>
      <c r="H1857" s="4">
        <v>-48.50324</v>
      </c>
      <c r="I1857" s="5">
        <v>1.0</v>
      </c>
      <c r="J1857" s="5" t="s">
        <v>104</v>
      </c>
      <c r="K1857" s="5" t="s">
        <v>104</v>
      </c>
      <c r="L1857" s="3"/>
      <c r="M1857" s="5">
        <v>11.0</v>
      </c>
      <c r="N1857" s="5">
        <v>45.0</v>
      </c>
      <c r="O1857" s="5"/>
      <c r="P1857" s="3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</row>
    <row r="1858" ht="15.75" customHeight="1">
      <c r="A1858" s="3" t="s">
        <v>1061</v>
      </c>
      <c r="B1858" s="3" t="s">
        <v>1062</v>
      </c>
      <c r="C1858" s="3" t="s">
        <v>80</v>
      </c>
      <c r="D1858" s="3" t="s">
        <v>1079</v>
      </c>
      <c r="E1858" s="3" t="s">
        <v>1100</v>
      </c>
      <c r="F1858" s="3">
        <v>7.0</v>
      </c>
      <c r="G1858" s="22">
        <v>-27.50746</v>
      </c>
      <c r="H1858" s="4">
        <v>-48.50324</v>
      </c>
      <c r="I1858" s="5">
        <v>2.0</v>
      </c>
      <c r="J1858" s="5" t="s">
        <v>1069</v>
      </c>
      <c r="K1858" s="5" t="s">
        <v>1025</v>
      </c>
      <c r="L1858" s="3"/>
      <c r="M1858" s="5">
        <v>10.0</v>
      </c>
      <c r="N1858" s="5">
        <v>31.0</v>
      </c>
      <c r="O1858" s="5"/>
      <c r="P1858" s="3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</row>
    <row r="1859" ht="15.75" customHeight="1">
      <c r="A1859" s="3" t="s">
        <v>1061</v>
      </c>
      <c r="B1859" s="3" t="s">
        <v>1062</v>
      </c>
      <c r="C1859" s="3" t="s">
        <v>80</v>
      </c>
      <c r="D1859" s="3" t="s">
        <v>1079</v>
      </c>
      <c r="E1859" s="3" t="s">
        <v>1100</v>
      </c>
      <c r="F1859" s="3">
        <v>7.0</v>
      </c>
      <c r="G1859" s="22">
        <v>-27.50746</v>
      </c>
      <c r="H1859" s="4">
        <v>-48.50324</v>
      </c>
      <c r="I1859" s="5">
        <v>3.0</v>
      </c>
      <c r="J1859" s="5" t="s">
        <v>104</v>
      </c>
      <c r="K1859" s="5" t="s">
        <v>104</v>
      </c>
      <c r="L1859" s="3"/>
      <c r="M1859" s="5">
        <v>8.0</v>
      </c>
      <c r="N1859" s="5">
        <v>23.0</v>
      </c>
      <c r="O1859" s="5"/>
      <c r="P1859" s="3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</row>
    <row r="1860" ht="15.75" customHeight="1">
      <c r="A1860" s="3" t="s">
        <v>1061</v>
      </c>
      <c r="B1860" s="3" t="s">
        <v>1062</v>
      </c>
      <c r="C1860" s="3" t="s">
        <v>80</v>
      </c>
      <c r="D1860" s="3" t="s">
        <v>1079</v>
      </c>
      <c r="E1860" s="3" t="s">
        <v>1100</v>
      </c>
      <c r="F1860" s="3">
        <v>7.0</v>
      </c>
      <c r="G1860" s="22">
        <v>-27.50746</v>
      </c>
      <c r="H1860" s="4">
        <v>-48.50324</v>
      </c>
      <c r="I1860" s="5">
        <v>4.0</v>
      </c>
      <c r="J1860" s="5" t="s">
        <v>55</v>
      </c>
      <c r="K1860" s="5" t="s">
        <v>55</v>
      </c>
      <c r="L1860" s="3"/>
      <c r="M1860" s="5">
        <v>5.0</v>
      </c>
      <c r="N1860" s="5">
        <v>19.0</v>
      </c>
      <c r="O1860" s="5"/>
      <c r="P1860" s="3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</row>
    <row r="1861" ht="15.75" customHeight="1">
      <c r="A1861" s="3" t="s">
        <v>1061</v>
      </c>
      <c r="B1861" s="3" t="s">
        <v>1062</v>
      </c>
      <c r="C1861" s="3" t="s">
        <v>80</v>
      </c>
      <c r="D1861" s="3" t="s">
        <v>1079</v>
      </c>
      <c r="E1861" s="3" t="s">
        <v>1100</v>
      </c>
      <c r="F1861" s="3">
        <v>7.0</v>
      </c>
      <c r="G1861" s="22">
        <v>-27.50746</v>
      </c>
      <c r="H1861" s="4">
        <v>-48.50324</v>
      </c>
      <c r="I1861" s="5">
        <v>5.0</v>
      </c>
      <c r="J1861" s="5" t="s">
        <v>31</v>
      </c>
      <c r="K1861" s="5" t="s">
        <v>31</v>
      </c>
      <c r="L1861" s="3"/>
      <c r="M1861" s="5">
        <v>5.0</v>
      </c>
      <c r="N1861" s="5">
        <v>22.0</v>
      </c>
      <c r="O1861" s="5"/>
      <c r="P1861" s="3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</row>
    <row r="1862" ht="15.75" customHeight="1">
      <c r="A1862" s="3" t="s">
        <v>1061</v>
      </c>
      <c r="B1862" s="3" t="s">
        <v>1062</v>
      </c>
      <c r="C1862" s="3" t="s">
        <v>80</v>
      </c>
      <c r="D1862" s="3" t="s">
        <v>1079</v>
      </c>
      <c r="E1862" s="3" t="s">
        <v>1100</v>
      </c>
      <c r="F1862" s="3">
        <v>7.0</v>
      </c>
      <c r="G1862" s="22">
        <v>-27.50746</v>
      </c>
      <c r="H1862" s="4">
        <v>-48.50324</v>
      </c>
      <c r="I1862" s="5">
        <v>6.0</v>
      </c>
      <c r="J1862" s="5" t="s">
        <v>373</v>
      </c>
      <c r="K1862" s="5" t="s">
        <v>373</v>
      </c>
      <c r="L1862" s="3"/>
      <c r="M1862" s="5">
        <v>10.0</v>
      </c>
      <c r="N1862" s="5">
        <v>37.0</v>
      </c>
      <c r="O1862" s="5"/>
      <c r="P1862" s="3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</row>
    <row r="1863" ht="15.75" customHeight="1">
      <c r="A1863" s="3" t="s">
        <v>1061</v>
      </c>
      <c r="B1863" s="3" t="s">
        <v>1062</v>
      </c>
      <c r="C1863" s="3" t="s">
        <v>80</v>
      </c>
      <c r="D1863" s="3" t="s">
        <v>1079</v>
      </c>
      <c r="E1863" s="3" t="s">
        <v>1100</v>
      </c>
      <c r="F1863" s="3">
        <v>7.0</v>
      </c>
      <c r="G1863" s="22">
        <v>-27.50746</v>
      </c>
      <c r="H1863" s="4">
        <v>-48.50324</v>
      </c>
      <c r="I1863" s="5">
        <v>7.0</v>
      </c>
      <c r="J1863" s="19" t="s">
        <v>836</v>
      </c>
      <c r="K1863" s="5" t="s">
        <v>315</v>
      </c>
      <c r="L1863" s="3"/>
      <c r="M1863" s="5">
        <v>12.0</v>
      </c>
      <c r="N1863" s="5">
        <v>76.0</v>
      </c>
      <c r="O1863" s="5" t="s">
        <v>1101</v>
      </c>
      <c r="P1863" s="3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</row>
    <row r="1864" ht="15.75" customHeight="1">
      <c r="A1864" s="3" t="s">
        <v>1061</v>
      </c>
      <c r="B1864" s="3" t="s">
        <v>1062</v>
      </c>
      <c r="C1864" s="3" t="s">
        <v>80</v>
      </c>
      <c r="D1864" s="3" t="s">
        <v>1079</v>
      </c>
      <c r="E1864" s="3" t="s">
        <v>1100</v>
      </c>
      <c r="F1864" s="3">
        <v>7.0</v>
      </c>
      <c r="G1864" s="22">
        <v>-27.50746</v>
      </c>
      <c r="H1864" s="4">
        <v>-48.50324</v>
      </c>
      <c r="I1864" s="5">
        <v>8.0</v>
      </c>
      <c r="J1864" s="5" t="s">
        <v>55</v>
      </c>
      <c r="K1864" s="5" t="s">
        <v>55</v>
      </c>
      <c r="L1864" s="3"/>
      <c r="M1864" s="5">
        <v>5.0</v>
      </c>
      <c r="N1864" s="5">
        <v>22.0</v>
      </c>
      <c r="O1864" s="5"/>
      <c r="P1864" s="3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</row>
    <row r="1865" ht="15.75" customHeight="1">
      <c r="A1865" s="3" t="s">
        <v>1061</v>
      </c>
      <c r="B1865" s="3" t="s">
        <v>1062</v>
      </c>
      <c r="C1865" s="3" t="s">
        <v>80</v>
      </c>
      <c r="D1865" s="3" t="s">
        <v>1079</v>
      </c>
      <c r="E1865" s="3" t="s">
        <v>1100</v>
      </c>
      <c r="F1865" s="3">
        <v>7.0</v>
      </c>
      <c r="G1865" s="22">
        <v>-27.50746</v>
      </c>
      <c r="H1865" s="4">
        <v>-48.50324</v>
      </c>
      <c r="I1865" s="5">
        <v>9.0</v>
      </c>
      <c r="J1865" s="5" t="s">
        <v>37</v>
      </c>
      <c r="K1865" s="5" t="s">
        <v>37</v>
      </c>
      <c r="L1865" s="3"/>
      <c r="M1865" s="5">
        <v>9.0</v>
      </c>
      <c r="N1865" s="5">
        <v>56.0</v>
      </c>
      <c r="O1865" s="21"/>
      <c r="P1865" s="3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</row>
    <row r="1866" ht="15.75" customHeight="1">
      <c r="A1866" s="3" t="s">
        <v>1061</v>
      </c>
      <c r="B1866" s="3" t="s">
        <v>1062</v>
      </c>
      <c r="C1866" s="3" t="s">
        <v>80</v>
      </c>
      <c r="D1866" s="3" t="s">
        <v>1079</v>
      </c>
      <c r="E1866" s="3" t="s">
        <v>1100</v>
      </c>
      <c r="F1866" s="3">
        <v>7.0</v>
      </c>
      <c r="G1866" s="22">
        <v>-27.50746</v>
      </c>
      <c r="H1866" s="4">
        <v>-48.50324</v>
      </c>
      <c r="I1866" s="5">
        <v>10.0</v>
      </c>
      <c r="J1866" s="5" t="s">
        <v>730</v>
      </c>
      <c r="K1866" s="5" t="s">
        <v>730</v>
      </c>
      <c r="L1866" s="3"/>
      <c r="M1866" s="5">
        <v>10.0</v>
      </c>
      <c r="N1866" s="5">
        <v>57.0</v>
      </c>
      <c r="O1866" s="5" t="s">
        <v>1102</v>
      </c>
      <c r="P1866" s="3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</row>
    <row r="1867" ht="15.75" customHeight="1">
      <c r="A1867" s="3" t="s">
        <v>1061</v>
      </c>
      <c r="B1867" s="3" t="s">
        <v>1062</v>
      </c>
      <c r="C1867" s="3" t="s">
        <v>80</v>
      </c>
      <c r="D1867" s="3" t="s">
        <v>1079</v>
      </c>
      <c r="E1867" s="3" t="s">
        <v>1100</v>
      </c>
      <c r="F1867" s="3">
        <v>7.0</v>
      </c>
      <c r="G1867" s="22">
        <v>-27.50746</v>
      </c>
      <c r="H1867" s="4">
        <v>-48.50324</v>
      </c>
      <c r="I1867" s="5">
        <v>11.0</v>
      </c>
      <c r="J1867" s="5" t="s">
        <v>55</v>
      </c>
      <c r="K1867" s="5" t="s">
        <v>55</v>
      </c>
      <c r="L1867" s="3"/>
      <c r="M1867" s="5">
        <v>5.0</v>
      </c>
      <c r="N1867" s="5">
        <v>23.0</v>
      </c>
      <c r="O1867" s="5"/>
      <c r="P1867" s="3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</row>
    <row r="1868" ht="15.75" customHeight="1">
      <c r="A1868" s="3" t="s">
        <v>1061</v>
      </c>
      <c r="B1868" s="3" t="s">
        <v>1062</v>
      </c>
      <c r="C1868" s="3" t="s">
        <v>80</v>
      </c>
      <c r="D1868" s="3" t="s">
        <v>1079</v>
      </c>
      <c r="E1868" s="3" t="s">
        <v>1100</v>
      </c>
      <c r="F1868" s="3">
        <v>7.0</v>
      </c>
      <c r="G1868" s="22">
        <v>-27.50746</v>
      </c>
      <c r="H1868" s="4">
        <v>-48.50324</v>
      </c>
      <c r="I1868" s="5">
        <v>12.0</v>
      </c>
      <c r="J1868" s="5" t="s">
        <v>1096</v>
      </c>
      <c r="K1868" s="5" t="s">
        <v>100</v>
      </c>
      <c r="L1868" s="3"/>
      <c r="M1868" s="5">
        <v>7.0</v>
      </c>
      <c r="N1868" s="5">
        <v>26.0</v>
      </c>
      <c r="O1868" s="5"/>
      <c r="P1868" s="3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</row>
    <row r="1869" ht="15.75" customHeight="1">
      <c r="A1869" s="3" t="s">
        <v>1061</v>
      </c>
      <c r="B1869" s="3" t="s">
        <v>1062</v>
      </c>
      <c r="C1869" s="3" t="s">
        <v>80</v>
      </c>
      <c r="D1869" s="3" t="s">
        <v>1079</v>
      </c>
      <c r="E1869" s="3" t="s">
        <v>1100</v>
      </c>
      <c r="F1869" s="3">
        <v>7.0</v>
      </c>
      <c r="G1869" s="22">
        <v>-27.50746</v>
      </c>
      <c r="H1869" s="4">
        <v>-48.50324</v>
      </c>
      <c r="I1869" s="5">
        <v>13.0</v>
      </c>
      <c r="J1869" s="5" t="s">
        <v>55</v>
      </c>
      <c r="K1869" s="5" t="s">
        <v>55</v>
      </c>
      <c r="L1869" s="3"/>
      <c r="M1869" s="5">
        <v>7.0</v>
      </c>
      <c r="N1869" s="5" t="s">
        <v>1103</v>
      </c>
      <c r="O1869" s="5"/>
      <c r="P1869" s="3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</row>
    <row r="1870" ht="15.75" customHeight="1">
      <c r="A1870" s="3" t="s">
        <v>1061</v>
      </c>
      <c r="B1870" s="3" t="s">
        <v>1062</v>
      </c>
      <c r="C1870" s="3" t="s">
        <v>80</v>
      </c>
      <c r="D1870" s="3" t="s">
        <v>1079</v>
      </c>
      <c r="E1870" s="3" t="s">
        <v>1100</v>
      </c>
      <c r="F1870" s="3">
        <v>7.0</v>
      </c>
      <c r="G1870" s="22">
        <v>-27.50746</v>
      </c>
      <c r="H1870" s="4">
        <v>-48.50324</v>
      </c>
      <c r="I1870" s="5">
        <v>14.0</v>
      </c>
      <c r="J1870" s="5" t="s">
        <v>1091</v>
      </c>
      <c r="K1870" s="5" t="s">
        <v>1091</v>
      </c>
      <c r="L1870" s="3"/>
      <c r="M1870" s="5">
        <v>6.0</v>
      </c>
      <c r="N1870" s="5">
        <v>15.0</v>
      </c>
      <c r="O1870" s="5"/>
      <c r="P1870" s="3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</row>
    <row r="1871" ht="15.75" customHeight="1">
      <c r="A1871" s="3" t="s">
        <v>1061</v>
      </c>
      <c r="B1871" s="3" t="s">
        <v>1062</v>
      </c>
      <c r="C1871" s="3" t="s">
        <v>80</v>
      </c>
      <c r="D1871" s="3" t="s">
        <v>1079</v>
      </c>
      <c r="E1871" s="3" t="s">
        <v>1100</v>
      </c>
      <c r="F1871" s="3">
        <v>7.0</v>
      </c>
      <c r="G1871" s="22">
        <v>-27.50746</v>
      </c>
      <c r="H1871" s="4">
        <v>-48.50324</v>
      </c>
      <c r="I1871" s="5">
        <v>15.0</v>
      </c>
      <c r="J1871" s="5" t="s">
        <v>78</v>
      </c>
      <c r="K1871" s="5" t="s">
        <v>78</v>
      </c>
      <c r="L1871" s="3"/>
      <c r="M1871" s="5">
        <v>6.0</v>
      </c>
      <c r="N1871" s="5">
        <v>22.0</v>
      </c>
      <c r="O1871" s="5"/>
      <c r="P1871" s="3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</row>
    <row r="1872" ht="15.75" customHeight="1">
      <c r="A1872" s="3" t="s">
        <v>1061</v>
      </c>
      <c r="B1872" s="3" t="s">
        <v>1062</v>
      </c>
      <c r="C1872" s="3" t="s">
        <v>80</v>
      </c>
      <c r="D1872" s="3" t="s">
        <v>1079</v>
      </c>
      <c r="E1872" s="3" t="s">
        <v>1100</v>
      </c>
      <c r="F1872" s="3">
        <v>7.0</v>
      </c>
      <c r="G1872" s="22">
        <v>-27.50746</v>
      </c>
      <c r="H1872" s="4">
        <v>-48.50324</v>
      </c>
      <c r="I1872" s="5">
        <v>16.0</v>
      </c>
      <c r="J1872" s="19" t="s">
        <v>836</v>
      </c>
      <c r="K1872" s="5" t="s">
        <v>315</v>
      </c>
      <c r="L1872" s="3"/>
      <c r="M1872" s="5">
        <v>7.0</v>
      </c>
      <c r="N1872" s="5">
        <v>34.0</v>
      </c>
      <c r="O1872" s="5" t="s">
        <v>1104</v>
      </c>
      <c r="P1872" s="3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</row>
    <row r="1873" ht="15.75" customHeight="1">
      <c r="A1873" s="3" t="s">
        <v>1061</v>
      </c>
      <c r="B1873" s="3" t="s">
        <v>1062</v>
      </c>
      <c r="C1873" s="3" t="s">
        <v>80</v>
      </c>
      <c r="D1873" s="3" t="s">
        <v>1079</v>
      </c>
      <c r="E1873" s="3" t="s">
        <v>1100</v>
      </c>
      <c r="F1873" s="3">
        <v>7.0</v>
      </c>
      <c r="G1873" s="22">
        <v>-27.50746</v>
      </c>
      <c r="H1873" s="4">
        <v>-48.50324</v>
      </c>
      <c r="I1873" s="5">
        <v>17.0</v>
      </c>
      <c r="J1873" s="5" t="s">
        <v>28</v>
      </c>
      <c r="K1873" s="5" t="s">
        <v>28</v>
      </c>
      <c r="L1873" s="3"/>
      <c r="M1873" s="5">
        <v>9.0</v>
      </c>
      <c r="N1873" s="5">
        <v>54.0</v>
      </c>
      <c r="O1873" s="5"/>
      <c r="P1873" s="3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</row>
    <row r="1874" ht="15.75" customHeight="1">
      <c r="A1874" s="3" t="s">
        <v>1061</v>
      </c>
      <c r="B1874" s="3" t="s">
        <v>1062</v>
      </c>
      <c r="C1874" s="3" t="s">
        <v>80</v>
      </c>
      <c r="D1874" s="3" t="s">
        <v>1079</v>
      </c>
      <c r="E1874" s="3" t="s">
        <v>1100</v>
      </c>
      <c r="F1874" s="3">
        <v>7.0</v>
      </c>
      <c r="G1874" s="22">
        <v>-27.50746</v>
      </c>
      <c r="H1874" s="4">
        <v>-48.50324</v>
      </c>
      <c r="I1874" s="5">
        <v>18.0</v>
      </c>
      <c r="J1874" s="5" t="s">
        <v>28</v>
      </c>
      <c r="K1874" s="5" t="s">
        <v>28</v>
      </c>
      <c r="L1874" s="3"/>
      <c r="M1874" s="5">
        <v>10.0</v>
      </c>
      <c r="N1874" s="5">
        <v>94.0</v>
      </c>
      <c r="O1874" s="5"/>
      <c r="P1874" s="3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</row>
    <row r="1875" ht="15.75" customHeight="1">
      <c r="A1875" s="3" t="s">
        <v>1061</v>
      </c>
      <c r="B1875" s="3" t="s">
        <v>1062</v>
      </c>
      <c r="C1875" s="3" t="s">
        <v>80</v>
      </c>
      <c r="D1875" s="3" t="s">
        <v>1079</v>
      </c>
      <c r="E1875" s="3" t="s">
        <v>1100</v>
      </c>
      <c r="F1875" s="3">
        <v>7.0</v>
      </c>
      <c r="G1875" s="22">
        <v>-27.50746</v>
      </c>
      <c r="H1875" s="4">
        <v>-48.50324</v>
      </c>
      <c r="I1875" s="5">
        <v>19.0</v>
      </c>
      <c r="J1875" s="5" t="s">
        <v>117</v>
      </c>
      <c r="K1875" s="5" t="s">
        <v>117</v>
      </c>
      <c r="L1875" s="3"/>
      <c r="M1875" s="5">
        <v>4.0</v>
      </c>
      <c r="N1875" s="5">
        <v>24.0</v>
      </c>
      <c r="O1875" s="5"/>
      <c r="P1875" s="3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</row>
    <row r="1876" ht="15.75" customHeight="1">
      <c r="A1876" s="3" t="s">
        <v>1061</v>
      </c>
      <c r="B1876" s="3" t="s">
        <v>1062</v>
      </c>
      <c r="C1876" s="3" t="s">
        <v>80</v>
      </c>
      <c r="D1876" s="3" t="s">
        <v>1079</v>
      </c>
      <c r="E1876" s="3" t="s">
        <v>1100</v>
      </c>
      <c r="F1876" s="3">
        <v>7.0</v>
      </c>
      <c r="G1876" s="22">
        <v>-27.50746</v>
      </c>
      <c r="H1876" s="4">
        <v>-48.50324</v>
      </c>
      <c r="I1876" s="5">
        <v>20.0</v>
      </c>
      <c r="J1876" s="5" t="s">
        <v>104</v>
      </c>
      <c r="K1876" s="5" t="s">
        <v>104</v>
      </c>
      <c r="L1876" s="3"/>
      <c r="M1876" s="5">
        <v>7.0</v>
      </c>
      <c r="N1876" s="5">
        <v>28.0</v>
      </c>
      <c r="O1876" s="5"/>
      <c r="P1876" s="3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</row>
    <row r="1877" ht="15.75" customHeight="1">
      <c r="A1877" s="3" t="s">
        <v>1061</v>
      </c>
      <c r="B1877" s="3" t="s">
        <v>1062</v>
      </c>
      <c r="C1877" s="3" t="s">
        <v>80</v>
      </c>
      <c r="D1877" s="3" t="s">
        <v>1079</v>
      </c>
      <c r="E1877" s="3" t="s">
        <v>1100</v>
      </c>
      <c r="F1877" s="3">
        <v>7.0</v>
      </c>
      <c r="G1877" s="22">
        <v>-27.50746</v>
      </c>
      <c r="H1877" s="4">
        <v>-48.50324</v>
      </c>
      <c r="I1877" s="5">
        <v>21.0</v>
      </c>
      <c r="J1877" s="5" t="s">
        <v>98</v>
      </c>
      <c r="K1877" s="5" t="s">
        <v>98</v>
      </c>
      <c r="L1877" s="3"/>
      <c r="M1877" s="5">
        <v>8.0</v>
      </c>
      <c r="N1877" s="5">
        <v>61.0</v>
      </c>
      <c r="O1877" s="5"/>
      <c r="P1877" s="3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</row>
    <row r="1878" ht="15.75" customHeight="1">
      <c r="A1878" s="3" t="s">
        <v>1061</v>
      </c>
      <c r="B1878" s="3" t="s">
        <v>1062</v>
      </c>
      <c r="C1878" s="3" t="s">
        <v>80</v>
      </c>
      <c r="D1878" s="3" t="s">
        <v>1079</v>
      </c>
      <c r="E1878" s="3" t="s">
        <v>1100</v>
      </c>
      <c r="F1878" s="3">
        <v>7.0</v>
      </c>
      <c r="G1878" s="22">
        <v>-27.50746</v>
      </c>
      <c r="H1878" s="4">
        <v>-48.50324</v>
      </c>
      <c r="I1878" s="5">
        <v>22.0</v>
      </c>
      <c r="J1878" s="5" t="s">
        <v>105</v>
      </c>
      <c r="K1878" s="5" t="s">
        <v>105</v>
      </c>
      <c r="L1878" s="3"/>
      <c r="M1878" s="5">
        <v>4.0</v>
      </c>
      <c r="N1878" s="5">
        <v>21.0</v>
      </c>
      <c r="O1878" s="5"/>
      <c r="P1878" s="3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</row>
    <row r="1879" ht="15.75" customHeight="1">
      <c r="A1879" s="3" t="s">
        <v>1061</v>
      </c>
      <c r="B1879" s="3" t="s">
        <v>1062</v>
      </c>
      <c r="C1879" s="3" t="s">
        <v>80</v>
      </c>
      <c r="D1879" s="3" t="s">
        <v>1079</v>
      </c>
      <c r="E1879" s="3" t="s">
        <v>1100</v>
      </c>
      <c r="F1879" s="3">
        <v>7.0</v>
      </c>
      <c r="G1879" s="22">
        <v>-27.50746</v>
      </c>
      <c r="H1879" s="4">
        <v>-48.50324</v>
      </c>
      <c r="I1879" s="5">
        <v>23.0</v>
      </c>
      <c r="J1879" s="5" t="s">
        <v>108</v>
      </c>
      <c r="K1879" s="5" t="s">
        <v>108</v>
      </c>
      <c r="L1879" s="3"/>
      <c r="M1879" s="5">
        <v>8.0</v>
      </c>
      <c r="N1879" s="5">
        <v>80.0</v>
      </c>
      <c r="O1879" s="5"/>
      <c r="P1879" s="3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</row>
    <row r="1880" ht="15.75" customHeight="1">
      <c r="A1880" s="3" t="s">
        <v>1061</v>
      </c>
      <c r="B1880" s="3" t="s">
        <v>1062</v>
      </c>
      <c r="C1880" s="3" t="s">
        <v>80</v>
      </c>
      <c r="D1880" s="3" t="s">
        <v>1079</v>
      </c>
      <c r="E1880" s="3" t="s">
        <v>1100</v>
      </c>
      <c r="F1880" s="3">
        <v>7.0</v>
      </c>
      <c r="G1880" s="22">
        <v>-27.50746</v>
      </c>
      <c r="H1880" s="4">
        <v>-48.50324</v>
      </c>
      <c r="I1880" s="5">
        <v>24.0</v>
      </c>
      <c r="J1880" s="5" t="s">
        <v>1096</v>
      </c>
      <c r="K1880" s="5" t="s">
        <v>100</v>
      </c>
      <c r="L1880" s="3"/>
      <c r="M1880" s="5">
        <v>4.0</v>
      </c>
      <c r="N1880" s="5">
        <v>16.0</v>
      </c>
      <c r="O1880" s="5"/>
      <c r="P1880" s="3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</row>
    <row r="1881" ht="15.75" customHeight="1">
      <c r="A1881" s="3" t="s">
        <v>1061</v>
      </c>
      <c r="B1881" s="3" t="s">
        <v>1062</v>
      </c>
      <c r="C1881" s="3" t="s">
        <v>80</v>
      </c>
      <c r="D1881" s="3" t="s">
        <v>1079</v>
      </c>
      <c r="E1881" s="3" t="s">
        <v>1100</v>
      </c>
      <c r="F1881" s="3">
        <v>7.0</v>
      </c>
      <c r="G1881" s="22">
        <v>-27.50746</v>
      </c>
      <c r="H1881" s="4">
        <v>-48.50324</v>
      </c>
      <c r="I1881" s="5">
        <v>25.0</v>
      </c>
      <c r="J1881" s="5" t="s">
        <v>108</v>
      </c>
      <c r="K1881" s="5" t="s">
        <v>108</v>
      </c>
      <c r="L1881" s="3"/>
      <c r="M1881" s="5">
        <v>9.0</v>
      </c>
      <c r="N1881" s="5">
        <v>69.0</v>
      </c>
      <c r="O1881" s="5"/>
      <c r="P1881" s="3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</row>
    <row r="1882" ht="15.75" customHeight="1">
      <c r="A1882" s="3" t="s">
        <v>1061</v>
      </c>
      <c r="B1882" s="3" t="s">
        <v>1062</v>
      </c>
      <c r="C1882" s="3" t="s">
        <v>80</v>
      </c>
      <c r="D1882" s="3" t="s">
        <v>1079</v>
      </c>
      <c r="E1882" s="3" t="s">
        <v>1100</v>
      </c>
      <c r="F1882" s="3">
        <v>7.0</v>
      </c>
      <c r="G1882" s="22">
        <v>-27.50746</v>
      </c>
      <c r="H1882" s="4">
        <v>-48.50324</v>
      </c>
      <c r="I1882" s="5">
        <v>26.0</v>
      </c>
      <c r="J1882" s="5" t="s">
        <v>1096</v>
      </c>
      <c r="K1882" s="5" t="s">
        <v>100</v>
      </c>
      <c r="L1882" s="3"/>
      <c r="M1882" s="5">
        <v>6.0</v>
      </c>
      <c r="N1882" s="5">
        <v>17.0</v>
      </c>
      <c r="O1882" s="3"/>
      <c r="P1882" s="3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</row>
    <row r="1883" ht="15.75" customHeight="1">
      <c r="A1883" s="3" t="s">
        <v>1061</v>
      </c>
      <c r="B1883" s="3" t="s">
        <v>1062</v>
      </c>
      <c r="C1883" s="3" t="s">
        <v>80</v>
      </c>
      <c r="D1883" s="3" t="s">
        <v>1079</v>
      </c>
      <c r="E1883" s="3" t="s">
        <v>1105</v>
      </c>
      <c r="F1883" s="3">
        <v>8.0</v>
      </c>
      <c r="G1883" s="4">
        <v>-27.50747</v>
      </c>
      <c r="H1883" s="4">
        <v>-48.50274</v>
      </c>
      <c r="I1883" s="5">
        <v>1.0</v>
      </c>
      <c r="J1883" s="5" t="s">
        <v>98</v>
      </c>
      <c r="K1883" s="5" t="s">
        <v>98</v>
      </c>
      <c r="L1883" s="3"/>
      <c r="M1883" s="5">
        <v>6.0</v>
      </c>
      <c r="N1883" s="5">
        <v>32.0</v>
      </c>
      <c r="O1883" s="5"/>
      <c r="P1883" s="3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</row>
    <row r="1884" ht="15.75" customHeight="1">
      <c r="A1884" s="3" t="s">
        <v>1061</v>
      </c>
      <c r="B1884" s="3" t="s">
        <v>1062</v>
      </c>
      <c r="C1884" s="3" t="s">
        <v>80</v>
      </c>
      <c r="D1884" s="3" t="s">
        <v>1079</v>
      </c>
      <c r="E1884" s="3" t="s">
        <v>1105</v>
      </c>
      <c r="F1884" s="3">
        <v>8.0</v>
      </c>
      <c r="G1884" s="4">
        <v>-27.50747</v>
      </c>
      <c r="H1884" s="4">
        <v>-48.50274</v>
      </c>
      <c r="I1884" s="5">
        <v>2.0</v>
      </c>
      <c r="J1884" s="5" t="s">
        <v>1106</v>
      </c>
      <c r="K1884" s="5" t="s">
        <v>154</v>
      </c>
      <c r="L1884" s="3"/>
      <c r="M1884" s="5">
        <v>7.0</v>
      </c>
      <c r="N1884" s="5">
        <v>43.0</v>
      </c>
      <c r="O1884" s="5"/>
      <c r="P1884" s="3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</row>
    <row r="1885" ht="15.75" customHeight="1">
      <c r="A1885" s="3" t="s">
        <v>1061</v>
      </c>
      <c r="B1885" s="3" t="s">
        <v>1062</v>
      </c>
      <c r="C1885" s="3" t="s">
        <v>80</v>
      </c>
      <c r="D1885" s="3" t="s">
        <v>1079</v>
      </c>
      <c r="E1885" s="3" t="s">
        <v>1105</v>
      </c>
      <c r="F1885" s="3">
        <v>8.0</v>
      </c>
      <c r="G1885" s="4">
        <v>-27.50747</v>
      </c>
      <c r="H1885" s="4">
        <v>-48.50274</v>
      </c>
      <c r="I1885" s="5">
        <v>3.0</v>
      </c>
      <c r="J1885" s="5" t="s">
        <v>1076</v>
      </c>
      <c r="K1885" s="5" t="s">
        <v>323</v>
      </c>
      <c r="L1885" s="3"/>
      <c r="M1885" s="5">
        <v>7.0</v>
      </c>
      <c r="N1885" s="5">
        <v>28.0</v>
      </c>
      <c r="O1885" s="5"/>
      <c r="P1885" s="3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</row>
    <row r="1886" ht="15.75" customHeight="1">
      <c r="A1886" s="3" t="s">
        <v>1061</v>
      </c>
      <c r="B1886" s="3" t="s">
        <v>1062</v>
      </c>
      <c r="C1886" s="3" t="s">
        <v>80</v>
      </c>
      <c r="D1886" s="3" t="s">
        <v>1079</v>
      </c>
      <c r="E1886" s="3" t="s">
        <v>1105</v>
      </c>
      <c r="F1886" s="3">
        <v>8.0</v>
      </c>
      <c r="G1886" s="4">
        <v>-27.50747</v>
      </c>
      <c r="H1886" s="4">
        <v>-48.50274</v>
      </c>
      <c r="I1886" s="5">
        <v>4.0</v>
      </c>
      <c r="J1886" s="5" t="s">
        <v>55</v>
      </c>
      <c r="K1886" s="5" t="s">
        <v>55</v>
      </c>
      <c r="L1886" s="3"/>
      <c r="M1886" s="5">
        <v>4.0</v>
      </c>
      <c r="N1886" s="5">
        <v>16.0</v>
      </c>
      <c r="O1886" s="5" t="s">
        <v>1107</v>
      </c>
      <c r="P1886" s="3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</row>
    <row r="1887" ht="15.75" customHeight="1">
      <c r="A1887" s="3" t="s">
        <v>1061</v>
      </c>
      <c r="B1887" s="3" t="s">
        <v>1062</v>
      </c>
      <c r="C1887" s="3" t="s">
        <v>80</v>
      </c>
      <c r="D1887" s="3" t="s">
        <v>1079</v>
      </c>
      <c r="E1887" s="3" t="s">
        <v>1105</v>
      </c>
      <c r="F1887" s="3">
        <v>8.0</v>
      </c>
      <c r="G1887" s="4">
        <v>-27.50747</v>
      </c>
      <c r="H1887" s="4">
        <v>-48.50274</v>
      </c>
      <c r="I1887" s="5">
        <v>5.0</v>
      </c>
      <c r="J1887" s="5" t="s">
        <v>55</v>
      </c>
      <c r="K1887" s="5" t="s">
        <v>55</v>
      </c>
      <c r="L1887" s="3"/>
      <c r="M1887" s="5">
        <v>5.0</v>
      </c>
      <c r="N1887" s="5">
        <v>22.0</v>
      </c>
      <c r="O1887" s="5" t="s">
        <v>1108</v>
      </c>
      <c r="P1887" s="3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</row>
    <row r="1888" ht="15.75" customHeight="1">
      <c r="A1888" s="3" t="s">
        <v>1061</v>
      </c>
      <c r="B1888" s="3" t="s">
        <v>1062</v>
      </c>
      <c r="C1888" s="3" t="s">
        <v>80</v>
      </c>
      <c r="D1888" s="3" t="s">
        <v>1079</v>
      </c>
      <c r="E1888" s="3" t="s">
        <v>1105</v>
      </c>
      <c r="F1888" s="3">
        <v>8.0</v>
      </c>
      <c r="G1888" s="4">
        <v>-27.50747</v>
      </c>
      <c r="H1888" s="4">
        <v>-48.50274</v>
      </c>
      <c r="I1888" s="5">
        <v>6.0</v>
      </c>
      <c r="J1888" s="5" t="s">
        <v>1106</v>
      </c>
      <c r="K1888" s="5" t="s">
        <v>154</v>
      </c>
      <c r="L1888" s="3"/>
      <c r="M1888" s="5">
        <v>11.0</v>
      </c>
      <c r="N1888" s="5" t="s">
        <v>1109</v>
      </c>
      <c r="O1888" s="5"/>
      <c r="P1888" s="3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</row>
    <row r="1889" ht="15.75" customHeight="1">
      <c r="A1889" s="3" t="s">
        <v>1061</v>
      </c>
      <c r="B1889" s="3" t="s">
        <v>1062</v>
      </c>
      <c r="C1889" s="3" t="s">
        <v>80</v>
      </c>
      <c r="D1889" s="3" t="s">
        <v>1079</v>
      </c>
      <c r="E1889" s="3" t="s">
        <v>1105</v>
      </c>
      <c r="F1889" s="3">
        <v>8.0</v>
      </c>
      <c r="G1889" s="4">
        <v>-27.50747</v>
      </c>
      <c r="H1889" s="4">
        <v>-48.50274</v>
      </c>
      <c r="I1889" s="5">
        <v>7.0</v>
      </c>
      <c r="J1889" s="5" t="s">
        <v>55</v>
      </c>
      <c r="K1889" s="5" t="s">
        <v>55</v>
      </c>
      <c r="L1889" s="3"/>
      <c r="M1889" s="5">
        <v>6.0</v>
      </c>
      <c r="N1889" s="5">
        <v>19.0</v>
      </c>
      <c r="O1889" s="5"/>
      <c r="P1889" s="3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</row>
    <row r="1890" ht="15.75" customHeight="1">
      <c r="A1890" s="3" t="s">
        <v>1061</v>
      </c>
      <c r="B1890" s="3" t="s">
        <v>1062</v>
      </c>
      <c r="C1890" s="3" t="s">
        <v>80</v>
      </c>
      <c r="D1890" s="3" t="s">
        <v>1079</v>
      </c>
      <c r="E1890" s="3" t="s">
        <v>1105</v>
      </c>
      <c r="F1890" s="3">
        <v>8.0</v>
      </c>
      <c r="G1890" s="4">
        <v>-27.50747</v>
      </c>
      <c r="H1890" s="4">
        <v>-48.50274</v>
      </c>
      <c r="I1890" s="5">
        <v>8.0</v>
      </c>
      <c r="J1890" s="5" t="s">
        <v>37</v>
      </c>
      <c r="K1890" s="5" t="s">
        <v>37</v>
      </c>
      <c r="L1890" s="3"/>
      <c r="M1890" s="5">
        <v>8.0</v>
      </c>
      <c r="N1890" s="5">
        <v>22.0</v>
      </c>
      <c r="O1890" s="5"/>
      <c r="P1890" s="3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</row>
    <row r="1891" ht="15.75" customHeight="1">
      <c r="A1891" s="3" t="s">
        <v>1061</v>
      </c>
      <c r="B1891" s="3" t="s">
        <v>1062</v>
      </c>
      <c r="C1891" s="3" t="s">
        <v>80</v>
      </c>
      <c r="D1891" s="3" t="s">
        <v>1079</v>
      </c>
      <c r="E1891" s="3" t="s">
        <v>1105</v>
      </c>
      <c r="F1891" s="3">
        <v>8.0</v>
      </c>
      <c r="G1891" s="4">
        <v>-27.50747</v>
      </c>
      <c r="H1891" s="4">
        <v>-48.50274</v>
      </c>
      <c r="I1891" s="5">
        <v>9.0</v>
      </c>
      <c r="J1891" s="5" t="s">
        <v>55</v>
      </c>
      <c r="K1891" s="5" t="s">
        <v>55</v>
      </c>
      <c r="L1891" s="3"/>
      <c r="M1891" s="5">
        <v>8.0</v>
      </c>
      <c r="N1891" s="5">
        <v>27.0</v>
      </c>
      <c r="O1891" s="5"/>
      <c r="P1891" s="3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</row>
    <row r="1892" ht="15.75" customHeight="1">
      <c r="A1892" s="3" t="s">
        <v>1061</v>
      </c>
      <c r="B1892" s="3" t="s">
        <v>1062</v>
      </c>
      <c r="C1892" s="3" t="s">
        <v>80</v>
      </c>
      <c r="D1892" s="3" t="s">
        <v>1079</v>
      </c>
      <c r="E1892" s="3" t="s">
        <v>1105</v>
      </c>
      <c r="F1892" s="3">
        <v>8.0</v>
      </c>
      <c r="G1892" s="4">
        <v>-27.50747</v>
      </c>
      <c r="H1892" s="4">
        <v>-48.50274</v>
      </c>
      <c r="I1892" s="5">
        <v>10.0</v>
      </c>
      <c r="J1892" s="5" t="s">
        <v>1069</v>
      </c>
      <c r="K1892" s="5" t="s">
        <v>1025</v>
      </c>
      <c r="L1892" s="3"/>
      <c r="M1892" s="5">
        <v>11.0</v>
      </c>
      <c r="N1892" s="5">
        <v>113.0</v>
      </c>
      <c r="O1892" s="5"/>
      <c r="P1892" s="3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</row>
    <row r="1893" ht="15.75" customHeight="1">
      <c r="A1893" s="3" t="s">
        <v>1061</v>
      </c>
      <c r="B1893" s="3" t="s">
        <v>1062</v>
      </c>
      <c r="C1893" s="3" t="s">
        <v>80</v>
      </c>
      <c r="D1893" s="3" t="s">
        <v>1079</v>
      </c>
      <c r="E1893" s="3" t="s">
        <v>1105</v>
      </c>
      <c r="F1893" s="3">
        <v>8.0</v>
      </c>
      <c r="G1893" s="4">
        <v>-27.50747</v>
      </c>
      <c r="H1893" s="4">
        <v>-48.50274</v>
      </c>
      <c r="I1893" s="5">
        <v>11.0</v>
      </c>
      <c r="J1893" s="5" t="s">
        <v>55</v>
      </c>
      <c r="K1893" s="5" t="s">
        <v>55</v>
      </c>
      <c r="L1893" s="3"/>
      <c r="M1893" s="5">
        <v>7.0</v>
      </c>
      <c r="N1893" s="5">
        <v>22.0</v>
      </c>
      <c r="O1893" s="5"/>
      <c r="P1893" s="3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</row>
    <row r="1894" ht="15.75" customHeight="1">
      <c r="A1894" s="3" t="s">
        <v>1061</v>
      </c>
      <c r="B1894" s="3" t="s">
        <v>1062</v>
      </c>
      <c r="C1894" s="3" t="s">
        <v>80</v>
      </c>
      <c r="D1894" s="3" t="s">
        <v>1079</v>
      </c>
      <c r="E1894" s="3" t="s">
        <v>1105</v>
      </c>
      <c r="F1894" s="3">
        <v>8.0</v>
      </c>
      <c r="G1894" s="4">
        <v>-27.50747</v>
      </c>
      <c r="H1894" s="4">
        <v>-48.50274</v>
      </c>
      <c r="I1894" s="5">
        <v>12.0</v>
      </c>
      <c r="J1894" s="5" t="s">
        <v>50</v>
      </c>
      <c r="K1894" s="5" t="s">
        <v>50</v>
      </c>
      <c r="L1894" s="3"/>
      <c r="M1894" s="5">
        <v>9.0</v>
      </c>
      <c r="N1894" s="5">
        <v>28.0</v>
      </c>
      <c r="O1894" s="5"/>
      <c r="P1894" s="3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</row>
    <row r="1895" ht="15.75" customHeight="1">
      <c r="A1895" s="3" t="s">
        <v>1061</v>
      </c>
      <c r="B1895" s="3" t="s">
        <v>1062</v>
      </c>
      <c r="C1895" s="3" t="s">
        <v>80</v>
      </c>
      <c r="D1895" s="3" t="s">
        <v>1079</v>
      </c>
      <c r="E1895" s="3" t="s">
        <v>1105</v>
      </c>
      <c r="F1895" s="3">
        <v>8.0</v>
      </c>
      <c r="G1895" s="4">
        <v>-27.50747</v>
      </c>
      <c r="H1895" s="4">
        <v>-48.50274</v>
      </c>
      <c r="I1895" s="5">
        <v>13.0</v>
      </c>
      <c r="J1895" s="5" t="s">
        <v>55</v>
      </c>
      <c r="K1895" s="5" t="s">
        <v>55</v>
      </c>
      <c r="L1895" s="3"/>
      <c r="M1895" s="5">
        <v>6.0</v>
      </c>
      <c r="N1895" s="5">
        <v>27.0</v>
      </c>
      <c r="O1895" s="5"/>
      <c r="P1895" s="3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</row>
    <row r="1896" ht="15.75" customHeight="1">
      <c r="A1896" s="3" t="s">
        <v>1061</v>
      </c>
      <c r="B1896" s="3" t="s">
        <v>1062</v>
      </c>
      <c r="C1896" s="3" t="s">
        <v>80</v>
      </c>
      <c r="D1896" s="3" t="s">
        <v>1079</v>
      </c>
      <c r="E1896" s="3" t="s">
        <v>1105</v>
      </c>
      <c r="F1896" s="3">
        <v>8.0</v>
      </c>
      <c r="G1896" s="4">
        <v>-27.50747</v>
      </c>
      <c r="H1896" s="4">
        <v>-48.50274</v>
      </c>
      <c r="I1896" s="5">
        <v>14.0</v>
      </c>
      <c r="J1896" s="5" t="s">
        <v>55</v>
      </c>
      <c r="K1896" s="5" t="s">
        <v>55</v>
      </c>
      <c r="L1896" s="3"/>
      <c r="M1896" s="5">
        <v>4.0</v>
      </c>
      <c r="N1896" s="5">
        <v>18.0</v>
      </c>
      <c r="O1896" s="5"/>
      <c r="P1896" s="3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</row>
    <row r="1897" ht="15.75" customHeight="1">
      <c r="A1897" s="3" t="s">
        <v>1061</v>
      </c>
      <c r="B1897" s="3" t="s">
        <v>1062</v>
      </c>
      <c r="C1897" s="3" t="s">
        <v>80</v>
      </c>
      <c r="D1897" s="3" t="s">
        <v>1079</v>
      </c>
      <c r="E1897" s="3" t="s">
        <v>1105</v>
      </c>
      <c r="F1897" s="3">
        <v>8.0</v>
      </c>
      <c r="G1897" s="4">
        <v>-27.50747</v>
      </c>
      <c r="H1897" s="4">
        <v>-48.50274</v>
      </c>
      <c r="I1897" s="5">
        <v>15.0</v>
      </c>
      <c r="J1897" s="5" t="s">
        <v>1110</v>
      </c>
      <c r="K1897" s="5" t="s">
        <v>335</v>
      </c>
      <c r="L1897" s="3"/>
      <c r="M1897" s="5">
        <v>12.0</v>
      </c>
      <c r="N1897" s="5">
        <v>71.0</v>
      </c>
      <c r="O1897" s="5"/>
      <c r="P1897" s="3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</row>
    <row r="1898" ht="15.75" customHeight="1">
      <c r="A1898" s="3" t="s">
        <v>1061</v>
      </c>
      <c r="B1898" s="3" t="s">
        <v>1062</v>
      </c>
      <c r="C1898" s="3" t="s">
        <v>80</v>
      </c>
      <c r="D1898" s="3" t="s">
        <v>1079</v>
      </c>
      <c r="E1898" s="3" t="s">
        <v>1105</v>
      </c>
      <c r="F1898" s="3">
        <v>8.0</v>
      </c>
      <c r="G1898" s="4">
        <v>-27.50747</v>
      </c>
      <c r="H1898" s="4">
        <v>-48.50274</v>
      </c>
      <c r="I1898" s="5">
        <v>16.0</v>
      </c>
      <c r="J1898" s="5" t="s">
        <v>232</v>
      </c>
      <c r="K1898" s="5" t="s">
        <v>232</v>
      </c>
      <c r="L1898" s="3"/>
      <c r="M1898" s="5">
        <v>12.0</v>
      </c>
      <c r="N1898" s="5">
        <v>46.0</v>
      </c>
      <c r="O1898" s="5"/>
      <c r="P1898" s="3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</row>
    <row r="1899" ht="15.75" customHeight="1">
      <c r="A1899" s="3" t="s">
        <v>1061</v>
      </c>
      <c r="B1899" s="3" t="s">
        <v>1062</v>
      </c>
      <c r="C1899" s="3" t="s">
        <v>80</v>
      </c>
      <c r="D1899" s="3" t="s">
        <v>1079</v>
      </c>
      <c r="E1899" s="3" t="s">
        <v>1105</v>
      </c>
      <c r="F1899" s="3">
        <v>8.0</v>
      </c>
      <c r="G1899" s="4">
        <v>-27.50747</v>
      </c>
      <c r="H1899" s="4">
        <v>-48.50274</v>
      </c>
      <c r="I1899" s="5">
        <v>17.0</v>
      </c>
      <c r="J1899" s="5" t="s">
        <v>55</v>
      </c>
      <c r="K1899" s="5" t="s">
        <v>55</v>
      </c>
      <c r="L1899" s="3"/>
      <c r="M1899" s="5">
        <v>7.0</v>
      </c>
      <c r="N1899" s="5">
        <v>26.0</v>
      </c>
      <c r="O1899" s="5"/>
      <c r="P1899" s="3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</row>
    <row r="1900" ht="15.75" customHeight="1">
      <c r="A1900" s="3" t="s">
        <v>1061</v>
      </c>
      <c r="B1900" s="3" t="s">
        <v>1062</v>
      </c>
      <c r="C1900" s="3" t="s">
        <v>80</v>
      </c>
      <c r="D1900" s="3" t="s">
        <v>1079</v>
      </c>
      <c r="E1900" s="3" t="s">
        <v>1105</v>
      </c>
      <c r="F1900" s="3">
        <v>8.0</v>
      </c>
      <c r="G1900" s="4">
        <v>-27.50747</v>
      </c>
      <c r="H1900" s="4">
        <v>-48.50274</v>
      </c>
      <c r="I1900" s="5">
        <v>18.0</v>
      </c>
      <c r="J1900" s="5" t="s">
        <v>55</v>
      </c>
      <c r="K1900" s="5" t="s">
        <v>55</v>
      </c>
      <c r="L1900" s="3"/>
      <c r="M1900" s="5">
        <v>7.0</v>
      </c>
      <c r="N1900" s="5">
        <v>20.0</v>
      </c>
      <c r="O1900" s="5"/>
      <c r="P1900" s="3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</row>
    <row r="1901" ht="15.75" customHeight="1">
      <c r="A1901" s="3" t="s">
        <v>1061</v>
      </c>
      <c r="B1901" s="3" t="s">
        <v>1062</v>
      </c>
      <c r="C1901" s="3" t="s">
        <v>80</v>
      </c>
      <c r="D1901" s="3" t="s">
        <v>1079</v>
      </c>
      <c r="E1901" s="3" t="s">
        <v>1105</v>
      </c>
      <c r="F1901" s="3">
        <v>8.0</v>
      </c>
      <c r="G1901" s="4">
        <v>-27.50747</v>
      </c>
      <c r="H1901" s="4">
        <v>-48.50274</v>
      </c>
      <c r="I1901" s="5">
        <v>19.0</v>
      </c>
      <c r="J1901" s="5" t="s">
        <v>1110</v>
      </c>
      <c r="K1901" s="5" t="s">
        <v>335</v>
      </c>
      <c r="L1901" s="3"/>
      <c r="M1901" s="5">
        <v>12.0</v>
      </c>
      <c r="N1901" s="5">
        <v>48.0</v>
      </c>
      <c r="O1901" s="5"/>
      <c r="P1901" s="3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</row>
    <row r="1902" ht="15.75" customHeight="1">
      <c r="A1902" s="3" t="s">
        <v>1061</v>
      </c>
      <c r="B1902" s="3" t="s">
        <v>1062</v>
      </c>
      <c r="C1902" s="3" t="s">
        <v>80</v>
      </c>
      <c r="D1902" s="3" t="s">
        <v>1079</v>
      </c>
      <c r="E1902" s="3" t="s">
        <v>1105</v>
      </c>
      <c r="F1902" s="3">
        <v>8.0</v>
      </c>
      <c r="G1902" s="4">
        <v>-27.50747</v>
      </c>
      <c r="H1902" s="4">
        <v>-48.50274</v>
      </c>
      <c r="I1902" s="5">
        <v>20.0</v>
      </c>
      <c r="J1902" s="19" t="s">
        <v>1111</v>
      </c>
      <c r="K1902" s="5" t="s">
        <v>315</v>
      </c>
      <c r="L1902" s="3"/>
      <c r="M1902" s="5">
        <v>12.0</v>
      </c>
      <c r="N1902" s="5">
        <v>31.0</v>
      </c>
      <c r="O1902" s="5" t="s">
        <v>1112</v>
      </c>
      <c r="P1902" s="3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</row>
    <row r="1903" ht="15.75" customHeight="1">
      <c r="A1903" s="3" t="s">
        <v>1061</v>
      </c>
      <c r="B1903" s="3" t="s">
        <v>1062</v>
      </c>
      <c r="C1903" s="3" t="s">
        <v>80</v>
      </c>
      <c r="D1903" s="3" t="s">
        <v>1079</v>
      </c>
      <c r="E1903" s="3" t="s">
        <v>1105</v>
      </c>
      <c r="F1903" s="3">
        <v>8.0</v>
      </c>
      <c r="G1903" s="4">
        <v>-27.50747</v>
      </c>
      <c r="H1903" s="4">
        <v>-48.50274</v>
      </c>
      <c r="I1903" s="5">
        <v>21.0</v>
      </c>
      <c r="J1903" s="5" t="s">
        <v>1113</v>
      </c>
      <c r="K1903" s="5" t="s">
        <v>1114</v>
      </c>
      <c r="L1903" s="3"/>
      <c r="M1903" s="5">
        <v>8.0</v>
      </c>
      <c r="N1903" s="5">
        <v>17.0</v>
      </c>
      <c r="O1903" s="5"/>
      <c r="P1903" s="3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</row>
    <row r="1904" ht="15.75" customHeight="1">
      <c r="A1904" s="3" t="s">
        <v>1061</v>
      </c>
      <c r="B1904" s="3" t="s">
        <v>1062</v>
      </c>
      <c r="C1904" s="3" t="s">
        <v>80</v>
      </c>
      <c r="D1904" s="3" t="s">
        <v>1079</v>
      </c>
      <c r="E1904" s="3" t="s">
        <v>1105</v>
      </c>
      <c r="F1904" s="3">
        <v>8.0</v>
      </c>
      <c r="G1904" s="4">
        <v>-27.50747</v>
      </c>
      <c r="H1904" s="4">
        <v>-48.50274</v>
      </c>
      <c r="I1904" s="5">
        <v>22.0</v>
      </c>
      <c r="J1904" s="5" t="s">
        <v>55</v>
      </c>
      <c r="K1904" s="5" t="s">
        <v>55</v>
      </c>
      <c r="L1904" s="3"/>
      <c r="M1904" s="5">
        <v>8.0</v>
      </c>
      <c r="N1904" s="5">
        <v>30.0</v>
      </c>
      <c r="O1904" s="5"/>
      <c r="P1904" s="3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</row>
    <row r="1905" ht="15.75" customHeight="1">
      <c r="A1905" s="3" t="s">
        <v>1061</v>
      </c>
      <c r="B1905" s="3" t="s">
        <v>1062</v>
      </c>
      <c r="C1905" s="3" t="s">
        <v>80</v>
      </c>
      <c r="D1905" s="3" t="s">
        <v>1079</v>
      </c>
      <c r="E1905" s="3" t="s">
        <v>1105</v>
      </c>
      <c r="F1905" s="3">
        <v>8.0</v>
      </c>
      <c r="G1905" s="4">
        <v>-27.50747</v>
      </c>
      <c r="H1905" s="4">
        <v>-48.50274</v>
      </c>
      <c r="I1905" s="5">
        <v>23.0</v>
      </c>
      <c r="J1905" s="5" t="s">
        <v>55</v>
      </c>
      <c r="K1905" s="5" t="s">
        <v>55</v>
      </c>
      <c r="L1905" s="3"/>
      <c r="M1905" s="5">
        <v>7.0</v>
      </c>
      <c r="N1905" s="5">
        <v>19.0</v>
      </c>
      <c r="O1905" s="5"/>
      <c r="P1905" s="3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</row>
    <row r="1906" ht="15.75" customHeight="1">
      <c r="A1906" s="3" t="s">
        <v>1061</v>
      </c>
      <c r="B1906" s="3" t="s">
        <v>1062</v>
      </c>
      <c r="C1906" s="3" t="s">
        <v>80</v>
      </c>
      <c r="D1906" s="3" t="s">
        <v>1079</v>
      </c>
      <c r="E1906" s="3" t="s">
        <v>1105</v>
      </c>
      <c r="F1906" s="3">
        <v>8.0</v>
      </c>
      <c r="G1906" s="4">
        <v>-27.50747</v>
      </c>
      <c r="H1906" s="4">
        <v>-48.50274</v>
      </c>
      <c r="I1906" s="5">
        <v>24.0</v>
      </c>
      <c r="J1906" s="20" t="s">
        <v>395</v>
      </c>
      <c r="K1906" s="5" t="s">
        <v>315</v>
      </c>
      <c r="L1906" s="3"/>
      <c r="M1906" s="5"/>
      <c r="N1906" s="5"/>
      <c r="O1906" s="5"/>
      <c r="P1906" s="3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</row>
    <row r="1907" ht="15.75" customHeight="1">
      <c r="A1907" s="3" t="s">
        <v>1061</v>
      </c>
      <c r="B1907" s="3" t="s">
        <v>1062</v>
      </c>
      <c r="C1907" s="3" t="s">
        <v>80</v>
      </c>
      <c r="D1907" s="3" t="s">
        <v>1079</v>
      </c>
      <c r="E1907" s="3" t="s">
        <v>1105</v>
      </c>
      <c r="F1907" s="3">
        <v>8.0</v>
      </c>
      <c r="G1907" s="4">
        <v>-27.50747</v>
      </c>
      <c r="H1907" s="4">
        <v>-48.50274</v>
      </c>
      <c r="I1907" s="5">
        <v>25.0</v>
      </c>
      <c r="J1907" s="19" t="s">
        <v>1111</v>
      </c>
      <c r="K1907" s="5" t="s">
        <v>315</v>
      </c>
      <c r="L1907" s="3"/>
      <c r="M1907" s="5">
        <v>10.0</v>
      </c>
      <c r="N1907" s="5" t="s">
        <v>1115</v>
      </c>
      <c r="O1907" s="5" t="s">
        <v>1116</v>
      </c>
      <c r="P1907" s="3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</row>
    <row r="1908" ht="15.75" customHeight="1">
      <c r="A1908" s="3" t="s">
        <v>1061</v>
      </c>
      <c r="B1908" s="3" t="s">
        <v>1062</v>
      </c>
      <c r="C1908" s="3" t="s">
        <v>80</v>
      </c>
      <c r="D1908" s="3" t="s">
        <v>1079</v>
      </c>
      <c r="E1908" s="3" t="s">
        <v>1105</v>
      </c>
      <c r="F1908" s="3">
        <v>8.0</v>
      </c>
      <c r="G1908" s="4">
        <v>-27.50747</v>
      </c>
      <c r="H1908" s="4">
        <v>-48.50274</v>
      </c>
      <c r="I1908" s="5">
        <v>26.0</v>
      </c>
      <c r="J1908" s="5" t="s">
        <v>1076</v>
      </c>
      <c r="K1908" s="5" t="s">
        <v>323</v>
      </c>
      <c r="L1908" s="3"/>
      <c r="M1908" s="5">
        <v>8.0</v>
      </c>
      <c r="N1908" s="5">
        <v>22.0</v>
      </c>
      <c r="O1908" s="5"/>
      <c r="P1908" s="3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</row>
    <row r="1909" ht="15.75" customHeight="1">
      <c r="A1909" s="3" t="s">
        <v>1061</v>
      </c>
      <c r="B1909" s="3" t="s">
        <v>1062</v>
      </c>
      <c r="C1909" s="3" t="s">
        <v>80</v>
      </c>
      <c r="D1909" s="3" t="s">
        <v>1079</v>
      </c>
      <c r="E1909" s="3" t="s">
        <v>1105</v>
      </c>
      <c r="F1909" s="3">
        <v>8.0</v>
      </c>
      <c r="G1909" s="4">
        <v>-27.50747</v>
      </c>
      <c r="H1909" s="4">
        <v>-48.50274</v>
      </c>
      <c r="I1909" s="5">
        <v>27.0</v>
      </c>
      <c r="J1909" s="5" t="s">
        <v>816</v>
      </c>
      <c r="K1909" s="5" t="s">
        <v>816</v>
      </c>
      <c r="L1909" s="3"/>
      <c r="M1909" s="5">
        <v>8.0</v>
      </c>
      <c r="N1909" s="5">
        <v>18.0</v>
      </c>
      <c r="O1909" s="5"/>
      <c r="P1909" s="3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</row>
    <row r="1910" ht="15.75" customHeight="1">
      <c r="A1910" s="3" t="s">
        <v>1061</v>
      </c>
      <c r="B1910" s="3" t="s">
        <v>1062</v>
      </c>
      <c r="C1910" s="3" t="s">
        <v>80</v>
      </c>
      <c r="D1910" s="3" t="s">
        <v>1079</v>
      </c>
      <c r="E1910" s="3" t="s">
        <v>1105</v>
      </c>
      <c r="F1910" s="3">
        <v>8.0</v>
      </c>
      <c r="G1910" s="4">
        <v>-27.50747</v>
      </c>
      <c r="H1910" s="4">
        <v>-48.50274</v>
      </c>
      <c r="I1910" s="5">
        <v>28.0</v>
      </c>
      <c r="J1910" s="5" t="s">
        <v>31</v>
      </c>
      <c r="K1910" s="5" t="s">
        <v>31</v>
      </c>
      <c r="L1910" s="3"/>
      <c r="M1910" s="5">
        <v>4.0</v>
      </c>
      <c r="N1910" s="5">
        <v>17.0</v>
      </c>
      <c r="O1910" s="5"/>
      <c r="P1910" s="3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</row>
    <row r="1911" ht="15.75" customHeight="1">
      <c r="A1911" s="3" t="s">
        <v>1061</v>
      </c>
      <c r="B1911" s="3" t="s">
        <v>1062</v>
      </c>
      <c r="C1911" s="3" t="s">
        <v>80</v>
      </c>
      <c r="D1911" s="3" t="s">
        <v>1079</v>
      </c>
      <c r="E1911" s="3" t="s">
        <v>1105</v>
      </c>
      <c r="F1911" s="3">
        <v>8.0</v>
      </c>
      <c r="G1911" s="4">
        <v>-27.50747</v>
      </c>
      <c r="H1911" s="4">
        <v>-48.50274</v>
      </c>
      <c r="I1911" s="5">
        <v>29.0</v>
      </c>
      <c r="J1911" s="5" t="s">
        <v>1076</v>
      </c>
      <c r="K1911" s="5" t="s">
        <v>323</v>
      </c>
      <c r="L1911" s="3"/>
      <c r="M1911" s="5">
        <v>12.0</v>
      </c>
      <c r="N1911" s="5">
        <v>33.0</v>
      </c>
      <c r="O1911" s="5"/>
      <c r="P1911" s="3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</row>
    <row r="1912" ht="15.75" customHeight="1">
      <c r="A1912" s="3" t="s">
        <v>1117</v>
      </c>
      <c r="B1912" s="3" t="s">
        <v>1118</v>
      </c>
      <c r="C1912" s="3" t="s">
        <v>19</v>
      </c>
      <c r="D1912" s="3" t="s">
        <v>1119</v>
      </c>
      <c r="E1912" s="3" t="s">
        <v>1120</v>
      </c>
      <c r="F1912" s="3">
        <v>1.0</v>
      </c>
      <c r="G1912" s="22">
        <v>-27.52697</v>
      </c>
      <c r="H1912" s="22">
        <v>-48.46565</v>
      </c>
      <c r="I1912" s="5">
        <v>1.0</v>
      </c>
      <c r="J1912" s="5" t="s">
        <v>191</v>
      </c>
      <c r="K1912" s="5" t="s">
        <v>191</v>
      </c>
      <c r="L1912" s="3"/>
      <c r="M1912" s="5">
        <v>6.0</v>
      </c>
      <c r="N1912" s="5">
        <v>19.0</v>
      </c>
      <c r="O1912" s="5"/>
      <c r="P1912" s="3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</row>
    <row r="1913" ht="15.75" customHeight="1">
      <c r="A1913" s="3" t="s">
        <v>1117</v>
      </c>
      <c r="B1913" s="3" t="s">
        <v>1118</v>
      </c>
      <c r="C1913" s="3" t="s">
        <v>19</v>
      </c>
      <c r="D1913" s="3" t="s">
        <v>1119</v>
      </c>
      <c r="E1913" s="3" t="s">
        <v>1120</v>
      </c>
      <c r="F1913" s="3">
        <v>1.0</v>
      </c>
      <c r="G1913" s="22">
        <v>-27.52697</v>
      </c>
      <c r="H1913" s="22">
        <v>-48.46565</v>
      </c>
      <c r="I1913" s="5">
        <v>2.0</v>
      </c>
      <c r="J1913" s="5" t="s">
        <v>191</v>
      </c>
      <c r="K1913" s="5" t="s">
        <v>191</v>
      </c>
      <c r="L1913" s="3"/>
      <c r="M1913" s="5">
        <v>5.0</v>
      </c>
      <c r="N1913" s="5">
        <v>20.0</v>
      </c>
      <c r="O1913" s="5"/>
      <c r="P1913" s="3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</row>
    <row r="1914" ht="15.75" customHeight="1">
      <c r="A1914" s="3" t="s">
        <v>1117</v>
      </c>
      <c r="B1914" s="3" t="s">
        <v>1118</v>
      </c>
      <c r="C1914" s="3" t="s">
        <v>19</v>
      </c>
      <c r="D1914" s="3" t="s">
        <v>1119</v>
      </c>
      <c r="E1914" s="3" t="s">
        <v>1120</v>
      </c>
      <c r="F1914" s="3">
        <v>1.0</v>
      </c>
      <c r="G1914" s="22">
        <v>-27.52697</v>
      </c>
      <c r="H1914" s="22">
        <v>-48.46565</v>
      </c>
      <c r="I1914" s="5">
        <v>3.0</v>
      </c>
      <c r="J1914" s="15" t="s">
        <v>203</v>
      </c>
      <c r="K1914" s="15" t="s">
        <v>203</v>
      </c>
      <c r="L1914" s="3"/>
      <c r="M1914" s="5">
        <v>5.0</v>
      </c>
      <c r="N1914" s="5">
        <v>16.0</v>
      </c>
      <c r="O1914" s="5"/>
      <c r="P1914" s="3" t="s">
        <v>90</v>
      </c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</row>
    <row r="1915" ht="15.75" customHeight="1">
      <c r="A1915" s="3" t="s">
        <v>1117</v>
      </c>
      <c r="B1915" s="3" t="s">
        <v>1118</v>
      </c>
      <c r="C1915" s="3" t="s">
        <v>19</v>
      </c>
      <c r="D1915" s="3" t="s">
        <v>1119</v>
      </c>
      <c r="E1915" s="3" t="s">
        <v>1120</v>
      </c>
      <c r="F1915" s="3">
        <v>1.0</v>
      </c>
      <c r="G1915" s="22">
        <v>-27.52697</v>
      </c>
      <c r="H1915" s="22">
        <v>-48.46565</v>
      </c>
      <c r="I1915" s="5">
        <v>4.0</v>
      </c>
      <c r="J1915" s="5" t="s">
        <v>86</v>
      </c>
      <c r="K1915" s="5" t="s">
        <v>86</v>
      </c>
      <c r="L1915" s="3"/>
      <c r="M1915" s="5">
        <v>5.0</v>
      </c>
      <c r="N1915" s="5">
        <v>25.0</v>
      </c>
      <c r="O1915" s="5"/>
      <c r="P1915" s="3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</row>
    <row r="1916" ht="15.75" customHeight="1">
      <c r="A1916" s="3" t="s">
        <v>1117</v>
      </c>
      <c r="B1916" s="3" t="s">
        <v>1118</v>
      </c>
      <c r="C1916" s="3" t="s">
        <v>19</v>
      </c>
      <c r="D1916" s="3" t="s">
        <v>1119</v>
      </c>
      <c r="E1916" s="3" t="s">
        <v>1120</v>
      </c>
      <c r="F1916" s="3">
        <v>1.0</v>
      </c>
      <c r="G1916" s="22">
        <v>-27.52697</v>
      </c>
      <c r="H1916" s="22">
        <v>-48.46565</v>
      </c>
      <c r="I1916" s="5">
        <v>5.0</v>
      </c>
      <c r="J1916" s="5" t="s">
        <v>98</v>
      </c>
      <c r="K1916" s="5" t="s">
        <v>98</v>
      </c>
      <c r="L1916" s="3"/>
      <c r="M1916" s="5">
        <v>5.0</v>
      </c>
      <c r="N1916" s="5">
        <v>22.0</v>
      </c>
      <c r="O1916" s="5"/>
      <c r="P1916" s="3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</row>
    <row r="1917" ht="15.75" customHeight="1">
      <c r="A1917" s="3" t="s">
        <v>1117</v>
      </c>
      <c r="B1917" s="3" t="s">
        <v>1118</v>
      </c>
      <c r="C1917" s="3" t="s">
        <v>19</v>
      </c>
      <c r="D1917" s="3" t="s">
        <v>1119</v>
      </c>
      <c r="E1917" s="3" t="s">
        <v>1120</v>
      </c>
      <c r="F1917" s="3">
        <v>1.0</v>
      </c>
      <c r="G1917" s="22">
        <v>-27.52697</v>
      </c>
      <c r="H1917" s="22">
        <v>-48.46565</v>
      </c>
      <c r="I1917" s="5">
        <v>6.0</v>
      </c>
      <c r="J1917" s="5" t="s">
        <v>85</v>
      </c>
      <c r="K1917" s="5" t="s">
        <v>85</v>
      </c>
      <c r="L1917" s="3"/>
      <c r="M1917" s="5">
        <v>6.0</v>
      </c>
      <c r="N1917" s="5">
        <v>18.0</v>
      </c>
      <c r="O1917" s="5"/>
      <c r="P1917" s="3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</row>
    <row r="1918" ht="15.75" customHeight="1">
      <c r="A1918" s="3" t="s">
        <v>1117</v>
      </c>
      <c r="B1918" s="3" t="s">
        <v>1118</v>
      </c>
      <c r="C1918" s="3" t="s">
        <v>19</v>
      </c>
      <c r="D1918" s="3" t="s">
        <v>1119</v>
      </c>
      <c r="E1918" s="3" t="s">
        <v>1120</v>
      </c>
      <c r="F1918" s="3">
        <v>1.0</v>
      </c>
      <c r="G1918" s="22">
        <v>-27.52697</v>
      </c>
      <c r="H1918" s="22">
        <v>-48.46565</v>
      </c>
      <c r="I1918" s="5">
        <v>7.0</v>
      </c>
      <c r="J1918" s="5" t="s">
        <v>191</v>
      </c>
      <c r="K1918" s="5" t="s">
        <v>191</v>
      </c>
      <c r="L1918" s="3"/>
      <c r="M1918" s="5">
        <v>6.0</v>
      </c>
      <c r="N1918" s="5">
        <v>23.0</v>
      </c>
      <c r="O1918" s="5"/>
      <c r="P1918" s="3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</row>
    <row r="1919" ht="15.75" customHeight="1">
      <c r="A1919" s="3" t="s">
        <v>1117</v>
      </c>
      <c r="B1919" s="3" t="s">
        <v>1118</v>
      </c>
      <c r="C1919" s="3" t="s">
        <v>19</v>
      </c>
      <c r="D1919" s="3" t="s">
        <v>1119</v>
      </c>
      <c r="E1919" s="3" t="s">
        <v>1120</v>
      </c>
      <c r="F1919" s="3">
        <v>1.0</v>
      </c>
      <c r="G1919" s="22">
        <v>-27.52697</v>
      </c>
      <c r="H1919" s="22">
        <v>-48.46565</v>
      </c>
      <c r="I1919" s="5">
        <v>8.0</v>
      </c>
      <c r="J1919" s="5" t="s">
        <v>1121</v>
      </c>
      <c r="K1919" s="5" t="s">
        <v>1121</v>
      </c>
      <c r="L1919" s="3"/>
      <c r="M1919" s="5">
        <v>6.0</v>
      </c>
      <c r="N1919" s="5">
        <v>19.0</v>
      </c>
      <c r="O1919" s="5"/>
      <c r="P1919" s="3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</row>
    <row r="1920" ht="15.75" customHeight="1">
      <c r="A1920" s="3" t="s">
        <v>1117</v>
      </c>
      <c r="B1920" s="3" t="s">
        <v>1118</v>
      </c>
      <c r="C1920" s="3" t="s">
        <v>19</v>
      </c>
      <c r="D1920" s="3" t="s">
        <v>1119</v>
      </c>
      <c r="E1920" s="3" t="s">
        <v>1120</v>
      </c>
      <c r="F1920" s="3">
        <v>1.0</v>
      </c>
      <c r="G1920" s="22">
        <v>-27.52697</v>
      </c>
      <c r="H1920" s="22">
        <v>-48.46565</v>
      </c>
      <c r="I1920" s="5">
        <v>9.0</v>
      </c>
      <c r="J1920" s="5" t="s">
        <v>1122</v>
      </c>
      <c r="K1920" s="5" t="s">
        <v>1122</v>
      </c>
      <c r="L1920" s="3"/>
      <c r="M1920" s="5">
        <v>10.0</v>
      </c>
      <c r="N1920" s="5">
        <v>34.0</v>
      </c>
      <c r="O1920" s="5"/>
      <c r="P1920" s="3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</row>
    <row r="1921" ht="15.75" customHeight="1">
      <c r="A1921" s="3" t="s">
        <v>1117</v>
      </c>
      <c r="B1921" s="3" t="s">
        <v>1118</v>
      </c>
      <c r="C1921" s="3" t="s">
        <v>19</v>
      </c>
      <c r="D1921" s="3" t="s">
        <v>1119</v>
      </c>
      <c r="E1921" s="3" t="s">
        <v>1120</v>
      </c>
      <c r="F1921" s="3">
        <v>1.0</v>
      </c>
      <c r="G1921" s="22">
        <v>-27.52697</v>
      </c>
      <c r="H1921" s="22">
        <v>-48.46565</v>
      </c>
      <c r="I1921" s="5">
        <v>10.0</v>
      </c>
      <c r="J1921" s="5" t="s">
        <v>379</v>
      </c>
      <c r="K1921" s="5" t="s">
        <v>379</v>
      </c>
      <c r="L1921" s="3"/>
      <c r="M1921" s="5">
        <v>8.0</v>
      </c>
      <c r="N1921" s="5">
        <v>41.0</v>
      </c>
      <c r="O1921" s="5" t="s">
        <v>1123</v>
      </c>
      <c r="P1921" s="3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</row>
    <row r="1922" ht="15.75" customHeight="1">
      <c r="A1922" s="3" t="s">
        <v>1117</v>
      </c>
      <c r="B1922" s="3" t="s">
        <v>1118</v>
      </c>
      <c r="C1922" s="3" t="s">
        <v>19</v>
      </c>
      <c r="D1922" s="3" t="s">
        <v>1119</v>
      </c>
      <c r="E1922" s="3" t="s">
        <v>1120</v>
      </c>
      <c r="F1922" s="3">
        <v>1.0</v>
      </c>
      <c r="G1922" s="22">
        <v>-27.52697</v>
      </c>
      <c r="H1922" s="22">
        <v>-48.46565</v>
      </c>
      <c r="I1922" s="5">
        <v>11.0</v>
      </c>
      <c r="J1922" s="5" t="s">
        <v>1124</v>
      </c>
      <c r="K1922" s="5" t="s">
        <v>1124</v>
      </c>
      <c r="L1922" s="3"/>
      <c r="M1922" s="5">
        <v>8.0</v>
      </c>
      <c r="N1922" s="5" t="s">
        <v>1125</v>
      </c>
      <c r="O1922" s="5"/>
      <c r="P1922" s="3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</row>
    <row r="1923" ht="15.75" customHeight="1">
      <c r="A1923" s="3" t="s">
        <v>1117</v>
      </c>
      <c r="B1923" s="3" t="s">
        <v>1118</v>
      </c>
      <c r="C1923" s="3" t="s">
        <v>19</v>
      </c>
      <c r="D1923" s="3" t="s">
        <v>1119</v>
      </c>
      <c r="E1923" s="3" t="s">
        <v>1120</v>
      </c>
      <c r="F1923" s="3">
        <v>1.0</v>
      </c>
      <c r="G1923" s="22">
        <v>-27.52697</v>
      </c>
      <c r="H1923" s="22">
        <v>-48.46565</v>
      </c>
      <c r="I1923" s="5">
        <v>12.0</v>
      </c>
      <c r="J1923" s="5" t="s">
        <v>1124</v>
      </c>
      <c r="K1923" s="5" t="s">
        <v>1124</v>
      </c>
      <c r="L1923" s="3"/>
      <c r="M1923" s="5">
        <v>8.0</v>
      </c>
      <c r="N1923" s="5">
        <v>22.0</v>
      </c>
      <c r="O1923" s="5"/>
      <c r="P1923" s="3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</row>
    <row r="1924" ht="15.75" customHeight="1">
      <c r="A1924" s="3" t="s">
        <v>1117</v>
      </c>
      <c r="B1924" s="3" t="s">
        <v>1118</v>
      </c>
      <c r="C1924" s="3" t="s">
        <v>19</v>
      </c>
      <c r="D1924" s="3" t="s">
        <v>1119</v>
      </c>
      <c r="E1924" s="3" t="s">
        <v>1120</v>
      </c>
      <c r="F1924" s="3">
        <v>1.0</v>
      </c>
      <c r="G1924" s="22">
        <v>-27.52697</v>
      </c>
      <c r="H1924" s="22">
        <v>-48.46565</v>
      </c>
      <c r="I1924" s="5">
        <v>13.0</v>
      </c>
      <c r="J1924" s="5" t="s">
        <v>85</v>
      </c>
      <c r="K1924" s="5" t="s">
        <v>85</v>
      </c>
      <c r="L1924" s="3"/>
      <c r="M1924" s="5">
        <v>6.0</v>
      </c>
      <c r="N1924" s="5">
        <v>17.0</v>
      </c>
      <c r="O1924" s="5"/>
      <c r="P1924" s="3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</row>
    <row r="1925" ht="15.75" customHeight="1">
      <c r="A1925" s="3" t="s">
        <v>1117</v>
      </c>
      <c r="B1925" s="3" t="s">
        <v>1118</v>
      </c>
      <c r="C1925" s="3" t="s">
        <v>19</v>
      </c>
      <c r="D1925" s="3" t="s">
        <v>1119</v>
      </c>
      <c r="E1925" s="3" t="s">
        <v>1120</v>
      </c>
      <c r="F1925" s="3">
        <v>1.0</v>
      </c>
      <c r="G1925" s="22">
        <v>-27.52697</v>
      </c>
      <c r="H1925" s="22">
        <v>-48.46565</v>
      </c>
      <c r="I1925" s="5">
        <v>14.0</v>
      </c>
      <c r="J1925" s="5" t="s">
        <v>1126</v>
      </c>
      <c r="K1925" s="5" t="s">
        <v>1127</v>
      </c>
      <c r="L1925" s="3"/>
      <c r="M1925" s="5">
        <v>7.0</v>
      </c>
      <c r="N1925" s="5">
        <v>16.0</v>
      </c>
      <c r="O1925" s="5" t="s">
        <v>1128</v>
      </c>
      <c r="P1925" s="3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</row>
    <row r="1926" ht="15.75" customHeight="1">
      <c r="A1926" s="3" t="s">
        <v>1117</v>
      </c>
      <c r="B1926" s="3" t="s">
        <v>1118</v>
      </c>
      <c r="C1926" s="3" t="s">
        <v>19</v>
      </c>
      <c r="D1926" s="3" t="s">
        <v>1119</v>
      </c>
      <c r="E1926" s="3" t="s">
        <v>1120</v>
      </c>
      <c r="F1926" s="3">
        <v>1.0</v>
      </c>
      <c r="G1926" s="22">
        <v>-27.52697</v>
      </c>
      <c r="H1926" s="22">
        <v>-48.46565</v>
      </c>
      <c r="I1926" s="5">
        <v>15.0</v>
      </c>
      <c r="J1926" s="5" t="s">
        <v>1122</v>
      </c>
      <c r="K1926" s="5" t="s">
        <v>1122</v>
      </c>
      <c r="L1926" s="3"/>
      <c r="M1926" s="5">
        <v>8.0</v>
      </c>
      <c r="N1926" s="5" t="s">
        <v>1059</v>
      </c>
      <c r="O1926" s="5"/>
      <c r="P1926" s="3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</row>
    <row r="1927" ht="15.75" customHeight="1">
      <c r="A1927" s="3" t="s">
        <v>1117</v>
      </c>
      <c r="B1927" s="3" t="s">
        <v>1118</v>
      </c>
      <c r="C1927" s="3" t="s">
        <v>19</v>
      </c>
      <c r="D1927" s="3" t="s">
        <v>1119</v>
      </c>
      <c r="E1927" s="3" t="s">
        <v>1120</v>
      </c>
      <c r="F1927" s="3">
        <v>1.0</v>
      </c>
      <c r="G1927" s="22">
        <v>-27.52697</v>
      </c>
      <c r="H1927" s="22">
        <v>-48.46565</v>
      </c>
      <c r="I1927" s="5">
        <v>16.0</v>
      </c>
      <c r="J1927" s="21" t="s">
        <v>1129</v>
      </c>
      <c r="K1927" s="21" t="s">
        <v>1129</v>
      </c>
      <c r="L1927" s="3"/>
      <c r="M1927" s="5">
        <v>9.0</v>
      </c>
      <c r="N1927" s="5">
        <v>49.0</v>
      </c>
      <c r="O1927" s="5" t="s">
        <v>1130</v>
      </c>
      <c r="P1927" s="3" t="s">
        <v>90</v>
      </c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</row>
    <row r="1928" ht="15.75" customHeight="1">
      <c r="A1928" s="3" t="s">
        <v>1117</v>
      </c>
      <c r="B1928" s="3" t="s">
        <v>1118</v>
      </c>
      <c r="C1928" s="3" t="s">
        <v>19</v>
      </c>
      <c r="D1928" s="3" t="s">
        <v>1119</v>
      </c>
      <c r="E1928" s="3" t="s">
        <v>1120</v>
      </c>
      <c r="F1928" s="3">
        <v>1.0</v>
      </c>
      <c r="G1928" s="22">
        <v>-27.52697</v>
      </c>
      <c r="H1928" s="22">
        <v>-48.46565</v>
      </c>
      <c r="I1928" s="5">
        <v>17.0</v>
      </c>
      <c r="J1928" s="5" t="s">
        <v>724</v>
      </c>
      <c r="K1928" s="5" t="s">
        <v>724</v>
      </c>
      <c r="L1928" s="3"/>
      <c r="M1928" s="5">
        <v>7.0</v>
      </c>
      <c r="N1928" s="5">
        <v>114.0</v>
      </c>
      <c r="O1928" s="5"/>
      <c r="P1928" s="3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</row>
    <row r="1929" ht="15.75" customHeight="1">
      <c r="A1929" s="3" t="s">
        <v>1117</v>
      </c>
      <c r="B1929" s="3" t="s">
        <v>1118</v>
      </c>
      <c r="C1929" s="3" t="s">
        <v>19</v>
      </c>
      <c r="D1929" s="3" t="s">
        <v>1119</v>
      </c>
      <c r="E1929" s="3" t="s">
        <v>1120</v>
      </c>
      <c r="F1929" s="3">
        <v>1.0</v>
      </c>
      <c r="G1929" s="22">
        <v>-27.52697</v>
      </c>
      <c r="H1929" s="22">
        <v>-48.46565</v>
      </c>
      <c r="I1929" s="5">
        <v>18.0</v>
      </c>
      <c r="J1929" s="5" t="s">
        <v>85</v>
      </c>
      <c r="K1929" s="5" t="s">
        <v>85</v>
      </c>
      <c r="L1929" s="3"/>
      <c r="M1929" s="5">
        <v>10.0</v>
      </c>
      <c r="N1929" s="5">
        <v>48.0</v>
      </c>
      <c r="O1929" s="5"/>
      <c r="P1929" s="3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</row>
    <row r="1930" ht="15.75" customHeight="1">
      <c r="A1930" s="3" t="s">
        <v>1117</v>
      </c>
      <c r="B1930" s="3" t="s">
        <v>1118</v>
      </c>
      <c r="C1930" s="3" t="s">
        <v>19</v>
      </c>
      <c r="D1930" s="3" t="s">
        <v>1119</v>
      </c>
      <c r="E1930" s="3" t="s">
        <v>1120</v>
      </c>
      <c r="F1930" s="3">
        <v>1.0</v>
      </c>
      <c r="G1930" s="22">
        <v>-27.52697</v>
      </c>
      <c r="H1930" s="22">
        <v>-48.46565</v>
      </c>
      <c r="I1930" s="5">
        <v>19.0</v>
      </c>
      <c r="J1930" s="5" t="s">
        <v>1131</v>
      </c>
      <c r="K1930" s="5" t="s">
        <v>1131</v>
      </c>
      <c r="L1930" s="3"/>
      <c r="M1930" s="5">
        <v>6.0</v>
      </c>
      <c r="N1930" s="5" t="s">
        <v>1132</v>
      </c>
      <c r="O1930" s="5"/>
      <c r="P1930" s="3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</row>
    <row r="1931" ht="15.75" customHeight="1">
      <c r="A1931" s="3" t="s">
        <v>1117</v>
      </c>
      <c r="B1931" s="3" t="s">
        <v>1118</v>
      </c>
      <c r="C1931" s="3" t="s">
        <v>19</v>
      </c>
      <c r="D1931" s="3" t="s">
        <v>1119</v>
      </c>
      <c r="E1931" s="3" t="s">
        <v>1120</v>
      </c>
      <c r="F1931" s="3">
        <v>1.0</v>
      </c>
      <c r="G1931" s="22">
        <v>-27.52697</v>
      </c>
      <c r="H1931" s="22">
        <v>-48.46565</v>
      </c>
      <c r="I1931" s="5">
        <v>20.0</v>
      </c>
      <c r="J1931" s="5" t="s">
        <v>488</v>
      </c>
      <c r="K1931" s="5" t="s">
        <v>488</v>
      </c>
      <c r="L1931" s="3"/>
      <c r="M1931" s="5">
        <v>3.0</v>
      </c>
      <c r="N1931" s="5">
        <v>37.0</v>
      </c>
      <c r="O1931" s="5"/>
      <c r="P1931" s="3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</row>
    <row r="1932" ht="15.75" customHeight="1">
      <c r="A1932" s="3" t="s">
        <v>1117</v>
      </c>
      <c r="B1932" s="3" t="s">
        <v>1118</v>
      </c>
      <c r="C1932" s="3" t="s">
        <v>19</v>
      </c>
      <c r="D1932" s="3" t="s">
        <v>1119</v>
      </c>
      <c r="E1932" s="3" t="s">
        <v>1120</v>
      </c>
      <c r="F1932" s="3">
        <v>1.0</v>
      </c>
      <c r="G1932" s="22">
        <v>-27.52697</v>
      </c>
      <c r="H1932" s="22">
        <v>-48.46565</v>
      </c>
      <c r="I1932" s="5">
        <v>21.0</v>
      </c>
      <c r="J1932" s="5" t="s">
        <v>85</v>
      </c>
      <c r="K1932" s="5" t="s">
        <v>85</v>
      </c>
      <c r="L1932" s="3"/>
      <c r="M1932" s="5">
        <v>7.0</v>
      </c>
      <c r="N1932" s="5">
        <v>19.0</v>
      </c>
      <c r="O1932" s="5"/>
      <c r="P1932" s="3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</row>
    <row r="1933" ht="15.75" customHeight="1">
      <c r="A1933" s="3" t="s">
        <v>1117</v>
      </c>
      <c r="B1933" s="3" t="s">
        <v>1118</v>
      </c>
      <c r="C1933" s="3" t="s">
        <v>19</v>
      </c>
      <c r="D1933" s="3" t="s">
        <v>1119</v>
      </c>
      <c r="E1933" s="3" t="s">
        <v>1120</v>
      </c>
      <c r="F1933" s="3">
        <v>1.0</v>
      </c>
      <c r="G1933" s="22">
        <v>-27.52697</v>
      </c>
      <c r="H1933" s="22">
        <v>-48.46565</v>
      </c>
      <c r="I1933" s="5">
        <v>22.0</v>
      </c>
      <c r="J1933" s="5" t="s">
        <v>1096</v>
      </c>
      <c r="K1933" s="5" t="s">
        <v>100</v>
      </c>
      <c r="L1933" s="3"/>
      <c r="M1933" s="5">
        <v>6.0</v>
      </c>
      <c r="N1933" s="5" t="s">
        <v>1133</v>
      </c>
      <c r="O1933" s="5"/>
      <c r="P1933" s="3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</row>
    <row r="1934" ht="15.75" customHeight="1">
      <c r="A1934" s="3" t="s">
        <v>1117</v>
      </c>
      <c r="B1934" s="3" t="s">
        <v>1118</v>
      </c>
      <c r="C1934" s="3" t="s">
        <v>19</v>
      </c>
      <c r="D1934" s="3" t="s">
        <v>1119</v>
      </c>
      <c r="E1934" s="3" t="s">
        <v>1134</v>
      </c>
      <c r="F1934" s="3">
        <v>2.0</v>
      </c>
      <c r="G1934" s="22">
        <v>-27.52733</v>
      </c>
      <c r="H1934" s="22">
        <v>-48.46537</v>
      </c>
      <c r="I1934" s="5">
        <v>1.0</v>
      </c>
      <c r="J1934" s="5" t="s">
        <v>335</v>
      </c>
      <c r="K1934" s="5" t="s">
        <v>335</v>
      </c>
      <c r="L1934" s="3"/>
      <c r="M1934" s="5">
        <v>8.0</v>
      </c>
      <c r="N1934" s="5">
        <v>52.0</v>
      </c>
      <c r="O1934" s="3"/>
      <c r="P1934" s="3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</row>
    <row r="1935" ht="15.75" customHeight="1">
      <c r="A1935" s="3" t="s">
        <v>1117</v>
      </c>
      <c r="B1935" s="3" t="s">
        <v>1118</v>
      </c>
      <c r="C1935" s="3" t="s">
        <v>19</v>
      </c>
      <c r="D1935" s="3" t="s">
        <v>1119</v>
      </c>
      <c r="E1935" s="3" t="s">
        <v>1134</v>
      </c>
      <c r="F1935" s="3">
        <v>2.0</v>
      </c>
      <c r="G1935" s="22">
        <v>-27.52733</v>
      </c>
      <c r="H1935" s="22">
        <v>-48.46537</v>
      </c>
      <c r="I1935" s="5">
        <v>2.0</v>
      </c>
      <c r="J1935" s="5" t="s">
        <v>85</v>
      </c>
      <c r="K1935" s="5" t="s">
        <v>85</v>
      </c>
      <c r="L1935" s="3"/>
      <c r="M1935" s="5">
        <v>8.0</v>
      </c>
      <c r="N1935" s="5">
        <v>34.0</v>
      </c>
      <c r="O1935" s="3"/>
      <c r="P1935" s="3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</row>
    <row r="1936" ht="15.75" customHeight="1">
      <c r="A1936" s="3" t="s">
        <v>1117</v>
      </c>
      <c r="B1936" s="3" t="s">
        <v>1118</v>
      </c>
      <c r="C1936" s="3" t="s">
        <v>19</v>
      </c>
      <c r="D1936" s="3" t="s">
        <v>1119</v>
      </c>
      <c r="E1936" s="3" t="s">
        <v>1134</v>
      </c>
      <c r="F1936" s="3">
        <v>2.0</v>
      </c>
      <c r="G1936" s="22">
        <v>-27.52733</v>
      </c>
      <c r="H1936" s="22">
        <v>-48.46537</v>
      </c>
      <c r="I1936" s="5">
        <v>3.0</v>
      </c>
      <c r="J1936" s="5" t="s">
        <v>86</v>
      </c>
      <c r="K1936" s="5" t="s">
        <v>86</v>
      </c>
      <c r="L1936" s="3"/>
      <c r="M1936" s="5">
        <v>5.0</v>
      </c>
      <c r="N1936" s="5">
        <v>18.0</v>
      </c>
      <c r="O1936" s="3"/>
      <c r="P1936" s="3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</row>
    <row r="1937" ht="15.75" customHeight="1">
      <c r="A1937" s="3" t="s">
        <v>1117</v>
      </c>
      <c r="B1937" s="3" t="s">
        <v>1118</v>
      </c>
      <c r="C1937" s="3" t="s">
        <v>19</v>
      </c>
      <c r="D1937" s="3" t="s">
        <v>1119</v>
      </c>
      <c r="E1937" s="3" t="s">
        <v>1134</v>
      </c>
      <c r="F1937" s="3">
        <v>2.0</v>
      </c>
      <c r="G1937" s="22">
        <v>-27.52733</v>
      </c>
      <c r="H1937" s="22">
        <v>-48.46537</v>
      </c>
      <c r="I1937" s="5">
        <v>4.0</v>
      </c>
      <c r="J1937" s="5" t="s">
        <v>37</v>
      </c>
      <c r="K1937" s="5" t="s">
        <v>37</v>
      </c>
      <c r="L1937" s="3"/>
      <c r="M1937" s="5">
        <v>10.0</v>
      </c>
      <c r="N1937" s="5">
        <v>56.0</v>
      </c>
      <c r="O1937" s="3"/>
      <c r="P1937" s="3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</row>
    <row r="1938" ht="15.75" customHeight="1">
      <c r="A1938" s="3" t="s">
        <v>1117</v>
      </c>
      <c r="B1938" s="3" t="s">
        <v>1118</v>
      </c>
      <c r="C1938" s="3" t="s">
        <v>19</v>
      </c>
      <c r="D1938" s="3" t="s">
        <v>1119</v>
      </c>
      <c r="E1938" s="3" t="s">
        <v>1134</v>
      </c>
      <c r="F1938" s="3">
        <v>2.0</v>
      </c>
      <c r="G1938" s="22">
        <v>-27.52733</v>
      </c>
      <c r="H1938" s="22">
        <v>-48.46537</v>
      </c>
      <c r="I1938" s="5">
        <v>5.0</v>
      </c>
      <c r="J1938" s="5" t="s">
        <v>335</v>
      </c>
      <c r="K1938" s="5" t="s">
        <v>335</v>
      </c>
      <c r="L1938" s="3"/>
      <c r="M1938" s="5">
        <v>12.0</v>
      </c>
      <c r="N1938" s="5">
        <v>72.0</v>
      </c>
      <c r="O1938" s="3"/>
      <c r="P1938" s="3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</row>
    <row r="1939" ht="15.75" customHeight="1">
      <c r="A1939" s="3" t="s">
        <v>1117</v>
      </c>
      <c r="B1939" s="3" t="s">
        <v>1118</v>
      </c>
      <c r="C1939" s="3" t="s">
        <v>19</v>
      </c>
      <c r="D1939" s="3" t="s">
        <v>1119</v>
      </c>
      <c r="E1939" s="3" t="s">
        <v>1134</v>
      </c>
      <c r="F1939" s="3">
        <v>2.0</v>
      </c>
      <c r="G1939" s="22">
        <v>-27.52733</v>
      </c>
      <c r="H1939" s="22">
        <v>-48.46537</v>
      </c>
      <c r="I1939" s="5">
        <v>6.0</v>
      </c>
      <c r="J1939" s="5" t="s">
        <v>37</v>
      </c>
      <c r="K1939" s="5" t="s">
        <v>37</v>
      </c>
      <c r="L1939" s="3"/>
      <c r="M1939" s="5">
        <v>8.0</v>
      </c>
      <c r="N1939" s="5">
        <v>46.0</v>
      </c>
      <c r="O1939" s="3"/>
      <c r="P1939" s="3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</row>
    <row r="1940" ht="15.75" customHeight="1">
      <c r="A1940" s="3" t="s">
        <v>1117</v>
      </c>
      <c r="B1940" s="3" t="s">
        <v>1118</v>
      </c>
      <c r="C1940" s="3" t="s">
        <v>19</v>
      </c>
      <c r="D1940" s="3" t="s">
        <v>1119</v>
      </c>
      <c r="E1940" s="3" t="s">
        <v>1134</v>
      </c>
      <c r="F1940" s="3">
        <v>2.0</v>
      </c>
      <c r="G1940" s="22">
        <v>-27.52733</v>
      </c>
      <c r="H1940" s="22">
        <v>-48.46537</v>
      </c>
      <c r="I1940" s="5">
        <v>7.0</v>
      </c>
      <c r="J1940" s="5" t="s">
        <v>85</v>
      </c>
      <c r="K1940" s="5" t="s">
        <v>85</v>
      </c>
      <c r="L1940" s="3"/>
      <c r="M1940" s="5">
        <v>7.0</v>
      </c>
      <c r="N1940" s="5">
        <v>24.0</v>
      </c>
      <c r="O1940" s="3"/>
      <c r="P1940" s="3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</row>
    <row r="1941" ht="15.75" customHeight="1">
      <c r="A1941" s="3" t="s">
        <v>1117</v>
      </c>
      <c r="B1941" s="3" t="s">
        <v>1118</v>
      </c>
      <c r="C1941" s="3" t="s">
        <v>19</v>
      </c>
      <c r="D1941" s="3" t="s">
        <v>1119</v>
      </c>
      <c r="E1941" s="3" t="s">
        <v>1134</v>
      </c>
      <c r="F1941" s="3">
        <v>2.0</v>
      </c>
      <c r="G1941" s="22">
        <v>-27.52733</v>
      </c>
      <c r="H1941" s="22">
        <v>-48.46537</v>
      </c>
      <c r="I1941" s="5">
        <v>8.0</v>
      </c>
      <c r="J1941" s="5" t="s">
        <v>41</v>
      </c>
      <c r="K1941" s="5" t="s">
        <v>41</v>
      </c>
      <c r="L1941" s="3"/>
      <c r="M1941" s="5">
        <v>10.0</v>
      </c>
      <c r="N1941" s="5">
        <v>42.0</v>
      </c>
      <c r="O1941" s="3"/>
      <c r="P1941" s="3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</row>
    <row r="1942" ht="15.75" customHeight="1">
      <c r="A1942" s="3" t="s">
        <v>1117</v>
      </c>
      <c r="B1942" s="3" t="s">
        <v>1118</v>
      </c>
      <c r="C1942" s="3" t="s">
        <v>19</v>
      </c>
      <c r="D1942" s="3" t="s">
        <v>1119</v>
      </c>
      <c r="E1942" s="3" t="s">
        <v>1134</v>
      </c>
      <c r="F1942" s="3">
        <v>2.0</v>
      </c>
      <c r="G1942" s="22">
        <v>-27.52733</v>
      </c>
      <c r="H1942" s="22">
        <v>-48.46537</v>
      </c>
      <c r="I1942" s="5">
        <v>9.0</v>
      </c>
      <c r="J1942" s="5" t="s">
        <v>86</v>
      </c>
      <c r="K1942" s="5" t="s">
        <v>86</v>
      </c>
      <c r="L1942" s="3"/>
      <c r="M1942" s="5">
        <v>9.0</v>
      </c>
      <c r="N1942" s="5">
        <v>34.0</v>
      </c>
      <c r="O1942" s="3"/>
      <c r="P1942" s="3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</row>
    <row r="1943" ht="15.75" customHeight="1">
      <c r="A1943" s="3" t="s">
        <v>1117</v>
      </c>
      <c r="B1943" s="3" t="s">
        <v>1118</v>
      </c>
      <c r="C1943" s="3" t="s">
        <v>19</v>
      </c>
      <c r="D1943" s="3" t="s">
        <v>1119</v>
      </c>
      <c r="E1943" s="3" t="s">
        <v>1134</v>
      </c>
      <c r="F1943" s="3">
        <v>2.0</v>
      </c>
      <c r="G1943" s="22">
        <v>-27.52733</v>
      </c>
      <c r="H1943" s="22">
        <v>-48.46537</v>
      </c>
      <c r="I1943" s="5">
        <v>10.0</v>
      </c>
      <c r="J1943" s="5" t="s">
        <v>400</v>
      </c>
      <c r="K1943" s="5" t="s">
        <v>401</v>
      </c>
      <c r="L1943" s="3"/>
      <c r="M1943" s="5">
        <v>6.0</v>
      </c>
      <c r="N1943" s="5">
        <v>26.0</v>
      </c>
      <c r="O1943" s="3"/>
      <c r="P1943" s="3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</row>
    <row r="1944" ht="15.75" customHeight="1">
      <c r="A1944" s="3" t="s">
        <v>1117</v>
      </c>
      <c r="B1944" s="3" t="s">
        <v>1118</v>
      </c>
      <c r="C1944" s="3" t="s">
        <v>19</v>
      </c>
      <c r="D1944" s="3" t="s">
        <v>1119</v>
      </c>
      <c r="E1944" s="3" t="s">
        <v>1134</v>
      </c>
      <c r="F1944" s="3">
        <v>2.0</v>
      </c>
      <c r="G1944" s="22">
        <v>-27.52733</v>
      </c>
      <c r="H1944" s="22">
        <v>-48.46537</v>
      </c>
      <c r="I1944" s="5">
        <v>11.0</v>
      </c>
      <c r="J1944" s="5" t="s">
        <v>1135</v>
      </c>
      <c r="K1944" s="5" t="s">
        <v>966</v>
      </c>
      <c r="L1944" s="3"/>
      <c r="M1944" s="5">
        <v>6.0</v>
      </c>
      <c r="N1944" s="5">
        <v>34.0</v>
      </c>
      <c r="O1944" s="3"/>
      <c r="P1944" s="3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</row>
    <row r="1945" ht="15.75" customHeight="1">
      <c r="A1945" s="3" t="s">
        <v>1117</v>
      </c>
      <c r="B1945" s="3" t="s">
        <v>1118</v>
      </c>
      <c r="C1945" s="3" t="s">
        <v>19</v>
      </c>
      <c r="D1945" s="3" t="s">
        <v>1119</v>
      </c>
      <c r="E1945" s="3" t="s">
        <v>1134</v>
      </c>
      <c r="F1945" s="3">
        <v>2.0</v>
      </c>
      <c r="G1945" s="22">
        <v>-27.52733</v>
      </c>
      <c r="H1945" s="22">
        <v>-48.46537</v>
      </c>
      <c r="I1945" s="5">
        <v>12.0</v>
      </c>
      <c r="J1945" s="5" t="s">
        <v>26</v>
      </c>
      <c r="K1945" s="5" t="s">
        <v>26</v>
      </c>
      <c r="L1945" s="3"/>
      <c r="M1945" s="5">
        <v>7.0</v>
      </c>
      <c r="N1945" s="5">
        <v>35.0</v>
      </c>
      <c r="O1945" s="3"/>
      <c r="P1945" s="3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</row>
    <row r="1946" ht="15.75" customHeight="1">
      <c r="A1946" s="3" t="s">
        <v>1117</v>
      </c>
      <c r="B1946" s="3" t="s">
        <v>1118</v>
      </c>
      <c r="C1946" s="3" t="s">
        <v>19</v>
      </c>
      <c r="D1946" s="3" t="s">
        <v>1119</v>
      </c>
      <c r="E1946" s="3" t="s">
        <v>1136</v>
      </c>
      <c r="F1946" s="3">
        <v>3.0</v>
      </c>
      <c r="G1946" s="22">
        <v>-27.527602</v>
      </c>
      <c r="H1946" s="22">
        <v>-48.465251</v>
      </c>
      <c r="I1946" s="5">
        <v>1.0</v>
      </c>
      <c r="J1946" s="5" t="s">
        <v>324</v>
      </c>
      <c r="K1946" s="5" t="s">
        <v>324</v>
      </c>
      <c r="L1946" s="3"/>
      <c r="M1946" s="5">
        <v>10.0</v>
      </c>
      <c r="N1946" s="5">
        <v>85.0</v>
      </c>
      <c r="O1946" s="5"/>
      <c r="P1946" s="3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</row>
    <row r="1947" ht="15.75" customHeight="1">
      <c r="A1947" s="3" t="s">
        <v>1117</v>
      </c>
      <c r="B1947" s="3" t="s">
        <v>1118</v>
      </c>
      <c r="C1947" s="3" t="s">
        <v>19</v>
      </c>
      <c r="D1947" s="3" t="s">
        <v>1119</v>
      </c>
      <c r="E1947" s="3" t="s">
        <v>1136</v>
      </c>
      <c r="F1947" s="3">
        <v>3.0</v>
      </c>
      <c r="G1947" s="22">
        <v>-27.527602</v>
      </c>
      <c r="H1947" s="22">
        <v>-48.465251</v>
      </c>
      <c r="I1947" s="5">
        <v>2.0</v>
      </c>
      <c r="J1947" s="5" t="s">
        <v>167</v>
      </c>
      <c r="K1947" s="5" t="s">
        <v>167</v>
      </c>
      <c r="L1947" s="3"/>
      <c r="M1947" s="5">
        <v>8.0</v>
      </c>
      <c r="N1947" s="5">
        <v>31.0</v>
      </c>
      <c r="O1947" s="5"/>
      <c r="P1947" s="3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</row>
    <row r="1948" ht="15.75" customHeight="1">
      <c r="A1948" s="3" t="s">
        <v>1117</v>
      </c>
      <c r="B1948" s="3" t="s">
        <v>1118</v>
      </c>
      <c r="C1948" s="3" t="s">
        <v>19</v>
      </c>
      <c r="D1948" s="3" t="s">
        <v>1119</v>
      </c>
      <c r="E1948" s="3" t="s">
        <v>1136</v>
      </c>
      <c r="F1948" s="3">
        <v>3.0</v>
      </c>
      <c r="G1948" s="22">
        <v>-27.527602</v>
      </c>
      <c r="H1948" s="22">
        <v>-48.465251</v>
      </c>
      <c r="I1948" s="5">
        <v>3.0</v>
      </c>
      <c r="J1948" s="5" t="s">
        <v>769</v>
      </c>
      <c r="K1948" s="5" t="s">
        <v>769</v>
      </c>
      <c r="L1948" s="3"/>
      <c r="M1948" s="5">
        <v>8.0</v>
      </c>
      <c r="N1948" s="5">
        <v>37.0</v>
      </c>
      <c r="O1948" s="5" t="s">
        <v>1137</v>
      </c>
      <c r="P1948" s="3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</row>
    <row r="1949" ht="15.75" customHeight="1">
      <c r="A1949" s="3" t="s">
        <v>1117</v>
      </c>
      <c r="B1949" s="3" t="s">
        <v>1118</v>
      </c>
      <c r="C1949" s="3" t="s">
        <v>19</v>
      </c>
      <c r="D1949" s="3" t="s">
        <v>1119</v>
      </c>
      <c r="E1949" s="3" t="s">
        <v>1136</v>
      </c>
      <c r="F1949" s="3">
        <v>3.0</v>
      </c>
      <c r="G1949" s="22">
        <v>-27.527602</v>
      </c>
      <c r="H1949" s="22">
        <v>-48.465251</v>
      </c>
      <c r="I1949" s="5">
        <v>4.0</v>
      </c>
      <c r="J1949" s="5" t="s">
        <v>98</v>
      </c>
      <c r="K1949" s="5" t="s">
        <v>98</v>
      </c>
      <c r="L1949" s="3"/>
      <c r="M1949" s="5">
        <v>4.0</v>
      </c>
      <c r="N1949" s="5">
        <v>17.0</v>
      </c>
      <c r="O1949" s="5"/>
      <c r="P1949" s="3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</row>
    <row r="1950" ht="15.75" customHeight="1">
      <c r="A1950" s="3" t="s">
        <v>1117</v>
      </c>
      <c r="B1950" s="3" t="s">
        <v>1118</v>
      </c>
      <c r="C1950" s="3" t="s">
        <v>19</v>
      </c>
      <c r="D1950" s="3" t="s">
        <v>1119</v>
      </c>
      <c r="E1950" s="3" t="s">
        <v>1136</v>
      </c>
      <c r="F1950" s="3">
        <v>3.0</v>
      </c>
      <c r="G1950" s="22">
        <v>-27.527602</v>
      </c>
      <c r="H1950" s="22">
        <v>-48.465251</v>
      </c>
      <c r="I1950" s="5">
        <v>5.0</v>
      </c>
      <c r="J1950" s="5" t="s">
        <v>1138</v>
      </c>
      <c r="K1950" s="5" t="s">
        <v>1138</v>
      </c>
      <c r="L1950" s="3"/>
      <c r="M1950" s="5">
        <v>6.0</v>
      </c>
      <c r="N1950" s="5">
        <v>51.0</v>
      </c>
      <c r="O1950" s="5" t="s">
        <v>1139</v>
      </c>
      <c r="P1950" s="3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</row>
    <row r="1951" ht="15.75" customHeight="1">
      <c r="A1951" s="3" t="s">
        <v>1117</v>
      </c>
      <c r="B1951" s="3" t="s">
        <v>1118</v>
      </c>
      <c r="C1951" s="3" t="s">
        <v>19</v>
      </c>
      <c r="D1951" s="3" t="s">
        <v>1119</v>
      </c>
      <c r="E1951" s="3" t="s">
        <v>1136</v>
      </c>
      <c r="F1951" s="3">
        <v>3.0</v>
      </c>
      <c r="G1951" s="22">
        <v>-27.527602</v>
      </c>
      <c r="H1951" s="22">
        <v>-48.465251</v>
      </c>
      <c r="I1951" s="5">
        <v>6.0</v>
      </c>
      <c r="J1951" s="5" t="s">
        <v>1138</v>
      </c>
      <c r="K1951" s="5" t="s">
        <v>1138</v>
      </c>
      <c r="L1951" s="3"/>
      <c r="M1951" s="5">
        <v>5.0</v>
      </c>
      <c r="N1951" s="5">
        <v>23.0</v>
      </c>
      <c r="O1951" s="5"/>
      <c r="P1951" s="3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</row>
    <row r="1952" ht="15.75" customHeight="1">
      <c r="A1952" s="3" t="s">
        <v>1117</v>
      </c>
      <c r="B1952" s="3" t="s">
        <v>1118</v>
      </c>
      <c r="C1952" s="3" t="s">
        <v>19</v>
      </c>
      <c r="D1952" s="3" t="s">
        <v>1119</v>
      </c>
      <c r="E1952" s="3" t="s">
        <v>1136</v>
      </c>
      <c r="F1952" s="3">
        <v>3.0</v>
      </c>
      <c r="G1952" s="22">
        <v>-27.527602</v>
      </c>
      <c r="H1952" s="22">
        <v>-48.465251</v>
      </c>
      <c r="I1952" s="5">
        <v>7.0</v>
      </c>
      <c r="J1952" s="5" t="s">
        <v>97</v>
      </c>
      <c r="K1952" s="5" t="s">
        <v>97</v>
      </c>
      <c r="L1952" s="3"/>
      <c r="M1952" s="5">
        <v>6.0</v>
      </c>
      <c r="N1952" s="5">
        <v>45.0</v>
      </c>
      <c r="O1952" s="5"/>
      <c r="P1952" s="3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</row>
    <row r="1953" ht="15.75" customHeight="1">
      <c r="A1953" s="3" t="s">
        <v>1117</v>
      </c>
      <c r="B1953" s="3" t="s">
        <v>1118</v>
      </c>
      <c r="C1953" s="3" t="s">
        <v>19</v>
      </c>
      <c r="D1953" s="3" t="s">
        <v>1119</v>
      </c>
      <c r="E1953" s="3" t="s">
        <v>1140</v>
      </c>
      <c r="F1953" s="3">
        <v>4.0</v>
      </c>
      <c r="G1953" s="4">
        <v>-27.5277</v>
      </c>
      <c r="H1953" s="22">
        <v>-48.46501</v>
      </c>
      <c r="I1953" s="5">
        <v>1.0</v>
      </c>
      <c r="J1953" s="5" t="s">
        <v>105</v>
      </c>
      <c r="K1953" s="5" t="s">
        <v>105</v>
      </c>
      <c r="L1953" s="3"/>
      <c r="M1953" s="5">
        <v>3.0</v>
      </c>
      <c r="N1953" s="5">
        <v>16.0</v>
      </c>
      <c r="O1953" s="5"/>
      <c r="P1953" s="3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</row>
    <row r="1954" ht="15.75" customHeight="1">
      <c r="A1954" s="3" t="s">
        <v>1117</v>
      </c>
      <c r="B1954" s="3" t="s">
        <v>1118</v>
      </c>
      <c r="C1954" s="3" t="s">
        <v>19</v>
      </c>
      <c r="D1954" s="3" t="s">
        <v>1119</v>
      </c>
      <c r="E1954" s="3" t="s">
        <v>1140</v>
      </c>
      <c r="F1954" s="3">
        <v>4.0</v>
      </c>
      <c r="G1954" s="4">
        <v>-27.5277</v>
      </c>
      <c r="H1954" s="22">
        <v>-48.46501</v>
      </c>
      <c r="I1954" s="5">
        <v>2.0</v>
      </c>
      <c r="J1954" s="26" t="s">
        <v>1141</v>
      </c>
      <c r="K1954" s="5" t="s">
        <v>315</v>
      </c>
      <c r="L1954" s="3"/>
      <c r="M1954" s="5">
        <v>4.0</v>
      </c>
      <c r="N1954" s="5">
        <v>19.0</v>
      </c>
      <c r="O1954" s="5" t="s">
        <v>1142</v>
      </c>
      <c r="P1954" s="3" t="s">
        <v>90</v>
      </c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</row>
    <row r="1955" ht="15.75" customHeight="1">
      <c r="A1955" s="3" t="s">
        <v>1117</v>
      </c>
      <c r="B1955" s="3" t="s">
        <v>1118</v>
      </c>
      <c r="C1955" s="3" t="s">
        <v>19</v>
      </c>
      <c r="D1955" s="3" t="s">
        <v>1119</v>
      </c>
      <c r="E1955" s="3" t="s">
        <v>1140</v>
      </c>
      <c r="F1955" s="3">
        <v>4.0</v>
      </c>
      <c r="G1955" s="4">
        <v>-27.5277</v>
      </c>
      <c r="H1955" s="22">
        <v>-48.46501</v>
      </c>
      <c r="I1955" s="5">
        <v>3.0</v>
      </c>
      <c r="J1955" s="5" t="s">
        <v>98</v>
      </c>
      <c r="K1955" s="5" t="s">
        <v>98</v>
      </c>
      <c r="L1955" s="3"/>
      <c r="M1955" s="5">
        <v>6.0</v>
      </c>
      <c r="N1955" s="5">
        <v>22.0</v>
      </c>
      <c r="O1955" s="5"/>
      <c r="P1955" s="3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</row>
    <row r="1956" ht="15.75" customHeight="1">
      <c r="A1956" s="3" t="s">
        <v>1117</v>
      </c>
      <c r="B1956" s="3" t="s">
        <v>1118</v>
      </c>
      <c r="C1956" s="3" t="s">
        <v>19</v>
      </c>
      <c r="D1956" s="3" t="s">
        <v>1119</v>
      </c>
      <c r="E1956" s="3" t="s">
        <v>1140</v>
      </c>
      <c r="F1956" s="3">
        <v>4.0</v>
      </c>
      <c r="G1956" s="4">
        <v>-27.5277</v>
      </c>
      <c r="H1956" s="22">
        <v>-48.46501</v>
      </c>
      <c r="I1956" s="5">
        <v>4.0</v>
      </c>
      <c r="J1956" s="5" t="s">
        <v>33</v>
      </c>
      <c r="K1956" s="5" t="s">
        <v>33</v>
      </c>
      <c r="L1956" s="3"/>
      <c r="M1956" s="5">
        <v>8.0</v>
      </c>
      <c r="N1956" s="5" t="s">
        <v>1143</v>
      </c>
      <c r="O1956" s="5"/>
      <c r="P1956" s="3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</row>
    <row r="1957" ht="15.75" customHeight="1">
      <c r="A1957" s="3" t="s">
        <v>1117</v>
      </c>
      <c r="B1957" s="3" t="s">
        <v>1118</v>
      </c>
      <c r="C1957" s="3" t="s">
        <v>19</v>
      </c>
      <c r="D1957" s="3" t="s">
        <v>1119</v>
      </c>
      <c r="E1957" s="3" t="s">
        <v>1140</v>
      </c>
      <c r="F1957" s="3">
        <v>4.0</v>
      </c>
      <c r="G1957" s="4">
        <v>-27.5277</v>
      </c>
      <c r="H1957" s="22">
        <v>-48.46501</v>
      </c>
      <c r="I1957" s="5">
        <v>5.0</v>
      </c>
      <c r="J1957" s="5" t="s">
        <v>468</v>
      </c>
      <c r="K1957" s="5" t="s">
        <v>468</v>
      </c>
      <c r="L1957" s="3"/>
      <c r="M1957" s="5">
        <v>10.0</v>
      </c>
      <c r="N1957" s="5" t="s">
        <v>1144</v>
      </c>
      <c r="O1957" s="5"/>
      <c r="P1957" s="3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</row>
    <row r="1958" ht="15.75" customHeight="1">
      <c r="A1958" s="3" t="s">
        <v>1117</v>
      </c>
      <c r="B1958" s="3" t="s">
        <v>1118</v>
      </c>
      <c r="C1958" s="3" t="s">
        <v>19</v>
      </c>
      <c r="D1958" s="3" t="s">
        <v>1119</v>
      </c>
      <c r="E1958" s="3" t="s">
        <v>1140</v>
      </c>
      <c r="F1958" s="3">
        <v>4.0</v>
      </c>
      <c r="G1958" s="4">
        <v>-27.5277</v>
      </c>
      <c r="H1958" s="22">
        <v>-48.46501</v>
      </c>
      <c r="I1958" s="5">
        <v>6.0</v>
      </c>
      <c r="J1958" s="20" t="s">
        <v>1145</v>
      </c>
      <c r="K1958" s="5" t="s">
        <v>315</v>
      </c>
      <c r="L1958" s="3"/>
      <c r="M1958" s="5"/>
      <c r="N1958" s="5"/>
      <c r="O1958" s="5"/>
      <c r="P1958" s="3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</row>
    <row r="1959" ht="15.75" customHeight="1">
      <c r="A1959" s="3" t="s">
        <v>1117</v>
      </c>
      <c r="B1959" s="3" t="s">
        <v>1118</v>
      </c>
      <c r="C1959" s="3" t="s">
        <v>19</v>
      </c>
      <c r="D1959" s="3" t="s">
        <v>1119</v>
      </c>
      <c r="E1959" s="3" t="s">
        <v>1140</v>
      </c>
      <c r="F1959" s="3">
        <v>4.0</v>
      </c>
      <c r="G1959" s="4">
        <v>-27.5277</v>
      </c>
      <c r="H1959" s="22">
        <v>-48.46501</v>
      </c>
      <c r="I1959" s="5">
        <v>7.0</v>
      </c>
      <c r="J1959" s="5" t="s">
        <v>122</v>
      </c>
      <c r="K1959" s="5" t="s">
        <v>122</v>
      </c>
      <c r="L1959" s="3"/>
      <c r="M1959" s="5">
        <v>8.0</v>
      </c>
      <c r="N1959" s="5">
        <v>60.0</v>
      </c>
      <c r="O1959" s="5" t="s">
        <v>1146</v>
      </c>
      <c r="P1959" s="3" t="s">
        <v>90</v>
      </c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</row>
    <row r="1960" ht="15.75" customHeight="1">
      <c r="A1960" s="3" t="s">
        <v>1117</v>
      </c>
      <c r="B1960" s="3" t="s">
        <v>1118</v>
      </c>
      <c r="C1960" s="3" t="s">
        <v>19</v>
      </c>
      <c r="D1960" s="3" t="s">
        <v>1119</v>
      </c>
      <c r="E1960" s="3" t="s">
        <v>1140</v>
      </c>
      <c r="F1960" s="3">
        <v>4.0</v>
      </c>
      <c r="G1960" s="4">
        <v>-27.5277</v>
      </c>
      <c r="H1960" s="22">
        <v>-48.46501</v>
      </c>
      <c r="I1960" s="5">
        <v>8.0</v>
      </c>
      <c r="J1960" s="5" t="s">
        <v>28</v>
      </c>
      <c r="K1960" s="5" t="s">
        <v>28</v>
      </c>
      <c r="L1960" s="3"/>
      <c r="M1960" s="5">
        <v>4.0</v>
      </c>
      <c r="N1960" s="5">
        <v>20.0</v>
      </c>
      <c r="O1960" s="5"/>
      <c r="P1960" s="3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</row>
    <row r="1961" ht="15.75" customHeight="1">
      <c r="A1961" s="3" t="s">
        <v>1117</v>
      </c>
      <c r="B1961" s="3" t="s">
        <v>1118</v>
      </c>
      <c r="C1961" s="3" t="s">
        <v>19</v>
      </c>
      <c r="D1961" s="3" t="s">
        <v>1119</v>
      </c>
      <c r="E1961" s="3" t="s">
        <v>1140</v>
      </c>
      <c r="F1961" s="3">
        <v>4.0</v>
      </c>
      <c r="G1961" s="4">
        <v>-27.5277</v>
      </c>
      <c r="H1961" s="22">
        <v>-48.46501</v>
      </c>
      <c r="I1961" s="5">
        <v>9.0</v>
      </c>
      <c r="J1961" s="5" t="s">
        <v>273</v>
      </c>
      <c r="K1961" s="5" t="s">
        <v>273</v>
      </c>
      <c r="L1961" s="3"/>
      <c r="M1961" s="5">
        <v>5.0</v>
      </c>
      <c r="N1961" s="5">
        <v>17.0</v>
      </c>
      <c r="O1961" s="5"/>
      <c r="P1961" s="3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</row>
    <row r="1962" ht="15.75" customHeight="1">
      <c r="A1962" s="3" t="s">
        <v>1117</v>
      </c>
      <c r="B1962" s="3" t="s">
        <v>1118</v>
      </c>
      <c r="C1962" s="3" t="s">
        <v>19</v>
      </c>
      <c r="D1962" s="3" t="s">
        <v>1119</v>
      </c>
      <c r="E1962" s="3" t="s">
        <v>1140</v>
      </c>
      <c r="F1962" s="3">
        <v>4.0</v>
      </c>
      <c r="G1962" s="4">
        <v>-27.5277</v>
      </c>
      <c r="H1962" s="22">
        <v>-48.46501</v>
      </c>
      <c r="I1962" s="5">
        <v>10.0</v>
      </c>
      <c r="J1962" s="5" t="s">
        <v>98</v>
      </c>
      <c r="K1962" s="5" t="s">
        <v>98</v>
      </c>
      <c r="L1962" s="3"/>
      <c r="M1962" s="5">
        <v>6.0</v>
      </c>
      <c r="N1962" s="5">
        <v>24.0</v>
      </c>
      <c r="O1962" s="5"/>
      <c r="P1962" s="3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</row>
    <row r="1963" ht="15.75" customHeight="1">
      <c r="A1963" s="3" t="s">
        <v>1117</v>
      </c>
      <c r="B1963" s="3" t="s">
        <v>1118</v>
      </c>
      <c r="C1963" s="3" t="s">
        <v>19</v>
      </c>
      <c r="D1963" s="3" t="s">
        <v>1119</v>
      </c>
      <c r="E1963" s="3" t="s">
        <v>1140</v>
      </c>
      <c r="F1963" s="3">
        <v>4.0</v>
      </c>
      <c r="G1963" s="4">
        <v>-27.5277</v>
      </c>
      <c r="H1963" s="22">
        <v>-48.46501</v>
      </c>
      <c r="I1963" s="5">
        <v>11.0</v>
      </c>
      <c r="J1963" s="5" t="s">
        <v>565</v>
      </c>
      <c r="K1963" s="5" t="s">
        <v>565</v>
      </c>
      <c r="L1963" s="3"/>
      <c r="M1963" s="5">
        <v>6.0</v>
      </c>
      <c r="N1963" s="5">
        <v>20.0</v>
      </c>
      <c r="O1963" s="5"/>
      <c r="P1963" s="3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</row>
    <row r="1964" ht="15.75" customHeight="1">
      <c r="A1964" s="3" t="s">
        <v>1117</v>
      </c>
      <c r="B1964" s="3" t="s">
        <v>1118</v>
      </c>
      <c r="C1964" s="3" t="s">
        <v>19</v>
      </c>
      <c r="D1964" s="3" t="s">
        <v>1119</v>
      </c>
      <c r="E1964" s="3" t="s">
        <v>1140</v>
      </c>
      <c r="F1964" s="3">
        <v>4.0</v>
      </c>
      <c r="G1964" s="4">
        <v>-27.5277</v>
      </c>
      <c r="H1964" s="22">
        <v>-48.46501</v>
      </c>
      <c r="I1964" s="5">
        <v>12.0</v>
      </c>
      <c r="J1964" s="5" t="s">
        <v>1147</v>
      </c>
      <c r="K1964" s="5" t="s">
        <v>1147</v>
      </c>
      <c r="L1964" s="3"/>
      <c r="M1964" s="5">
        <v>8.0</v>
      </c>
      <c r="N1964" s="5">
        <v>22.0</v>
      </c>
      <c r="O1964" s="5" t="s">
        <v>1148</v>
      </c>
      <c r="P1964" s="3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</row>
    <row r="1965" ht="15.75" customHeight="1">
      <c r="A1965" s="3" t="s">
        <v>1117</v>
      </c>
      <c r="B1965" s="3" t="s">
        <v>1118</v>
      </c>
      <c r="C1965" s="3" t="s">
        <v>19</v>
      </c>
      <c r="D1965" s="3" t="s">
        <v>1119</v>
      </c>
      <c r="E1965" s="3" t="s">
        <v>1140</v>
      </c>
      <c r="F1965" s="3">
        <v>4.0</v>
      </c>
      <c r="G1965" s="4">
        <v>-27.5277</v>
      </c>
      <c r="H1965" s="22">
        <v>-48.46501</v>
      </c>
      <c r="I1965" s="5">
        <v>13.0</v>
      </c>
      <c r="J1965" s="5" t="s">
        <v>235</v>
      </c>
      <c r="K1965" s="5" t="s">
        <v>235</v>
      </c>
      <c r="L1965" s="3"/>
      <c r="M1965" s="5">
        <v>6.0</v>
      </c>
      <c r="N1965" s="5">
        <v>24.0</v>
      </c>
      <c r="O1965" s="5"/>
      <c r="P1965" s="3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</row>
    <row r="1966" ht="15.75" customHeight="1">
      <c r="A1966" s="3" t="s">
        <v>1117</v>
      </c>
      <c r="B1966" s="3" t="s">
        <v>1118</v>
      </c>
      <c r="C1966" s="3" t="s">
        <v>19</v>
      </c>
      <c r="D1966" s="3" t="s">
        <v>1119</v>
      </c>
      <c r="E1966" s="3" t="s">
        <v>1140</v>
      </c>
      <c r="F1966" s="3">
        <v>4.0</v>
      </c>
      <c r="G1966" s="4">
        <v>-27.5277</v>
      </c>
      <c r="H1966" s="22">
        <v>-48.46501</v>
      </c>
      <c r="I1966" s="5">
        <v>14.0</v>
      </c>
      <c r="J1966" s="5" t="s">
        <v>1149</v>
      </c>
      <c r="K1966" s="5" t="s">
        <v>401</v>
      </c>
      <c r="L1966" s="3"/>
      <c r="M1966" s="5">
        <v>10.0</v>
      </c>
      <c r="N1966" s="5">
        <v>75.0</v>
      </c>
      <c r="O1966" s="5" t="s">
        <v>1150</v>
      </c>
      <c r="P1966" s="3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</row>
    <row r="1967" ht="15.75" customHeight="1">
      <c r="A1967" s="3" t="s">
        <v>1117</v>
      </c>
      <c r="B1967" s="3" t="s">
        <v>1118</v>
      </c>
      <c r="C1967" s="3" t="s">
        <v>19</v>
      </c>
      <c r="D1967" s="3" t="s">
        <v>1119</v>
      </c>
      <c r="E1967" s="3" t="s">
        <v>1140</v>
      </c>
      <c r="F1967" s="3">
        <v>4.0</v>
      </c>
      <c r="G1967" s="4">
        <v>-27.5277</v>
      </c>
      <c r="H1967" s="22">
        <v>-48.46501</v>
      </c>
      <c r="I1967" s="5">
        <v>15.0</v>
      </c>
      <c r="J1967" s="5" t="s">
        <v>273</v>
      </c>
      <c r="K1967" s="5" t="s">
        <v>273</v>
      </c>
      <c r="L1967" s="3"/>
      <c r="M1967" s="5">
        <v>6.0</v>
      </c>
      <c r="N1967" s="5">
        <v>23.0</v>
      </c>
      <c r="O1967" s="5"/>
      <c r="P1967" s="3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</row>
    <row r="1968" ht="15.75" customHeight="1">
      <c r="A1968" s="3" t="s">
        <v>1117</v>
      </c>
      <c r="B1968" s="3" t="s">
        <v>1118</v>
      </c>
      <c r="C1968" s="3" t="s">
        <v>80</v>
      </c>
      <c r="D1968" s="5" t="s">
        <v>1151</v>
      </c>
      <c r="E1968" s="3" t="s">
        <v>1152</v>
      </c>
      <c r="F1968" s="3">
        <v>5.0</v>
      </c>
      <c r="G1968" s="4">
        <v>-27.53</v>
      </c>
      <c r="H1968" s="22">
        <v>-48.46284</v>
      </c>
      <c r="I1968" s="5">
        <v>1.0</v>
      </c>
      <c r="J1968" s="5" t="s">
        <v>28</v>
      </c>
      <c r="K1968" s="5" t="s">
        <v>28</v>
      </c>
      <c r="L1968" s="3"/>
      <c r="M1968" s="5">
        <v>10.0</v>
      </c>
      <c r="N1968" s="5" t="s">
        <v>1153</v>
      </c>
      <c r="O1968" s="5"/>
      <c r="P1968" s="3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</row>
    <row r="1969" ht="15.75" customHeight="1">
      <c r="A1969" s="3" t="s">
        <v>1117</v>
      </c>
      <c r="B1969" s="3" t="s">
        <v>1118</v>
      </c>
      <c r="C1969" s="3" t="s">
        <v>80</v>
      </c>
      <c r="D1969" s="5" t="s">
        <v>1151</v>
      </c>
      <c r="E1969" s="3" t="s">
        <v>1152</v>
      </c>
      <c r="F1969" s="3">
        <v>5.0</v>
      </c>
      <c r="G1969" s="4">
        <v>-27.53</v>
      </c>
      <c r="H1969" s="22">
        <v>-48.46284</v>
      </c>
      <c r="I1969" s="5">
        <v>2.0</v>
      </c>
      <c r="J1969" s="5" t="s">
        <v>28</v>
      </c>
      <c r="K1969" s="5" t="s">
        <v>28</v>
      </c>
      <c r="L1969" s="3"/>
      <c r="M1969" s="5">
        <v>8.0</v>
      </c>
      <c r="N1969" s="5">
        <v>28.5</v>
      </c>
      <c r="O1969" s="5"/>
      <c r="P1969" s="3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</row>
    <row r="1970" ht="15.75" customHeight="1">
      <c r="A1970" s="3" t="s">
        <v>1117</v>
      </c>
      <c r="B1970" s="3" t="s">
        <v>1118</v>
      </c>
      <c r="C1970" s="3" t="s">
        <v>80</v>
      </c>
      <c r="D1970" s="5" t="s">
        <v>1151</v>
      </c>
      <c r="E1970" s="3" t="s">
        <v>1152</v>
      </c>
      <c r="F1970" s="3">
        <v>5.0</v>
      </c>
      <c r="G1970" s="4">
        <v>-27.53</v>
      </c>
      <c r="H1970" s="22">
        <v>-48.46284</v>
      </c>
      <c r="I1970" s="5">
        <v>3.0</v>
      </c>
      <c r="J1970" s="5" t="s">
        <v>1154</v>
      </c>
      <c r="K1970" s="5" t="s">
        <v>105</v>
      </c>
      <c r="L1970" s="3"/>
      <c r="M1970" s="5">
        <v>4.0</v>
      </c>
      <c r="N1970" s="5">
        <v>27.0</v>
      </c>
      <c r="O1970" s="5" t="s">
        <v>1155</v>
      </c>
      <c r="P1970" s="3" t="s">
        <v>90</v>
      </c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</row>
    <row r="1971" ht="15.75" customHeight="1">
      <c r="A1971" s="3" t="s">
        <v>1117</v>
      </c>
      <c r="B1971" s="3" t="s">
        <v>1118</v>
      </c>
      <c r="C1971" s="3" t="s">
        <v>80</v>
      </c>
      <c r="D1971" s="5" t="s">
        <v>1151</v>
      </c>
      <c r="E1971" s="3" t="s">
        <v>1152</v>
      </c>
      <c r="F1971" s="3">
        <v>5.0</v>
      </c>
      <c r="G1971" s="4">
        <v>-27.53</v>
      </c>
      <c r="H1971" s="22">
        <v>-48.46284</v>
      </c>
      <c r="I1971" s="5">
        <v>4.0</v>
      </c>
      <c r="J1971" s="5" t="s">
        <v>27</v>
      </c>
      <c r="K1971" s="5" t="s">
        <v>27</v>
      </c>
      <c r="L1971" s="3"/>
      <c r="M1971" s="5">
        <v>11.0</v>
      </c>
      <c r="N1971" s="5">
        <v>104.0</v>
      </c>
      <c r="O1971" s="5"/>
      <c r="P1971" s="3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</row>
    <row r="1972" ht="15.75" customHeight="1">
      <c r="A1972" s="3" t="s">
        <v>1117</v>
      </c>
      <c r="B1972" s="3" t="s">
        <v>1118</v>
      </c>
      <c r="C1972" s="3" t="s">
        <v>80</v>
      </c>
      <c r="D1972" s="5" t="s">
        <v>1151</v>
      </c>
      <c r="E1972" s="3" t="s">
        <v>1152</v>
      </c>
      <c r="F1972" s="3">
        <v>5.0</v>
      </c>
      <c r="G1972" s="4">
        <v>-27.53</v>
      </c>
      <c r="H1972" s="22">
        <v>-48.46284</v>
      </c>
      <c r="I1972" s="5">
        <v>5.0</v>
      </c>
      <c r="J1972" s="5" t="s">
        <v>31</v>
      </c>
      <c r="K1972" s="5" t="s">
        <v>31</v>
      </c>
      <c r="L1972" s="3"/>
      <c r="M1972" s="5">
        <v>6.0</v>
      </c>
      <c r="N1972" s="5">
        <v>40.0</v>
      </c>
      <c r="O1972" s="5"/>
      <c r="P1972" s="3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</row>
    <row r="1973" ht="15.75" customHeight="1">
      <c r="A1973" s="3" t="s">
        <v>1117</v>
      </c>
      <c r="B1973" s="3" t="s">
        <v>1118</v>
      </c>
      <c r="C1973" s="3" t="s">
        <v>80</v>
      </c>
      <c r="D1973" s="5" t="s">
        <v>1151</v>
      </c>
      <c r="E1973" s="3" t="s">
        <v>1152</v>
      </c>
      <c r="F1973" s="3">
        <v>5.0</v>
      </c>
      <c r="G1973" s="4">
        <v>-27.53</v>
      </c>
      <c r="H1973" s="22">
        <v>-48.46284</v>
      </c>
      <c r="I1973" s="5">
        <v>6.0</v>
      </c>
      <c r="J1973" s="5" t="s">
        <v>31</v>
      </c>
      <c r="K1973" s="5" t="s">
        <v>31</v>
      </c>
      <c r="L1973" s="3"/>
      <c r="M1973" s="5">
        <v>6.0</v>
      </c>
      <c r="N1973" s="5">
        <v>45.0</v>
      </c>
      <c r="O1973" s="5"/>
      <c r="P1973" s="3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</row>
    <row r="1974" ht="15.75" customHeight="1">
      <c r="A1974" s="3" t="s">
        <v>1117</v>
      </c>
      <c r="B1974" s="3" t="s">
        <v>1118</v>
      </c>
      <c r="C1974" s="3" t="s">
        <v>80</v>
      </c>
      <c r="D1974" s="5" t="s">
        <v>1151</v>
      </c>
      <c r="E1974" s="3" t="s">
        <v>1152</v>
      </c>
      <c r="F1974" s="3">
        <v>5.0</v>
      </c>
      <c r="G1974" s="4">
        <v>-27.53</v>
      </c>
      <c r="H1974" s="22">
        <v>-48.46284</v>
      </c>
      <c r="I1974" s="5">
        <v>7.0</v>
      </c>
      <c r="J1974" s="5" t="s">
        <v>1156</v>
      </c>
      <c r="K1974" s="5" t="s">
        <v>202</v>
      </c>
      <c r="L1974" s="3"/>
      <c r="M1974" s="5">
        <v>5.0</v>
      </c>
      <c r="N1974" s="5">
        <v>29.0</v>
      </c>
      <c r="O1974" s="5"/>
      <c r="P1974" s="3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</row>
    <row r="1975" ht="15.75" customHeight="1">
      <c r="A1975" s="3" t="s">
        <v>1117</v>
      </c>
      <c r="B1975" s="3" t="s">
        <v>1118</v>
      </c>
      <c r="C1975" s="3" t="s">
        <v>80</v>
      </c>
      <c r="D1975" s="5" t="s">
        <v>1151</v>
      </c>
      <c r="E1975" s="3" t="s">
        <v>1152</v>
      </c>
      <c r="F1975" s="3">
        <v>5.0</v>
      </c>
      <c r="G1975" s="4">
        <v>-27.53</v>
      </c>
      <c r="H1975" s="22">
        <v>-48.46284</v>
      </c>
      <c r="I1975" s="5">
        <v>8.0</v>
      </c>
      <c r="J1975" s="5" t="s">
        <v>164</v>
      </c>
      <c r="K1975" s="5" t="s">
        <v>164</v>
      </c>
      <c r="L1975" s="3"/>
      <c r="M1975" s="5">
        <v>12.0</v>
      </c>
      <c r="N1975" s="5">
        <v>84.0</v>
      </c>
      <c r="O1975" s="5"/>
      <c r="P1975" s="3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</row>
    <row r="1976" ht="15.75" customHeight="1">
      <c r="A1976" s="3" t="s">
        <v>1117</v>
      </c>
      <c r="B1976" s="3" t="s">
        <v>1118</v>
      </c>
      <c r="C1976" s="3" t="s">
        <v>80</v>
      </c>
      <c r="D1976" s="5" t="s">
        <v>1151</v>
      </c>
      <c r="E1976" s="3" t="s">
        <v>1152</v>
      </c>
      <c r="F1976" s="3">
        <v>5.0</v>
      </c>
      <c r="G1976" s="4">
        <v>-27.53</v>
      </c>
      <c r="H1976" s="22">
        <v>-48.46284</v>
      </c>
      <c r="I1976" s="5">
        <v>9.0</v>
      </c>
      <c r="J1976" s="5" t="s">
        <v>1157</v>
      </c>
      <c r="K1976" s="5" t="s">
        <v>1157</v>
      </c>
      <c r="L1976" s="3"/>
      <c r="M1976" s="5">
        <v>7.0</v>
      </c>
      <c r="N1976" s="5">
        <v>33.0</v>
      </c>
      <c r="O1976" s="5"/>
      <c r="P1976" s="3" t="s">
        <v>90</v>
      </c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</row>
    <row r="1977" ht="15.75" customHeight="1">
      <c r="A1977" s="3" t="s">
        <v>1117</v>
      </c>
      <c r="B1977" s="3" t="s">
        <v>1118</v>
      </c>
      <c r="C1977" s="3" t="s">
        <v>80</v>
      </c>
      <c r="D1977" s="5" t="s">
        <v>1151</v>
      </c>
      <c r="E1977" s="3" t="s">
        <v>1152</v>
      </c>
      <c r="F1977" s="3">
        <v>5.0</v>
      </c>
      <c r="G1977" s="4">
        <v>-27.53</v>
      </c>
      <c r="H1977" s="22">
        <v>-48.46284</v>
      </c>
      <c r="I1977" s="5">
        <v>10.0</v>
      </c>
      <c r="J1977" s="5" t="s">
        <v>31</v>
      </c>
      <c r="K1977" s="5" t="s">
        <v>31</v>
      </c>
      <c r="L1977" s="3"/>
      <c r="M1977" s="5">
        <v>7.0</v>
      </c>
      <c r="N1977" s="5">
        <v>20.0</v>
      </c>
      <c r="O1977" s="5"/>
      <c r="P1977" s="3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</row>
    <row r="1978" ht="15.75" customHeight="1">
      <c r="A1978" s="3" t="s">
        <v>1117</v>
      </c>
      <c r="B1978" s="3" t="s">
        <v>1118</v>
      </c>
      <c r="C1978" s="3" t="s">
        <v>80</v>
      </c>
      <c r="D1978" s="5" t="s">
        <v>1151</v>
      </c>
      <c r="E1978" s="3" t="s">
        <v>1152</v>
      </c>
      <c r="F1978" s="3">
        <v>5.0</v>
      </c>
      <c r="G1978" s="4">
        <v>-27.53</v>
      </c>
      <c r="H1978" s="22">
        <v>-48.46284</v>
      </c>
      <c r="I1978" s="5">
        <v>11.0</v>
      </c>
      <c r="J1978" s="5" t="s">
        <v>167</v>
      </c>
      <c r="K1978" s="5" t="s">
        <v>167</v>
      </c>
      <c r="L1978" s="3"/>
      <c r="M1978" s="5">
        <v>8.0</v>
      </c>
      <c r="N1978" s="5">
        <v>18.0</v>
      </c>
      <c r="O1978" s="5"/>
      <c r="P1978" s="3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</row>
    <row r="1979" ht="15.75" customHeight="1">
      <c r="A1979" s="3" t="s">
        <v>1117</v>
      </c>
      <c r="B1979" s="3" t="s">
        <v>1118</v>
      </c>
      <c r="C1979" s="3" t="s">
        <v>80</v>
      </c>
      <c r="D1979" s="5" t="s">
        <v>1151</v>
      </c>
      <c r="E1979" s="3" t="s">
        <v>1152</v>
      </c>
      <c r="F1979" s="3">
        <v>5.0</v>
      </c>
      <c r="G1979" s="4">
        <v>-27.53</v>
      </c>
      <c r="H1979" s="22">
        <v>-48.46284</v>
      </c>
      <c r="I1979" s="5">
        <v>12.0</v>
      </c>
      <c r="J1979" s="5" t="s">
        <v>31</v>
      </c>
      <c r="K1979" s="5" t="s">
        <v>31</v>
      </c>
      <c r="L1979" s="3"/>
      <c r="M1979" s="5">
        <v>6.0</v>
      </c>
      <c r="N1979" s="5">
        <v>44.0</v>
      </c>
      <c r="O1979" s="5"/>
      <c r="P1979" s="3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</row>
    <row r="1980" ht="15.75" customHeight="1">
      <c r="A1980" s="3" t="s">
        <v>1117</v>
      </c>
      <c r="B1980" s="3" t="s">
        <v>1118</v>
      </c>
      <c r="C1980" s="3" t="s">
        <v>80</v>
      </c>
      <c r="D1980" s="5" t="s">
        <v>1151</v>
      </c>
      <c r="E1980" s="3" t="s">
        <v>1152</v>
      </c>
      <c r="F1980" s="3">
        <v>5.0</v>
      </c>
      <c r="G1980" s="4">
        <v>-27.53</v>
      </c>
      <c r="H1980" s="22">
        <v>-48.46284</v>
      </c>
      <c r="I1980" s="5">
        <v>13.0</v>
      </c>
      <c r="J1980" s="5" t="s">
        <v>31</v>
      </c>
      <c r="K1980" s="5" t="s">
        <v>31</v>
      </c>
      <c r="L1980" s="3"/>
      <c r="M1980" s="5">
        <v>6.0</v>
      </c>
      <c r="N1980" s="5">
        <v>31.0</v>
      </c>
      <c r="O1980" s="5"/>
      <c r="P1980" s="3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</row>
    <row r="1981" ht="15.75" customHeight="1">
      <c r="A1981" s="3" t="s">
        <v>1117</v>
      </c>
      <c r="B1981" s="3" t="s">
        <v>1118</v>
      </c>
      <c r="C1981" s="3" t="s">
        <v>80</v>
      </c>
      <c r="D1981" s="5" t="s">
        <v>1151</v>
      </c>
      <c r="E1981" s="3" t="s">
        <v>1152</v>
      </c>
      <c r="F1981" s="3">
        <v>5.0</v>
      </c>
      <c r="G1981" s="4">
        <v>-27.53</v>
      </c>
      <c r="H1981" s="22">
        <v>-48.46284</v>
      </c>
      <c r="I1981" s="5">
        <v>14.0</v>
      </c>
      <c r="J1981" s="5" t="s">
        <v>164</v>
      </c>
      <c r="K1981" s="5" t="s">
        <v>164</v>
      </c>
      <c r="L1981" s="3"/>
      <c r="M1981" s="5">
        <v>8.0</v>
      </c>
      <c r="N1981" s="5">
        <v>61.0</v>
      </c>
      <c r="O1981" s="5"/>
      <c r="P1981" s="3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</row>
    <row r="1982" ht="15.75" customHeight="1">
      <c r="A1982" s="3" t="s">
        <v>1117</v>
      </c>
      <c r="B1982" s="3" t="s">
        <v>1118</v>
      </c>
      <c r="C1982" s="3" t="s">
        <v>80</v>
      </c>
      <c r="D1982" s="5" t="s">
        <v>1151</v>
      </c>
      <c r="E1982" s="3" t="s">
        <v>1152</v>
      </c>
      <c r="F1982" s="3">
        <v>5.0</v>
      </c>
      <c r="G1982" s="4">
        <v>-27.53</v>
      </c>
      <c r="H1982" s="22">
        <v>-48.46284</v>
      </c>
      <c r="I1982" s="5">
        <v>15.0</v>
      </c>
      <c r="J1982" s="5" t="s">
        <v>1158</v>
      </c>
      <c r="K1982" s="5" t="s">
        <v>202</v>
      </c>
      <c r="L1982" s="3"/>
      <c r="M1982" s="5">
        <v>4.0</v>
      </c>
      <c r="N1982" s="5">
        <v>26.0</v>
      </c>
      <c r="O1982" s="5"/>
      <c r="P1982" s="3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</row>
    <row r="1983" ht="15.75" customHeight="1">
      <c r="A1983" s="3" t="s">
        <v>1117</v>
      </c>
      <c r="B1983" s="3" t="s">
        <v>1118</v>
      </c>
      <c r="C1983" s="3" t="s">
        <v>80</v>
      </c>
      <c r="D1983" s="5" t="s">
        <v>1151</v>
      </c>
      <c r="E1983" s="3" t="s">
        <v>1152</v>
      </c>
      <c r="F1983" s="3">
        <v>5.0</v>
      </c>
      <c r="G1983" s="4">
        <v>-27.53</v>
      </c>
      <c r="H1983" s="22">
        <v>-48.46284</v>
      </c>
      <c r="I1983" s="5">
        <v>16.0</v>
      </c>
      <c r="J1983" s="5" t="s">
        <v>1154</v>
      </c>
      <c r="K1983" s="5" t="s">
        <v>105</v>
      </c>
      <c r="L1983" s="3"/>
      <c r="M1983" s="5">
        <v>4.0</v>
      </c>
      <c r="N1983" s="5">
        <v>20.0</v>
      </c>
      <c r="O1983" s="5"/>
      <c r="P1983" s="3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</row>
    <row r="1984" ht="15.75" customHeight="1">
      <c r="A1984" s="3" t="s">
        <v>1117</v>
      </c>
      <c r="B1984" s="3" t="s">
        <v>1118</v>
      </c>
      <c r="C1984" s="3" t="s">
        <v>80</v>
      </c>
      <c r="D1984" s="5" t="s">
        <v>1151</v>
      </c>
      <c r="E1984" s="3" t="s">
        <v>1152</v>
      </c>
      <c r="F1984" s="3">
        <v>5.0</v>
      </c>
      <c r="G1984" s="4">
        <v>-27.53</v>
      </c>
      <c r="H1984" s="22">
        <v>-48.46284</v>
      </c>
      <c r="I1984" s="5">
        <v>17.0</v>
      </c>
      <c r="J1984" s="5" t="s">
        <v>164</v>
      </c>
      <c r="K1984" s="5" t="s">
        <v>164</v>
      </c>
      <c r="L1984" s="3"/>
      <c r="M1984" s="5">
        <v>7.0</v>
      </c>
      <c r="N1984" s="5">
        <v>20.0</v>
      </c>
      <c r="O1984" s="5"/>
      <c r="P1984" s="3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</row>
    <row r="1985" ht="15.75" customHeight="1">
      <c r="A1985" s="3" t="s">
        <v>1117</v>
      </c>
      <c r="B1985" s="3" t="s">
        <v>1118</v>
      </c>
      <c r="C1985" s="3" t="s">
        <v>80</v>
      </c>
      <c r="D1985" s="5" t="s">
        <v>1151</v>
      </c>
      <c r="E1985" s="3" t="s">
        <v>1152</v>
      </c>
      <c r="F1985" s="3">
        <v>5.0</v>
      </c>
      <c r="G1985" s="4">
        <v>-27.53</v>
      </c>
      <c r="H1985" s="22">
        <v>-48.46284</v>
      </c>
      <c r="I1985" s="5">
        <v>18.0</v>
      </c>
      <c r="J1985" s="5" t="s">
        <v>28</v>
      </c>
      <c r="K1985" s="5" t="s">
        <v>28</v>
      </c>
      <c r="L1985" s="3"/>
      <c r="M1985" s="5">
        <v>8.0</v>
      </c>
      <c r="N1985" s="5">
        <v>38.0</v>
      </c>
      <c r="O1985" s="5"/>
      <c r="P1985" s="3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</row>
    <row r="1986" ht="15.75" customHeight="1">
      <c r="A1986" s="3" t="s">
        <v>1117</v>
      </c>
      <c r="B1986" s="3" t="s">
        <v>1118</v>
      </c>
      <c r="C1986" s="3" t="s">
        <v>80</v>
      </c>
      <c r="D1986" s="5" t="s">
        <v>1151</v>
      </c>
      <c r="E1986" s="3" t="s">
        <v>1152</v>
      </c>
      <c r="F1986" s="3">
        <v>5.0</v>
      </c>
      <c r="G1986" s="4">
        <v>-27.53</v>
      </c>
      <c r="H1986" s="22">
        <v>-48.46284</v>
      </c>
      <c r="I1986" s="5">
        <v>19.0</v>
      </c>
      <c r="J1986" s="5" t="s">
        <v>1154</v>
      </c>
      <c r="K1986" s="5" t="s">
        <v>105</v>
      </c>
      <c r="L1986" s="3"/>
      <c r="M1986" s="5">
        <v>2.0</v>
      </c>
      <c r="N1986" s="5">
        <v>14.0</v>
      </c>
      <c r="O1986" s="5"/>
      <c r="P1986" s="3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</row>
    <row r="1987" ht="15.75" customHeight="1">
      <c r="A1987" s="3" t="s">
        <v>1117</v>
      </c>
      <c r="B1987" s="3" t="s">
        <v>1118</v>
      </c>
      <c r="C1987" s="3" t="s">
        <v>80</v>
      </c>
      <c r="D1987" s="5" t="s">
        <v>1151</v>
      </c>
      <c r="E1987" s="3" t="s">
        <v>1152</v>
      </c>
      <c r="F1987" s="3">
        <v>5.0</v>
      </c>
      <c r="G1987" s="4">
        <v>-27.53</v>
      </c>
      <c r="H1987" s="22">
        <v>-48.46284</v>
      </c>
      <c r="I1987" s="5">
        <v>20.0</v>
      </c>
      <c r="J1987" s="5" t="s">
        <v>56</v>
      </c>
      <c r="K1987" s="5" t="s">
        <v>56</v>
      </c>
      <c r="L1987" s="3"/>
      <c r="M1987" s="5">
        <v>6.0</v>
      </c>
      <c r="N1987" s="5">
        <v>26.0</v>
      </c>
      <c r="O1987" s="5"/>
      <c r="P1987" s="3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</row>
    <row r="1988" ht="15.75" customHeight="1">
      <c r="A1988" s="3" t="s">
        <v>1117</v>
      </c>
      <c r="B1988" s="3" t="s">
        <v>1118</v>
      </c>
      <c r="C1988" s="3" t="s">
        <v>80</v>
      </c>
      <c r="D1988" s="5" t="s">
        <v>1151</v>
      </c>
      <c r="E1988" s="3" t="s">
        <v>1152</v>
      </c>
      <c r="F1988" s="3">
        <v>5.0</v>
      </c>
      <c r="G1988" s="4">
        <v>-27.53</v>
      </c>
      <c r="H1988" s="22">
        <v>-48.46284</v>
      </c>
      <c r="I1988" s="5">
        <v>21.0</v>
      </c>
      <c r="J1988" s="5" t="s">
        <v>97</v>
      </c>
      <c r="K1988" s="5" t="s">
        <v>97</v>
      </c>
      <c r="L1988" s="3"/>
      <c r="M1988" s="5">
        <v>8.0</v>
      </c>
      <c r="N1988" s="5">
        <v>74.0</v>
      </c>
      <c r="O1988" s="5"/>
      <c r="P1988" s="3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</row>
    <row r="1989" ht="15.75" customHeight="1">
      <c r="A1989" s="3" t="s">
        <v>1117</v>
      </c>
      <c r="B1989" s="3" t="s">
        <v>1118</v>
      </c>
      <c r="C1989" s="3" t="s">
        <v>80</v>
      </c>
      <c r="D1989" s="5" t="s">
        <v>1151</v>
      </c>
      <c r="E1989" s="3" t="s">
        <v>1159</v>
      </c>
      <c r="F1989" s="3">
        <v>6.0</v>
      </c>
      <c r="G1989" s="4">
        <v>-27.53038</v>
      </c>
      <c r="H1989" s="22">
        <v>-48.46266</v>
      </c>
      <c r="I1989" s="5">
        <v>1.0</v>
      </c>
      <c r="J1989" s="5" t="s">
        <v>1154</v>
      </c>
      <c r="K1989" s="5" t="s">
        <v>105</v>
      </c>
      <c r="L1989" s="3"/>
      <c r="M1989" s="5">
        <v>6.0</v>
      </c>
      <c r="N1989" s="5">
        <v>24.0</v>
      </c>
      <c r="O1989" s="5"/>
      <c r="P1989" s="3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</row>
    <row r="1990" ht="15.75" customHeight="1">
      <c r="A1990" s="3" t="s">
        <v>1117</v>
      </c>
      <c r="B1990" s="3" t="s">
        <v>1118</v>
      </c>
      <c r="C1990" s="3" t="s">
        <v>80</v>
      </c>
      <c r="D1990" s="5" t="s">
        <v>1151</v>
      </c>
      <c r="E1990" s="3" t="s">
        <v>1159</v>
      </c>
      <c r="F1990" s="3">
        <v>6.0</v>
      </c>
      <c r="G1990" s="4">
        <v>-27.53038</v>
      </c>
      <c r="H1990" s="22">
        <v>-48.46266</v>
      </c>
      <c r="I1990" s="5">
        <v>2.0</v>
      </c>
      <c r="J1990" s="5" t="s">
        <v>167</v>
      </c>
      <c r="K1990" s="5" t="s">
        <v>167</v>
      </c>
      <c r="L1990" s="3"/>
      <c r="M1990" s="5">
        <v>5.0</v>
      </c>
      <c r="N1990" s="5" t="s">
        <v>1160</v>
      </c>
      <c r="O1990" s="5"/>
      <c r="P1990" s="3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</row>
    <row r="1991" ht="15.75" customHeight="1">
      <c r="A1991" s="3" t="s">
        <v>1117</v>
      </c>
      <c r="B1991" s="3" t="s">
        <v>1118</v>
      </c>
      <c r="C1991" s="3" t="s">
        <v>80</v>
      </c>
      <c r="D1991" s="5" t="s">
        <v>1151</v>
      </c>
      <c r="E1991" s="3" t="s">
        <v>1159</v>
      </c>
      <c r="F1991" s="3">
        <v>6.0</v>
      </c>
      <c r="G1991" s="4">
        <v>-27.53038</v>
      </c>
      <c r="H1991" s="22">
        <v>-48.46266</v>
      </c>
      <c r="I1991" s="5">
        <v>3.0</v>
      </c>
      <c r="J1991" s="5" t="s">
        <v>28</v>
      </c>
      <c r="K1991" s="5" t="s">
        <v>28</v>
      </c>
      <c r="L1991" s="3"/>
      <c r="M1991" s="5">
        <v>12.0</v>
      </c>
      <c r="N1991" s="5" t="s">
        <v>1161</v>
      </c>
      <c r="O1991" s="5" t="s">
        <v>1162</v>
      </c>
      <c r="P1991" s="3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</row>
    <row r="1992" ht="15.75" customHeight="1">
      <c r="A1992" s="3" t="s">
        <v>1117</v>
      </c>
      <c r="B1992" s="3" t="s">
        <v>1118</v>
      </c>
      <c r="C1992" s="3" t="s">
        <v>80</v>
      </c>
      <c r="D1992" s="5" t="s">
        <v>1151</v>
      </c>
      <c r="E1992" s="3" t="s">
        <v>1159</v>
      </c>
      <c r="F1992" s="3">
        <v>6.0</v>
      </c>
      <c r="G1992" s="4">
        <v>-27.53038</v>
      </c>
      <c r="H1992" s="22">
        <v>-48.46266</v>
      </c>
      <c r="I1992" s="5">
        <v>4.0</v>
      </c>
      <c r="J1992" s="5" t="s">
        <v>696</v>
      </c>
      <c r="K1992" s="5" t="s">
        <v>899</v>
      </c>
      <c r="L1992" s="3"/>
      <c r="M1992" s="5">
        <v>12.0</v>
      </c>
      <c r="N1992" s="5">
        <v>88.0</v>
      </c>
      <c r="O1992" s="5"/>
      <c r="P1992" s="3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</row>
    <row r="1993" ht="15.75" customHeight="1">
      <c r="A1993" s="3" t="s">
        <v>1117</v>
      </c>
      <c r="B1993" s="3" t="s">
        <v>1118</v>
      </c>
      <c r="C1993" s="3" t="s">
        <v>80</v>
      </c>
      <c r="D1993" s="5" t="s">
        <v>1151</v>
      </c>
      <c r="E1993" s="3" t="s">
        <v>1159</v>
      </c>
      <c r="F1993" s="3">
        <v>6.0</v>
      </c>
      <c r="G1993" s="4">
        <v>-27.53038</v>
      </c>
      <c r="H1993" s="22">
        <v>-48.46266</v>
      </c>
      <c r="I1993" s="5">
        <v>5.0</v>
      </c>
      <c r="J1993" s="5" t="s">
        <v>1154</v>
      </c>
      <c r="K1993" s="5" t="s">
        <v>105</v>
      </c>
      <c r="L1993" s="3"/>
      <c r="M1993" s="5">
        <v>6.0</v>
      </c>
      <c r="N1993" s="5">
        <v>28.0</v>
      </c>
      <c r="O1993" s="5"/>
      <c r="P1993" s="3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</row>
    <row r="1994" ht="15.75" customHeight="1">
      <c r="A1994" s="3" t="s">
        <v>1117</v>
      </c>
      <c r="B1994" s="3" t="s">
        <v>1118</v>
      </c>
      <c r="C1994" s="3" t="s">
        <v>80</v>
      </c>
      <c r="D1994" s="5" t="s">
        <v>1151</v>
      </c>
      <c r="E1994" s="3" t="s">
        <v>1159</v>
      </c>
      <c r="F1994" s="3">
        <v>6.0</v>
      </c>
      <c r="G1994" s="4">
        <v>-27.53038</v>
      </c>
      <c r="H1994" s="22">
        <v>-48.46266</v>
      </c>
      <c r="I1994" s="5">
        <v>6.0</v>
      </c>
      <c r="J1994" s="5" t="s">
        <v>117</v>
      </c>
      <c r="K1994" s="5" t="s">
        <v>117</v>
      </c>
      <c r="L1994" s="3"/>
      <c r="M1994" s="5">
        <v>5.0</v>
      </c>
      <c r="N1994" s="5">
        <v>22.0</v>
      </c>
      <c r="O1994" s="5"/>
      <c r="P1994" s="3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</row>
    <row r="1995" ht="15.75" customHeight="1">
      <c r="A1995" s="3" t="s">
        <v>1117</v>
      </c>
      <c r="B1995" s="3" t="s">
        <v>1118</v>
      </c>
      <c r="C1995" s="3" t="s">
        <v>80</v>
      </c>
      <c r="D1995" s="5" t="s">
        <v>1151</v>
      </c>
      <c r="E1995" s="3" t="s">
        <v>1159</v>
      </c>
      <c r="F1995" s="3">
        <v>6.0</v>
      </c>
      <c r="G1995" s="4">
        <v>-27.53038</v>
      </c>
      <c r="H1995" s="22">
        <v>-48.46266</v>
      </c>
      <c r="I1995" s="5">
        <v>7.0</v>
      </c>
      <c r="J1995" s="5" t="s">
        <v>1163</v>
      </c>
      <c r="K1995" s="5" t="s">
        <v>56</v>
      </c>
      <c r="L1995" s="3"/>
      <c r="M1995" s="5">
        <v>9.0</v>
      </c>
      <c r="N1995" s="5">
        <v>26.0</v>
      </c>
      <c r="O1995" s="5"/>
      <c r="P1995" s="3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</row>
    <row r="1996" ht="15.75" customHeight="1">
      <c r="A1996" s="3" t="s">
        <v>1117</v>
      </c>
      <c r="B1996" s="3" t="s">
        <v>1118</v>
      </c>
      <c r="C1996" s="3" t="s">
        <v>80</v>
      </c>
      <c r="D1996" s="5" t="s">
        <v>1151</v>
      </c>
      <c r="E1996" s="3" t="s">
        <v>1159</v>
      </c>
      <c r="F1996" s="3">
        <v>6.0</v>
      </c>
      <c r="G1996" s="4">
        <v>-27.53038</v>
      </c>
      <c r="H1996" s="22">
        <v>-48.46266</v>
      </c>
      <c r="I1996" s="5">
        <v>8.0</v>
      </c>
      <c r="J1996" s="5" t="s">
        <v>28</v>
      </c>
      <c r="K1996" s="5" t="s">
        <v>28</v>
      </c>
      <c r="L1996" s="3"/>
      <c r="M1996" s="5">
        <v>6.0</v>
      </c>
      <c r="N1996" s="5">
        <v>48.0</v>
      </c>
      <c r="O1996" s="5"/>
      <c r="P1996" s="3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</row>
    <row r="1997" ht="15.75" customHeight="1">
      <c r="A1997" s="3" t="s">
        <v>1117</v>
      </c>
      <c r="B1997" s="3" t="s">
        <v>1118</v>
      </c>
      <c r="C1997" s="3" t="s">
        <v>80</v>
      </c>
      <c r="D1997" s="5" t="s">
        <v>1151</v>
      </c>
      <c r="E1997" s="3" t="s">
        <v>1159</v>
      </c>
      <c r="F1997" s="3">
        <v>6.0</v>
      </c>
      <c r="G1997" s="4">
        <v>-27.53038</v>
      </c>
      <c r="H1997" s="22">
        <v>-48.46266</v>
      </c>
      <c r="I1997" s="5">
        <v>9.0</v>
      </c>
      <c r="J1997" s="5" t="s">
        <v>696</v>
      </c>
      <c r="K1997" s="5" t="s">
        <v>899</v>
      </c>
      <c r="L1997" s="3"/>
      <c r="M1997" s="5">
        <v>9.0</v>
      </c>
      <c r="N1997" s="5">
        <v>32.0</v>
      </c>
      <c r="O1997" s="5"/>
      <c r="P1997" s="3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</row>
    <row r="1998" ht="15.75" customHeight="1">
      <c r="A1998" s="3" t="s">
        <v>1117</v>
      </c>
      <c r="B1998" s="3" t="s">
        <v>1118</v>
      </c>
      <c r="C1998" s="3" t="s">
        <v>80</v>
      </c>
      <c r="D1998" s="5" t="s">
        <v>1151</v>
      </c>
      <c r="E1998" s="3" t="s">
        <v>1159</v>
      </c>
      <c r="F1998" s="3">
        <v>6.0</v>
      </c>
      <c r="G1998" s="4">
        <v>-27.53038</v>
      </c>
      <c r="H1998" s="22">
        <v>-48.46266</v>
      </c>
      <c r="I1998" s="5">
        <v>10.0</v>
      </c>
      <c r="J1998" s="5" t="s">
        <v>372</v>
      </c>
      <c r="K1998" s="5" t="s">
        <v>372</v>
      </c>
      <c r="L1998" s="3"/>
      <c r="M1998" s="5">
        <v>8.0</v>
      </c>
      <c r="N1998" s="5">
        <v>35.0</v>
      </c>
      <c r="O1998" s="5"/>
      <c r="P1998" s="3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</row>
    <row r="1999" ht="15.75" customHeight="1">
      <c r="A1999" s="3" t="s">
        <v>1117</v>
      </c>
      <c r="B1999" s="3" t="s">
        <v>1118</v>
      </c>
      <c r="C1999" s="3" t="s">
        <v>80</v>
      </c>
      <c r="D1999" s="5" t="s">
        <v>1151</v>
      </c>
      <c r="E1999" s="3" t="s">
        <v>1159</v>
      </c>
      <c r="F1999" s="3">
        <v>6.0</v>
      </c>
      <c r="G1999" s="4">
        <v>-27.53038</v>
      </c>
      <c r="H1999" s="22">
        <v>-48.46266</v>
      </c>
      <c r="I1999" s="5">
        <v>11.0</v>
      </c>
      <c r="J1999" s="5" t="s">
        <v>273</v>
      </c>
      <c r="K1999" s="5" t="s">
        <v>273</v>
      </c>
      <c r="L1999" s="3"/>
      <c r="M1999" s="5">
        <v>9.0</v>
      </c>
      <c r="N1999" s="5">
        <v>22.0</v>
      </c>
      <c r="O1999" s="5"/>
      <c r="P1999" s="3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</row>
    <row r="2000" ht="15.75" customHeight="1">
      <c r="A2000" s="3" t="s">
        <v>1117</v>
      </c>
      <c r="B2000" s="3" t="s">
        <v>1118</v>
      </c>
      <c r="C2000" s="3" t="s">
        <v>80</v>
      </c>
      <c r="D2000" s="5" t="s">
        <v>1151</v>
      </c>
      <c r="E2000" s="3" t="s">
        <v>1159</v>
      </c>
      <c r="F2000" s="3">
        <v>6.0</v>
      </c>
      <c r="G2000" s="4">
        <v>-27.53038</v>
      </c>
      <c r="H2000" s="22">
        <v>-48.46266</v>
      </c>
      <c r="I2000" s="5">
        <v>12.0</v>
      </c>
      <c r="J2000" s="5" t="s">
        <v>1154</v>
      </c>
      <c r="K2000" s="5" t="s">
        <v>105</v>
      </c>
      <c r="L2000" s="3"/>
      <c r="M2000" s="5">
        <v>8.0</v>
      </c>
      <c r="N2000" s="5" t="s">
        <v>1164</v>
      </c>
      <c r="O2000" s="5"/>
      <c r="P2000" s="3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</row>
    <row r="2001" ht="15.75" customHeight="1">
      <c r="A2001" s="3" t="s">
        <v>1117</v>
      </c>
      <c r="B2001" s="3" t="s">
        <v>1118</v>
      </c>
      <c r="C2001" s="3" t="s">
        <v>80</v>
      </c>
      <c r="D2001" s="5" t="s">
        <v>1151</v>
      </c>
      <c r="E2001" s="3" t="s">
        <v>1159</v>
      </c>
      <c r="F2001" s="3">
        <v>6.0</v>
      </c>
      <c r="G2001" s="4">
        <v>-27.53038</v>
      </c>
      <c r="H2001" s="22">
        <v>-48.46266</v>
      </c>
      <c r="I2001" s="5">
        <v>13.0</v>
      </c>
      <c r="J2001" s="5" t="s">
        <v>31</v>
      </c>
      <c r="K2001" s="5" t="s">
        <v>31</v>
      </c>
      <c r="L2001" s="3"/>
      <c r="M2001" s="5">
        <v>10.0</v>
      </c>
      <c r="N2001" s="5">
        <v>43.0</v>
      </c>
      <c r="O2001" s="5"/>
      <c r="P2001" s="3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</row>
    <row r="2002" ht="15.75" customHeight="1">
      <c r="A2002" s="3" t="s">
        <v>1117</v>
      </c>
      <c r="B2002" s="3" t="s">
        <v>1118</v>
      </c>
      <c r="C2002" s="3" t="s">
        <v>80</v>
      </c>
      <c r="D2002" s="5" t="s">
        <v>1151</v>
      </c>
      <c r="E2002" s="3" t="s">
        <v>1159</v>
      </c>
      <c r="F2002" s="3">
        <v>6.0</v>
      </c>
      <c r="G2002" s="4">
        <v>-27.53038</v>
      </c>
      <c r="H2002" s="22">
        <v>-48.46266</v>
      </c>
      <c r="I2002" s="5">
        <v>14.0</v>
      </c>
      <c r="J2002" s="5" t="s">
        <v>966</v>
      </c>
      <c r="K2002" s="5" t="s">
        <v>966</v>
      </c>
      <c r="L2002" s="3"/>
      <c r="M2002" s="5">
        <v>8.0</v>
      </c>
      <c r="N2002" s="5">
        <v>21.0</v>
      </c>
      <c r="O2002" s="5"/>
      <c r="P2002" s="3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</row>
    <row r="2003" ht="15.75" customHeight="1">
      <c r="A2003" s="3" t="s">
        <v>1117</v>
      </c>
      <c r="B2003" s="3" t="s">
        <v>1118</v>
      </c>
      <c r="C2003" s="3" t="s">
        <v>80</v>
      </c>
      <c r="D2003" s="5" t="s">
        <v>1151</v>
      </c>
      <c r="E2003" s="3" t="s">
        <v>1159</v>
      </c>
      <c r="F2003" s="3">
        <v>6.0</v>
      </c>
      <c r="G2003" s="4">
        <v>-27.53038</v>
      </c>
      <c r="H2003" s="22">
        <v>-48.46266</v>
      </c>
      <c r="I2003" s="5">
        <v>15.0</v>
      </c>
      <c r="J2003" s="5" t="s">
        <v>1156</v>
      </c>
      <c r="K2003" s="5" t="s">
        <v>202</v>
      </c>
      <c r="L2003" s="3"/>
      <c r="M2003" s="5">
        <v>9.0</v>
      </c>
      <c r="N2003" s="5" t="s">
        <v>1165</v>
      </c>
      <c r="O2003" s="5"/>
      <c r="P2003" s="3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</row>
    <row r="2004" ht="15.75" customHeight="1">
      <c r="A2004" s="3" t="s">
        <v>1117</v>
      </c>
      <c r="B2004" s="3" t="s">
        <v>1118</v>
      </c>
      <c r="C2004" s="3" t="s">
        <v>80</v>
      </c>
      <c r="D2004" s="5" t="s">
        <v>1151</v>
      </c>
      <c r="E2004" s="3" t="s">
        <v>1159</v>
      </c>
      <c r="F2004" s="3">
        <v>6.0</v>
      </c>
      <c r="G2004" s="4">
        <v>-27.53038</v>
      </c>
      <c r="H2004" s="22">
        <v>-48.46266</v>
      </c>
      <c r="I2004" s="5">
        <v>16.0</v>
      </c>
      <c r="J2004" s="5" t="s">
        <v>1166</v>
      </c>
      <c r="K2004" s="5" t="s">
        <v>1166</v>
      </c>
      <c r="L2004" s="3"/>
      <c r="M2004" s="5">
        <v>9.0</v>
      </c>
      <c r="N2004" s="5">
        <v>18.0</v>
      </c>
      <c r="O2004" s="5" t="s">
        <v>1167</v>
      </c>
      <c r="P2004" s="3" t="s">
        <v>90</v>
      </c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</row>
    <row r="2005" ht="15.75" customHeight="1">
      <c r="A2005" s="3" t="s">
        <v>1117</v>
      </c>
      <c r="B2005" s="3" t="s">
        <v>1118</v>
      </c>
      <c r="C2005" s="3" t="s">
        <v>80</v>
      </c>
      <c r="D2005" s="5" t="s">
        <v>1151</v>
      </c>
      <c r="E2005" s="3" t="s">
        <v>1159</v>
      </c>
      <c r="F2005" s="3">
        <v>6.0</v>
      </c>
      <c r="G2005" s="4">
        <v>-27.53038</v>
      </c>
      <c r="H2005" s="22">
        <v>-48.46266</v>
      </c>
      <c r="I2005" s="5">
        <v>17.0</v>
      </c>
      <c r="J2005" s="5" t="s">
        <v>117</v>
      </c>
      <c r="K2005" s="5" t="s">
        <v>117</v>
      </c>
      <c r="L2005" s="3"/>
      <c r="M2005" s="5">
        <v>6.0</v>
      </c>
      <c r="N2005" s="5">
        <v>22.0</v>
      </c>
      <c r="O2005" s="5"/>
      <c r="P2005" s="3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</row>
    <row r="2006" ht="15.75" customHeight="1">
      <c r="A2006" s="3" t="s">
        <v>1117</v>
      </c>
      <c r="B2006" s="3" t="s">
        <v>1118</v>
      </c>
      <c r="C2006" s="3" t="s">
        <v>80</v>
      </c>
      <c r="D2006" s="5" t="s">
        <v>1151</v>
      </c>
      <c r="E2006" s="3" t="s">
        <v>1159</v>
      </c>
      <c r="F2006" s="3">
        <v>6.0</v>
      </c>
      <c r="G2006" s="4">
        <v>-27.53038</v>
      </c>
      <c r="H2006" s="22">
        <v>-48.46266</v>
      </c>
      <c r="I2006" s="5">
        <v>18.0</v>
      </c>
      <c r="J2006" s="5" t="s">
        <v>696</v>
      </c>
      <c r="K2006" s="5" t="s">
        <v>899</v>
      </c>
      <c r="L2006" s="3"/>
      <c r="M2006" s="5">
        <v>6.0</v>
      </c>
      <c r="N2006" s="5">
        <v>23.0</v>
      </c>
      <c r="O2006" s="5"/>
      <c r="P2006" s="3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</row>
    <row r="2007" ht="15.75" customHeight="1">
      <c r="A2007" s="3" t="s">
        <v>1117</v>
      </c>
      <c r="B2007" s="3" t="s">
        <v>1118</v>
      </c>
      <c r="C2007" s="3" t="s">
        <v>80</v>
      </c>
      <c r="D2007" s="5" t="s">
        <v>1151</v>
      </c>
      <c r="E2007" s="3" t="s">
        <v>1159</v>
      </c>
      <c r="F2007" s="3">
        <v>6.0</v>
      </c>
      <c r="G2007" s="4">
        <v>-27.53038</v>
      </c>
      <c r="H2007" s="22">
        <v>-48.46266</v>
      </c>
      <c r="I2007" s="5">
        <v>19.0</v>
      </c>
      <c r="J2007" s="5" t="s">
        <v>696</v>
      </c>
      <c r="K2007" s="5" t="s">
        <v>899</v>
      </c>
      <c r="L2007" s="3"/>
      <c r="M2007" s="5">
        <v>12.0</v>
      </c>
      <c r="N2007" s="5">
        <v>53.0</v>
      </c>
      <c r="O2007" s="5"/>
      <c r="P2007" s="3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</row>
    <row r="2008" ht="15.75" customHeight="1">
      <c r="A2008" s="3" t="s">
        <v>1117</v>
      </c>
      <c r="B2008" s="3" t="s">
        <v>1118</v>
      </c>
      <c r="C2008" s="3" t="s">
        <v>80</v>
      </c>
      <c r="D2008" s="5" t="s">
        <v>1151</v>
      </c>
      <c r="E2008" s="3" t="s">
        <v>1159</v>
      </c>
      <c r="F2008" s="3">
        <v>6.0</v>
      </c>
      <c r="G2008" s="4">
        <v>-27.53038</v>
      </c>
      <c r="H2008" s="22">
        <v>-48.46266</v>
      </c>
      <c r="I2008" s="5">
        <v>20.0</v>
      </c>
      <c r="J2008" s="5" t="s">
        <v>696</v>
      </c>
      <c r="K2008" s="5" t="s">
        <v>899</v>
      </c>
      <c r="L2008" s="3"/>
      <c r="M2008" s="5">
        <v>12.0</v>
      </c>
      <c r="N2008" s="5">
        <v>84.0</v>
      </c>
      <c r="O2008" s="5" t="s">
        <v>1168</v>
      </c>
      <c r="P2008" s="3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</row>
    <row r="2009" ht="15.75" customHeight="1">
      <c r="A2009" s="3" t="s">
        <v>1117</v>
      </c>
      <c r="B2009" s="3" t="s">
        <v>1118</v>
      </c>
      <c r="C2009" s="3" t="s">
        <v>80</v>
      </c>
      <c r="D2009" s="5" t="s">
        <v>1151</v>
      </c>
      <c r="E2009" s="3" t="s">
        <v>1159</v>
      </c>
      <c r="F2009" s="3">
        <v>6.0</v>
      </c>
      <c r="G2009" s="4">
        <v>-27.53038</v>
      </c>
      <c r="H2009" s="22">
        <v>-48.46266</v>
      </c>
      <c r="I2009" s="5">
        <v>21.0</v>
      </c>
      <c r="J2009" s="5" t="s">
        <v>1156</v>
      </c>
      <c r="K2009" s="5" t="s">
        <v>202</v>
      </c>
      <c r="L2009" s="3"/>
      <c r="M2009" s="5">
        <v>6.0</v>
      </c>
      <c r="N2009" s="5">
        <v>21.0</v>
      </c>
      <c r="O2009" s="5"/>
      <c r="P2009" s="3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</row>
    <row r="2010" ht="15.75" customHeight="1">
      <c r="A2010" s="3" t="s">
        <v>1117</v>
      </c>
      <c r="B2010" s="3" t="s">
        <v>1118</v>
      </c>
      <c r="C2010" s="3" t="s">
        <v>80</v>
      </c>
      <c r="D2010" s="5" t="s">
        <v>1151</v>
      </c>
      <c r="E2010" s="3" t="s">
        <v>1159</v>
      </c>
      <c r="F2010" s="3">
        <v>6.0</v>
      </c>
      <c r="G2010" s="4">
        <v>-27.53038</v>
      </c>
      <c r="H2010" s="22">
        <v>-48.46266</v>
      </c>
      <c r="I2010" s="5">
        <v>22.0</v>
      </c>
      <c r="J2010" s="5" t="s">
        <v>1156</v>
      </c>
      <c r="K2010" s="5" t="s">
        <v>202</v>
      </c>
      <c r="L2010" s="3"/>
      <c r="M2010" s="5">
        <v>7.0</v>
      </c>
      <c r="N2010" s="5" t="s">
        <v>1169</v>
      </c>
      <c r="O2010" s="5"/>
      <c r="P2010" s="3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</row>
    <row r="2011" ht="15.75" customHeight="1">
      <c r="A2011" s="3" t="s">
        <v>1117</v>
      </c>
      <c r="B2011" s="3" t="s">
        <v>1118</v>
      </c>
      <c r="C2011" s="3" t="s">
        <v>80</v>
      </c>
      <c r="D2011" s="5" t="s">
        <v>1151</v>
      </c>
      <c r="E2011" s="3" t="s">
        <v>1159</v>
      </c>
      <c r="F2011" s="3">
        <v>6.0</v>
      </c>
      <c r="G2011" s="4">
        <v>-27.53038</v>
      </c>
      <c r="H2011" s="22">
        <v>-48.46266</v>
      </c>
      <c r="I2011" s="5">
        <v>23.0</v>
      </c>
      <c r="J2011" s="5" t="s">
        <v>1154</v>
      </c>
      <c r="K2011" s="5" t="s">
        <v>105</v>
      </c>
      <c r="L2011" s="3"/>
      <c r="M2011" s="5">
        <v>3.0</v>
      </c>
      <c r="N2011" s="5">
        <v>18.0</v>
      </c>
      <c r="O2011" s="5"/>
      <c r="P2011" s="3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</row>
    <row r="2012" ht="15.75" customHeight="1">
      <c r="A2012" s="3" t="s">
        <v>1117</v>
      </c>
      <c r="B2012" s="3" t="s">
        <v>1118</v>
      </c>
      <c r="C2012" s="3" t="s">
        <v>80</v>
      </c>
      <c r="D2012" s="5" t="s">
        <v>1151</v>
      </c>
      <c r="E2012" s="3" t="s">
        <v>1159</v>
      </c>
      <c r="F2012" s="3">
        <v>6.0</v>
      </c>
      <c r="G2012" s="4">
        <v>-27.53038</v>
      </c>
      <c r="H2012" s="22">
        <v>-48.46266</v>
      </c>
      <c r="I2012" s="5">
        <v>24.0</v>
      </c>
      <c r="J2012" s="5" t="s">
        <v>1129</v>
      </c>
      <c r="K2012" s="5" t="s">
        <v>1129</v>
      </c>
      <c r="L2012" s="3"/>
      <c r="M2012" s="5">
        <v>9.0</v>
      </c>
      <c r="N2012" s="5" t="s">
        <v>1170</v>
      </c>
      <c r="O2012" s="5" t="s">
        <v>1171</v>
      </c>
      <c r="P2012" s="3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</row>
    <row r="2013" ht="15.75" customHeight="1">
      <c r="A2013" s="3" t="s">
        <v>1117</v>
      </c>
      <c r="B2013" s="3" t="s">
        <v>1118</v>
      </c>
      <c r="C2013" s="3" t="s">
        <v>80</v>
      </c>
      <c r="D2013" s="5" t="s">
        <v>1151</v>
      </c>
      <c r="E2013" s="3" t="s">
        <v>1159</v>
      </c>
      <c r="F2013" s="3">
        <v>6.0</v>
      </c>
      <c r="G2013" s="4">
        <v>-27.53038</v>
      </c>
      <c r="H2013" s="22">
        <v>-48.46266</v>
      </c>
      <c r="I2013" s="5">
        <v>25.0</v>
      </c>
      <c r="J2013" s="5" t="s">
        <v>1156</v>
      </c>
      <c r="K2013" s="5" t="s">
        <v>202</v>
      </c>
      <c r="L2013" s="3"/>
      <c r="M2013" s="5">
        <v>8.0</v>
      </c>
      <c r="N2013" s="5">
        <v>32.0</v>
      </c>
      <c r="O2013" s="5"/>
      <c r="P2013" s="3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</row>
    <row r="2014" ht="15.75" customHeight="1">
      <c r="A2014" s="3" t="s">
        <v>1117</v>
      </c>
      <c r="B2014" s="5" t="s">
        <v>1118</v>
      </c>
      <c r="C2014" s="5" t="s">
        <v>80</v>
      </c>
      <c r="D2014" s="5" t="s">
        <v>1151</v>
      </c>
      <c r="E2014" s="3" t="s">
        <v>1172</v>
      </c>
      <c r="F2014" s="3">
        <v>7.0</v>
      </c>
      <c r="G2014" s="22">
        <v>-27.53084</v>
      </c>
      <c r="H2014" s="22">
        <v>-48.46257</v>
      </c>
      <c r="I2014" s="5">
        <v>1.0</v>
      </c>
      <c r="J2014" s="5" t="s">
        <v>154</v>
      </c>
      <c r="K2014" s="5" t="s">
        <v>154</v>
      </c>
      <c r="L2014" s="3"/>
      <c r="M2014" s="5">
        <v>13.0</v>
      </c>
      <c r="N2014" s="5">
        <v>85.0</v>
      </c>
      <c r="O2014" s="5"/>
      <c r="P2014" s="3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</row>
    <row r="2015" ht="15.75" customHeight="1">
      <c r="A2015" s="3" t="s">
        <v>1117</v>
      </c>
      <c r="B2015" s="5" t="s">
        <v>1118</v>
      </c>
      <c r="C2015" s="5" t="s">
        <v>80</v>
      </c>
      <c r="D2015" s="5" t="s">
        <v>1151</v>
      </c>
      <c r="E2015" s="3" t="s">
        <v>1172</v>
      </c>
      <c r="F2015" s="3">
        <v>7.0</v>
      </c>
      <c r="G2015" s="22">
        <v>-27.53084</v>
      </c>
      <c r="H2015" s="22">
        <v>-48.46257</v>
      </c>
      <c r="I2015" s="5">
        <v>2.0</v>
      </c>
      <c r="J2015" s="5" t="s">
        <v>27</v>
      </c>
      <c r="K2015" s="5" t="s">
        <v>27</v>
      </c>
      <c r="L2015" s="3"/>
      <c r="M2015" s="5">
        <v>6.0</v>
      </c>
      <c r="N2015" s="5">
        <v>22.0</v>
      </c>
      <c r="O2015" s="5"/>
      <c r="P2015" s="3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</row>
    <row r="2016" ht="15.75" customHeight="1">
      <c r="A2016" s="3" t="s">
        <v>1117</v>
      </c>
      <c r="B2016" s="5" t="s">
        <v>1118</v>
      </c>
      <c r="C2016" s="5" t="s">
        <v>80</v>
      </c>
      <c r="D2016" s="5" t="s">
        <v>1151</v>
      </c>
      <c r="E2016" s="3" t="s">
        <v>1172</v>
      </c>
      <c r="F2016" s="3">
        <v>7.0</v>
      </c>
      <c r="G2016" s="22">
        <v>-27.53084</v>
      </c>
      <c r="H2016" s="22">
        <v>-48.46257</v>
      </c>
      <c r="I2016" s="5">
        <v>3.0</v>
      </c>
      <c r="J2016" s="5" t="s">
        <v>1154</v>
      </c>
      <c r="K2016" s="5" t="s">
        <v>105</v>
      </c>
      <c r="L2016" s="3"/>
      <c r="M2016" s="5">
        <v>7.0</v>
      </c>
      <c r="N2016" s="5">
        <v>25.0</v>
      </c>
      <c r="O2016" s="5"/>
      <c r="P2016" s="3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</row>
    <row r="2017" ht="15.75" customHeight="1">
      <c r="A2017" s="3" t="s">
        <v>1117</v>
      </c>
      <c r="B2017" s="5" t="s">
        <v>1118</v>
      </c>
      <c r="C2017" s="5" t="s">
        <v>80</v>
      </c>
      <c r="D2017" s="5" t="s">
        <v>1151</v>
      </c>
      <c r="E2017" s="3" t="s">
        <v>1172</v>
      </c>
      <c r="F2017" s="3">
        <v>7.0</v>
      </c>
      <c r="G2017" s="22">
        <v>-27.53084</v>
      </c>
      <c r="H2017" s="22">
        <v>-48.46257</v>
      </c>
      <c r="I2017" s="5">
        <v>4.0</v>
      </c>
      <c r="J2017" s="5" t="s">
        <v>117</v>
      </c>
      <c r="K2017" s="5" t="s">
        <v>117</v>
      </c>
      <c r="L2017" s="3"/>
      <c r="M2017" s="5">
        <v>6.0</v>
      </c>
      <c r="N2017" s="5">
        <v>26.0</v>
      </c>
      <c r="O2017" s="5"/>
      <c r="P2017" s="3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</row>
    <row r="2018" ht="15.75" customHeight="1">
      <c r="A2018" s="3" t="s">
        <v>1117</v>
      </c>
      <c r="B2018" s="5" t="s">
        <v>1118</v>
      </c>
      <c r="C2018" s="5" t="s">
        <v>80</v>
      </c>
      <c r="D2018" s="5" t="s">
        <v>1151</v>
      </c>
      <c r="E2018" s="3" t="s">
        <v>1172</v>
      </c>
      <c r="F2018" s="3">
        <v>7.0</v>
      </c>
      <c r="G2018" s="22">
        <v>-27.53084</v>
      </c>
      <c r="H2018" s="22">
        <v>-48.46257</v>
      </c>
      <c r="I2018" s="5">
        <v>5.0</v>
      </c>
      <c r="J2018" s="5" t="s">
        <v>1154</v>
      </c>
      <c r="K2018" s="5" t="s">
        <v>105</v>
      </c>
      <c r="L2018" s="3"/>
      <c r="M2018" s="5">
        <v>5.0</v>
      </c>
      <c r="N2018" s="5">
        <v>27.0</v>
      </c>
      <c r="O2018" s="5"/>
      <c r="P2018" s="3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</row>
    <row r="2019" ht="15.75" customHeight="1">
      <c r="A2019" s="3" t="s">
        <v>1117</v>
      </c>
      <c r="B2019" s="5" t="s">
        <v>1118</v>
      </c>
      <c r="C2019" s="5" t="s">
        <v>80</v>
      </c>
      <c r="D2019" s="5" t="s">
        <v>1151</v>
      </c>
      <c r="E2019" s="3" t="s">
        <v>1172</v>
      </c>
      <c r="F2019" s="3">
        <v>7.0</v>
      </c>
      <c r="G2019" s="22">
        <v>-27.53084</v>
      </c>
      <c r="H2019" s="22">
        <v>-48.46257</v>
      </c>
      <c r="I2019" s="5">
        <v>6.0</v>
      </c>
      <c r="J2019" s="5" t="s">
        <v>1154</v>
      </c>
      <c r="K2019" s="5" t="s">
        <v>105</v>
      </c>
      <c r="L2019" s="3"/>
      <c r="M2019" s="5">
        <v>6.0</v>
      </c>
      <c r="N2019" s="5">
        <v>22.0</v>
      </c>
      <c r="O2019" s="5"/>
      <c r="P2019" s="3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</row>
    <row r="2020" ht="15.75" customHeight="1">
      <c r="A2020" s="3" t="s">
        <v>1117</v>
      </c>
      <c r="B2020" s="5" t="s">
        <v>1118</v>
      </c>
      <c r="C2020" s="5" t="s">
        <v>80</v>
      </c>
      <c r="D2020" s="5" t="s">
        <v>1151</v>
      </c>
      <c r="E2020" s="3" t="s">
        <v>1172</v>
      </c>
      <c r="F2020" s="3">
        <v>7.0</v>
      </c>
      <c r="G2020" s="22">
        <v>-27.53084</v>
      </c>
      <c r="H2020" s="22">
        <v>-48.46257</v>
      </c>
      <c r="I2020" s="5">
        <v>7.0</v>
      </c>
      <c r="J2020" s="5" t="s">
        <v>1129</v>
      </c>
      <c r="K2020" s="5" t="s">
        <v>1129</v>
      </c>
      <c r="L2020" s="3"/>
      <c r="M2020" s="5">
        <v>13.0</v>
      </c>
      <c r="N2020" s="5">
        <v>105.0</v>
      </c>
      <c r="O2020" s="5" t="s">
        <v>1173</v>
      </c>
      <c r="P2020" s="3" t="s">
        <v>90</v>
      </c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</row>
    <row r="2021" ht="15.75" customHeight="1">
      <c r="A2021" s="3" t="s">
        <v>1117</v>
      </c>
      <c r="B2021" s="5" t="s">
        <v>1118</v>
      </c>
      <c r="C2021" s="5" t="s">
        <v>80</v>
      </c>
      <c r="D2021" s="5" t="s">
        <v>1151</v>
      </c>
      <c r="E2021" s="3" t="s">
        <v>1172</v>
      </c>
      <c r="F2021" s="3">
        <v>7.0</v>
      </c>
      <c r="G2021" s="22">
        <v>-27.53084</v>
      </c>
      <c r="H2021" s="22">
        <v>-48.46257</v>
      </c>
      <c r="I2021" s="5">
        <v>8.0</v>
      </c>
      <c r="J2021" s="5" t="s">
        <v>86</v>
      </c>
      <c r="K2021" s="5" t="s">
        <v>86</v>
      </c>
      <c r="L2021" s="3"/>
      <c r="M2021" s="5">
        <v>12.0</v>
      </c>
      <c r="N2021" s="5">
        <v>85.0</v>
      </c>
      <c r="O2021" s="5"/>
      <c r="P2021" s="3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</row>
    <row r="2022" ht="15.75" customHeight="1">
      <c r="A2022" s="3" t="s">
        <v>1117</v>
      </c>
      <c r="B2022" s="5" t="s">
        <v>1118</v>
      </c>
      <c r="C2022" s="5" t="s">
        <v>80</v>
      </c>
      <c r="D2022" s="5" t="s">
        <v>1151</v>
      </c>
      <c r="E2022" s="3" t="s">
        <v>1172</v>
      </c>
      <c r="F2022" s="3">
        <v>7.0</v>
      </c>
      <c r="G2022" s="22">
        <v>-27.53084</v>
      </c>
      <c r="H2022" s="22">
        <v>-48.46257</v>
      </c>
      <c r="I2022" s="5">
        <v>9.0</v>
      </c>
      <c r="J2022" s="5" t="s">
        <v>192</v>
      </c>
      <c r="K2022" s="5" t="s">
        <v>192</v>
      </c>
      <c r="L2022" s="3"/>
      <c r="M2022" s="5">
        <v>4.0</v>
      </c>
      <c r="N2022" s="5">
        <v>23.0</v>
      </c>
      <c r="O2022" s="5"/>
      <c r="P2022" s="3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</row>
    <row r="2023" ht="15.75" customHeight="1">
      <c r="A2023" s="3" t="s">
        <v>1117</v>
      </c>
      <c r="B2023" s="5" t="s">
        <v>1118</v>
      </c>
      <c r="C2023" s="5" t="s">
        <v>80</v>
      </c>
      <c r="D2023" s="5" t="s">
        <v>1151</v>
      </c>
      <c r="E2023" s="3" t="s">
        <v>1172</v>
      </c>
      <c r="F2023" s="3">
        <v>7.0</v>
      </c>
      <c r="G2023" s="22">
        <v>-27.53084</v>
      </c>
      <c r="H2023" s="22">
        <v>-48.46257</v>
      </c>
      <c r="I2023" s="5">
        <v>10.0</v>
      </c>
      <c r="J2023" s="5" t="s">
        <v>1154</v>
      </c>
      <c r="K2023" s="5" t="s">
        <v>105</v>
      </c>
      <c r="L2023" s="3"/>
      <c r="M2023" s="5">
        <v>4.0</v>
      </c>
      <c r="N2023" s="5" t="s">
        <v>1174</v>
      </c>
      <c r="O2023" s="5"/>
      <c r="P2023" s="3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</row>
    <row r="2024" ht="15.75" customHeight="1">
      <c r="A2024" s="3" t="s">
        <v>1117</v>
      </c>
      <c r="B2024" s="5" t="s">
        <v>1118</v>
      </c>
      <c r="C2024" s="5" t="s">
        <v>80</v>
      </c>
      <c r="D2024" s="5" t="s">
        <v>1151</v>
      </c>
      <c r="E2024" s="3" t="s">
        <v>1172</v>
      </c>
      <c r="F2024" s="3">
        <v>7.0</v>
      </c>
      <c r="G2024" s="22">
        <v>-27.53084</v>
      </c>
      <c r="H2024" s="22">
        <v>-48.46257</v>
      </c>
      <c r="I2024" s="5">
        <v>11.0</v>
      </c>
      <c r="J2024" s="5" t="s">
        <v>1154</v>
      </c>
      <c r="K2024" s="5" t="s">
        <v>105</v>
      </c>
      <c r="L2024" s="3"/>
      <c r="M2024" s="5">
        <v>5.0</v>
      </c>
      <c r="N2024" s="5">
        <v>18.0</v>
      </c>
      <c r="O2024" s="5"/>
      <c r="P2024" s="3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</row>
    <row r="2025" ht="15.75" customHeight="1">
      <c r="A2025" s="3" t="s">
        <v>1117</v>
      </c>
      <c r="B2025" s="5" t="s">
        <v>1118</v>
      </c>
      <c r="C2025" s="5" t="s">
        <v>80</v>
      </c>
      <c r="D2025" s="5" t="s">
        <v>1151</v>
      </c>
      <c r="E2025" s="3" t="s">
        <v>1172</v>
      </c>
      <c r="F2025" s="3">
        <v>7.0</v>
      </c>
      <c r="G2025" s="22">
        <v>-27.53084</v>
      </c>
      <c r="H2025" s="22">
        <v>-48.46257</v>
      </c>
      <c r="I2025" s="5">
        <v>12.0</v>
      </c>
      <c r="J2025" s="5" t="s">
        <v>1154</v>
      </c>
      <c r="K2025" s="5" t="s">
        <v>105</v>
      </c>
      <c r="L2025" s="3"/>
      <c r="M2025" s="5">
        <v>3.0</v>
      </c>
      <c r="N2025" s="5">
        <v>23.0</v>
      </c>
      <c r="O2025" s="5"/>
      <c r="P2025" s="3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</row>
    <row r="2026" ht="15.75" customHeight="1">
      <c r="A2026" s="3" t="s">
        <v>1117</v>
      </c>
      <c r="B2026" s="5" t="s">
        <v>1118</v>
      </c>
      <c r="C2026" s="5" t="s">
        <v>80</v>
      </c>
      <c r="D2026" s="5" t="s">
        <v>1151</v>
      </c>
      <c r="E2026" s="3" t="s">
        <v>1172</v>
      </c>
      <c r="F2026" s="3">
        <v>7.0</v>
      </c>
      <c r="G2026" s="22">
        <v>-27.53084</v>
      </c>
      <c r="H2026" s="22">
        <v>-48.46257</v>
      </c>
      <c r="I2026" s="5">
        <v>13.0</v>
      </c>
      <c r="J2026" s="5" t="s">
        <v>1154</v>
      </c>
      <c r="K2026" s="5" t="s">
        <v>105</v>
      </c>
      <c r="L2026" s="3"/>
      <c r="M2026" s="5">
        <v>5.0</v>
      </c>
      <c r="N2026" s="5">
        <v>31.0</v>
      </c>
      <c r="O2026" s="5"/>
      <c r="P2026" s="3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</row>
    <row r="2027" ht="15.75" customHeight="1">
      <c r="A2027" s="3" t="s">
        <v>1117</v>
      </c>
      <c r="B2027" s="5" t="s">
        <v>1118</v>
      </c>
      <c r="C2027" s="5" t="s">
        <v>80</v>
      </c>
      <c r="D2027" s="5" t="s">
        <v>1151</v>
      </c>
      <c r="E2027" s="3" t="s">
        <v>1172</v>
      </c>
      <c r="F2027" s="3">
        <v>7.0</v>
      </c>
      <c r="G2027" s="22">
        <v>-27.53084</v>
      </c>
      <c r="H2027" s="22">
        <v>-48.46257</v>
      </c>
      <c r="I2027" s="5">
        <v>14.0</v>
      </c>
      <c r="J2027" s="5" t="s">
        <v>899</v>
      </c>
      <c r="K2027" s="5" t="s">
        <v>899</v>
      </c>
      <c r="L2027" s="3"/>
      <c r="M2027" s="5">
        <v>9.0</v>
      </c>
      <c r="N2027" s="5">
        <v>69.0</v>
      </c>
      <c r="O2027" s="5"/>
      <c r="P2027" s="3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</row>
    <row r="2028" ht="15.75" customHeight="1">
      <c r="A2028" s="3" t="s">
        <v>1117</v>
      </c>
      <c r="B2028" s="5" t="s">
        <v>1118</v>
      </c>
      <c r="C2028" s="5" t="s">
        <v>80</v>
      </c>
      <c r="D2028" s="5" t="s">
        <v>1151</v>
      </c>
      <c r="E2028" s="3" t="s">
        <v>1172</v>
      </c>
      <c r="F2028" s="3">
        <v>7.0</v>
      </c>
      <c r="G2028" s="22">
        <v>-27.53084</v>
      </c>
      <c r="H2028" s="22">
        <v>-48.46257</v>
      </c>
      <c r="I2028" s="5">
        <v>15.0</v>
      </c>
      <c r="J2028" s="5" t="s">
        <v>1154</v>
      </c>
      <c r="K2028" s="5" t="s">
        <v>105</v>
      </c>
      <c r="L2028" s="3"/>
      <c r="M2028" s="5">
        <v>6.0</v>
      </c>
      <c r="N2028" s="5">
        <v>23.0</v>
      </c>
      <c r="O2028" s="5"/>
      <c r="P2028" s="3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</row>
    <row r="2029" ht="15.75" customHeight="1">
      <c r="A2029" s="3" t="s">
        <v>1117</v>
      </c>
      <c r="B2029" s="5" t="s">
        <v>1118</v>
      </c>
      <c r="C2029" s="5" t="s">
        <v>80</v>
      </c>
      <c r="D2029" s="5" t="s">
        <v>1151</v>
      </c>
      <c r="E2029" s="3" t="s">
        <v>1172</v>
      </c>
      <c r="F2029" s="3">
        <v>7.0</v>
      </c>
      <c r="G2029" s="22">
        <v>-27.53084</v>
      </c>
      <c r="H2029" s="22">
        <v>-48.46257</v>
      </c>
      <c r="I2029" s="5">
        <v>16.0</v>
      </c>
      <c r="J2029" s="5" t="s">
        <v>1154</v>
      </c>
      <c r="K2029" s="5" t="s">
        <v>105</v>
      </c>
      <c r="L2029" s="3"/>
      <c r="M2029" s="5">
        <v>5.0</v>
      </c>
      <c r="N2029" s="5" t="s">
        <v>1175</v>
      </c>
      <c r="O2029" s="5"/>
      <c r="P2029" s="3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</row>
    <row r="2030" ht="15.75" customHeight="1">
      <c r="A2030" s="3" t="s">
        <v>1117</v>
      </c>
      <c r="B2030" s="5" t="s">
        <v>1118</v>
      </c>
      <c r="C2030" s="5" t="s">
        <v>80</v>
      </c>
      <c r="D2030" s="5" t="s">
        <v>1151</v>
      </c>
      <c r="E2030" s="3" t="s">
        <v>1172</v>
      </c>
      <c r="F2030" s="3">
        <v>7.0</v>
      </c>
      <c r="G2030" s="22">
        <v>-27.53084</v>
      </c>
      <c r="H2030" s="22">
        <v>-48.46257</v>
      </c>
      <c r="I2030" s="5">
        <v>17.0</v>
      </c>
      <c r="J2030" s="5" t="s">
        <v>1154</v>
      </c>
      <c r="K2030" s="5" t="s">
        <v>105</v>
      </c>
      <c r="L2030" s="3"/>
      <c r="M2030" s="5">
        <v>5.0</v>
      </c>
      <c r="N2030" s="5">
        <v>17.0</v>
      </c>
      <c r="O2030" s="5" t="s">
        <v>1176</v>
      </c>
      <c r="P2030" s="3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</row>
    <row r="2031" ht="15.75" customHeight="1">
      <c r="A2031" s="3" t="s">
        <v>1117</v>
      </c>
      <c r="B2031" s="5" t="s">
        <v>1118</v>
      </c>
      <c r="C2031" s="5" t="s">
        <v>80</v>
      </c>
      <c r="D2031" s="5" t="s">
        <v>1151</v>
      </c>
      <c r="E2031" s="3" t="s">
        <v>1172</v>
      </c>
      <c r="F2031" s="3">
        <v>7.0</v>
      </c>
      <c r="G2031" s="22">
        <v>-27.53084</v>
      </c>
      <c r="H2031" s="22">
        <v>-48.46257</v>
      </c>
      <c r="I2031" s="5">
        <v>18.0</v>
      </c>
      <c r="J2031" s="5" t="s">
        <v>361</v>
      </c>
      <c r="K2031" s="5" t="s">
        <v>335</v>
      </c>
      <c r="L2031" s="3"/>
      <c r="M2031" s="5">
        <v>6.0</v>
      </c>
      <c r="N2031" s="5">
        <v>24.0</v>
      </c>
      <c r="O2031" s="5"/>
      <c r="P2031" s="3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</row>
    <row r="2032" ht="15.75" customHeight="1">
      <c r="A2032" s="3" t="s">
        <v>1117</v>
      </c>
      <c r="B2032" s="5" t="s">
        <v>1118</v>
      </c>
      <c r="C2032" s="5" t="s">
        <v>80</v>
      </c>
      <c r="D2032" s="5" t="s">
        <v>1151</v>
      </c>
      <c r="E2032" s="3" t="s">
        <v>1172</v>
      </c>
      <c r="F2032" s="3">
        <v>7.0</v>
      </c>
      <c r="G2032" s="22">
        <v>-27.53084</v>
      </c>
      <c r="H2032" s="22">
        <v>-48.46257</v>
      </c>
      <c r="I2032" s="5">
        <v>19.0</v>
      </c>
      <c r="J2032" s="5" t="s">
        <v>1154</v>
      </c>
      <c r="K2032" s="5" t="s">
        <v>105</v>
      </c>
      <c r="L2032" s="3"/>
      <c r="M2032" s="5">
        <v>7.0</v>
      </c>
      <c r="N2032" s="5">
        <v>29.0</v>
      </c>
      <c r="O2032" s="5"/>
      <c r="P2032" s="3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</row>
    <row r="2033" ht="15.75" customHeight="1">
      <c r="A2033" s="3" t="s">
        <v>1117</v>
      </c>
      <c r="B2033" s="5" t="s">
        <v>1118</v>
      </c>
      <c r="C2033" s="5" t="s">
        <v>80</v>
      </c>
      <c r="D2033" s="5" t="s">
        <v>1151</v>
      </c>
      <c r="E2033" s="3" t="s">
        <v>1172</v>
      </c>
      <c r="F2033" s="3">
        <v>7.0</v>
      </c>
      <c r="G2033" s="22">
        <v>-27.53084</v>
      </c>
      <c r="H2033" s="22">
        <v>-48.46257</v>
      </c>
      <c r="I2033" s="5">
        <v>20.0</v>
      </c>
      <c r="J2033" s="5" t="s">
        <v>1154</v>
      </c>
      <c r="K2033" s="5" t="s">
        <v>105</v>
      </c>
      <c r="L2033" s="3"/>
      <c r="M2033" s="5">
        <v>6.0</v>
      </c>
      <c r="N2033" s="5">
        <v>21.0</v>
      </c>
      <c r="O2033" s="5"/>
      <c r="P2033" s="3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</row>
    <row r="2034" ht="15.75" customHeight="1">
      <c r="A2034" s="3" t="s">
        <v>1117</v>
      </c>
      <c r="B2034" s="5" t="s">
        <v>1118</v>
      </c>
      <c r="C2034" s="5" t="s">
        <v>80</v>
      </c>
      <c r="D2034" s="5" t="s">
        <v>1151</v>
      </c>
      <c r="E2034" s="3" t="s">
        <v>1172</v>
      </c>
      <c r="F2034" s="3">
        <v>7.0</v>
      </c>
      <c r="G2034" s="22">
        <v>-27.53084</v>
      </c>
      <c r="H2034" s="22">
        <v>-48.46257</v>
      </c>
      <c r="I2034" s="5">
        <v>21.0</v>
      </c>
      <c r="J2034" s="5" t="s">
        <v>108</v>
      </c>
      <c r="K2034" s="5" t="s">
        <v>108</v>
      </c>
      <c r="L2034" s="3"/>
      <c r="M2034" s="5">
        <v>11.0</v>
      </c>
      <c r="N2034" s="5">
        <v>71.0</v>
      </c>
      <c r="O2034" s="5"/>
      <c r="P2034" s="3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</row>
    <row r="2035" ht="15.75" customHeight="1">
      <c r="A2035" s="3" t="s">
        <v>1117</v>
      </c>
      <c r="B2035" s="5" t="s">
        <v>1118</v>
      </c>
      <c r="C2035" s="5" t="s">
        <v>80</v>
      </c>
      <c r="D2035" s="5" t="s">
        <v>1151</v>
      </c>
      <c r="E2035" s="3" t="s">
        <v>1172</v>
      </c>
      <c r="F2035" s="3">
        <v>7.0</v>
      </c>
      <c r="G2035" s="22">
        <v>-27.53084</v>
      </c>
      <c r="H2035" s="22">
        <v>-48.46257</v>
      </c>
      <c r="I2035" s="5">
        <v>22.0</v>
      </c>
      <c r="J2035" s="5" t="s">
        <v>1154</v>
      </c>
      <c r="K2035" s="5" t="s">
        <v>105</v>
      </c>
      <c r="L2035" s="3"/>
      <c r="M2035" s="5">
        <v>7.0</v>
      </c>
      <c r="N2035" s="5" t="s">
        <v>1177</v>
      </c>
      <c r="O2035" s="5"/>
      <c r="P2035" s="3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</row>
    <row r="2036" ht="15.75" customHeight="1">
      <c r="A2036" s="3" t="s">
        <v>1117</v>
      </c>
      <c r="B2036" s="5" t="s">
        <v>1118</v>
      </c>
      <c r="C2036" s="5" t="s">
        <v>80</v>
      </c>
      <c r="D2036" s="5" t="s">
        <v>1151</v>
      </c>
      <c r="E2036" s="3" t="s">
        <v>1172</v>
      </c>
      <c r="F2036" s="3">
        <v>7.0</v>
      </c>
      <c r="G2036" s="22">
        <v>-27.53084</v>
      </c>
      <c r="H2036" s="22">
        <v>-48.46257</v>
      </c>
      <c r="I2036" s="5">
        <v>23.0</v>
      </c>
      <c r="J2036" s="5" t="s">
        <v>1154</v>
      </c>
      <c r="K2036" s="5" t="s">
        <v>105</v>
      </c>
      <c r="L2036" s="3"/>
      <c r="M2036" s="5">
        <v>6.0</v>
      </c>
      <c r="N2036" s="5" t="s">
        <v>1085</v>
      </c>
      <c r="O2036" s="5"/>
      <c r="P2036" s="3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</row>
    <row r="2037" ht="15.75" customHeight="1">
      <c r="A2037" s="3" t="s">
        <v>1117</v>
      </c>
      <c r="B2037" s="5" t="s">
        <v>1118</v>
      </c>
      <c r="C2037" s="5" t="s">
        <v>80</v>
      </c>
      <c r="D2037" s="5" t="s">
        <v>1151</v>
      </c>
      <c r="E2037" s="3" t="s">
        <v>1172</v>
      </c>
      <c r="F2037" s="3">
        <v>7.0</v>
      </c>
      <c r="G2037" s="22">
        <v>-27.53084</v>
      </c>
      <c r="H2037" s="22">
        <v>-48.46257</v>
      </c>
      <c r="I2037" s="5">
        <v>24.0</v>
      </c>
      <c r="J2037" s="5" t="s">
        <v>1154</v>
      </c>
      <c r="K2037" s="5" t="s">
        <v>105</v>
      </c>
      <c r="L2037" s="3"/>
      <c r="M2037" s="5">
        <v>4.0</v>
      </c>
      <c r="N2037" s="5">
        <v>21.0</v>
      </c>
      <c r="O2037" s="5"/>
      <c r="P2037" s="3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</row>
    <row r="2038" ht="15.75" customHeight="1">
      <c r="A2038" s="3" t="s">
        <v>1117</v>
      </c>
      <c r="B2038" s="5" t="s">
        <v>1118</v>
      </c>
      <c r="C2038" s="5" t="s">
        <v>80</v>
      </c>
      <c r="D2038" s="5" t="s">
        <v>1151</v>
      </c>
      <c r="E2038" s="3" t="s">
        <v>1172</v>
      </c>
      <c r="F2038" s="3">
        <v>7.0</v>
      </c>
      <c r="G2038" s="22">
        <v>-27.53084</v>
      </c>
      <c r="H2038" s="22">
        <v>-48.46257</v>
      </c>
      <c r="I2038" s="5">
        <v>25.0</v>
      </c>
      <c r="J2038" s="5" t="s">
        <v>1154</v>
      </c>
      <c r="K2038" s="5" t="s">
        <v>105</v>
      </c>
      <c r="L2038" s="3"/>
      <c r="M2038" s="5">
        <v>3.0</v>
      </c>
      <c r="N2038" s="5">
        <v>19.0</v>
      </c>
      <c r="O2038" s="5"/>
      <c r="P2038" s="3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</row>
    <row r="2039" ht="15.75" customHeight="1">
      <c r="A2039" s="3" t="s">
        <v>1117</v>
      </c>
      <c r="B2039" s="5" t="s">
        <v>1118</v>
      </c>
      <c r="C2039" s="5" t="s">
        <v>80</v>
      </c>
      <c r="D2039" s="5" t="s">
        <v>1151</v>
      </c>
      <c r="E2039" s="3" t="s">
        <v>1172</v>
      </c>
      <c r="F2039" s="3">
        <v>7.0</v>
      </c>
      <c r="G2039" s="22">
        <v>-27.53084</v>
      </c>
      <c r="H2039" s="22">
        <v>-48.46257</v>
      </c>
      <c r="I2039" s="5">
        <v>26.0</v>
      </c>
      <c r="J2039" s="5" t="s">
        <v>1154</v>
      </c>
      <c r="K2039" s="5" t="s">
        <v>105</v>
      </c>
      <c r="L2039" s="3"/>
      <c r="M2039" s="5">
        <v>4.0</v>
      </c>
      <c r="N2039" s="5">
        <v>18.0</v>
      </c>
      <c r="O2039" s="5"/>
      <c r="P2039" s="3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</row>
    <row r="2040" ht="15.75" customHeight="1">
      <c r="A2040" s="3" t="s">
        <v>1117</v>
      </c>
      <c r="B2040" s="5" t="s">
        <v>1118</v>
      </c>
      <c r="C2040" s="5" t="s">
        <v>80</v>
      </c>
      <c r="D2040" s="5" t="s">
        <v>1151</v>
      </c>
      <c r="E2040" s="3" t="s">
        <v>1178</v>
      </c>
      <c r="F2040" s="3">
        <v>8.0</v>
      </c>
      <c r="G2040" s="4">
        <v>-27.53097</v>
      </c>
      <c r="H2040" s="22">
        <v>-48.46219</v>
      </c>
      <c r="I2040" s="5">
        <v>1.0</v>
      </c>
      <c r="J2040" s="5" t="s">
        <v>24</v>
      </c>
      <c r="K2040" s="5" t="s">
        <v>24</v>
      </c>
      <c r="L2040" s="3"/>
      <c r="M2040" s="5">
        <v>6.0</v>
      </c>
      <c r="N2040" s="5">
        <v>44.0</v>
      </c>
      <c r="O2040" s="5"/>
      <c r="P2040" s="3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</row>
    <row r="2041" ht="15.75" customHeight="1">
      <c r="A2041" s="3" t="s">
        <v>1117</v>
      </c>
      <c r="B2041" s="5" t="s">
        <v>1118</v>
      </c>
      <c r="C2041" s="5" t="s">
        <v>80</v>
      </c>
      <c r="D2041" s="5" t="s">
        <v>1151</v>
      </c>
      <c r="E2041" s="3" t="s">
        <v>1178</v>
      </c>
      <c r="F2041" s="3">
        <v>8.0</v>
      </c>
      <c r="G2041" s="4">
        <v>-27.53097</v>
      </c>
      <c r="H2041" s="22">
        <v>-48.46219</v>
      </c>
      <c r="I2041" s="5">
        <v>2.0</v>
      </c>
      <c r="J2041" s="5" t="s">
        <v>37</v>
      </c>
      <c r="K2041" s="5" t="s">
        <v>37</v>
      </c>
      <c r="L2041" s="3"/>
      <c r="M2041" s="5">
        <v>6.0</v>
      </c>
      <c r="N2041" s="5">
        <v>20.0</v>
      </c>
      <c r="O2041" s="5"/>
      <c r="P2041" s="3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</row>
    <row r="2042" ht="15.75" customHeight="1">
      <c r="A2042" s="3" t="s">
        <v>1117</v>
      </c>
      <c r="B2042" s="5" t="s">
        <v>1118</v>
      </c>
      <c r="C2042" s="5" t="s">
        <v>80</v>
      </c>
      <c r="D2042" s="5" t="s">
        <v>1151</v>
      </c>
      <c r="E2042" s="3" t="s">
        <v>1178</v>
      </c>
      <c r="F2042" s="3">
        <v>8.0</v>
      </c>
      <c r="G2042" s="4">
        <v>-27.53097</v>
      </c>
      <c r="H2042" s="22">
        <v>-48.46219</v>
      </c>
      <c r="I2042" s="5">
        <v>3.0</v>
      </c>
      <c r="J2042" s="5" t="s">
        <v>1154</v>
      </c>
      <c r="K2042" s="5" t="s">
        <v>105</v>
      </c>
      <c r="L2042" s="3"/>
      <c r="M2042" s="5">
        <v>3.0</v>
      </c>
      <c r="N2042" s="5">
        <v>25.0</v>
      </c>
      <c r="O2042" s="5"/>
      <c r="P2042" s="3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</row>
    <row r="2043" ht="15.75" customHeight="1">
      <c r="A2043" s="3" t="s">
        <v>1117</v>
      </c>
      <c r="B2043" s="5" t="s">
        <v>1118</v>
      </c>
      <c r="C2043" s="5" t="s">
        <v>80</v>
      </c>
      <c r="D2043" s="5" t="s">
        <v>1151</v>
      </c>
      <c r="E2043" s="3" t="s">
        <v>1178</v>
      </c>
      <c r="F2043" s="3">
        <v>8.0</v>
      </c>
      <c r="G2043" s="4">
        <v>-27.53097</v>
      </c>
      <c r="H2043" s="22">
        <v>-48.46219</v>
      </c>
      <c r="I2043" s="5">
        <v>4.0</v>
      </c>
      <c r="J2043" s="5" t="s">
        <v>24</v>
      </c>
      <c r="K2043" s="5" t="s">
        <v>24</v>
      </c>
      <c r="L2043" s="3"/>
      <c r="M2043" s="5">
        <v>5.0</v>
      </c>
      <c r="N2043" s="5">
        <v>24.0</v>
      </c>
      <c r="O2043" s="5"/>
      <c r="P2043" s="3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</row>
    <row r="2044" ht="15.75" customHeight="1">
      <c r="A2044" s="3" t="s">
        <v>1117</v>
      </c>
      <c r="B2044" s="5" t="s">
        <v>1118</v>
      </c>
      <c r="C2044" s="5" t="s">
        <v>80</v>
      </c>
      <c r="D2044" s="5" t="s">
        <v>1151</v>
      </c>
      <c r="E2044" s="3" t="s">
        <v>1178</v>
      </c>
      <c r="F2044" s="3">
        <v>8.0</v>
      </c>
      <c r="G2044" s="4">
        <v>-27.53097</v>
      </c>
      <c r="H2044" s="22">
        <v>-48.46219</v>
      </c>
      <c r="I2044" s="5">
        <v>5.0</v>
      </c>
      <c r="J2044" s="5" t="s">
        <v>488</v>
      </c>
      <c r="K2044" s="5" t="s">
        <v>488</v>
      </c>
      <c r="L2044" s="3"/>
      <c r="M2044" s="5">
        <v>6.0</v>
      </c>
      <c r="N2044" s="5">
        <v>30.0</v>
      </c>
      <c r="O2044" s="5"/>
      <c r="P2044" s="3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</row>
    <row r="2045" ht="15.75" customHeight="1">
      <c r="A2045" s="3" t="s">
        <v>1117</v>
      </c>
      <c r="B2045" s="5" t="s">
        <v>1118</v>
      </c>
      <c r="C2045" s="5" t="s">
        <v>80</v>
      </c>
      <c r="D2045" s="5" t="s">
        <v>1151</v>
      </c>
      <c r="E2045" s="3" t="s">
        <v>1178</v>
      </c>
      <c r="F2045" s="3">
        <v>8.0</v>
      </c>
      <c r="G2045" s="4">
        <v>-27.53097</v>
      </c>
      <c r="H2045" s="22">
        <v>-48.46219</v>
      </c>
      <c r="I2045" s="5">
        <v>6.0</v>
      </c>
      <c r="J2045" s="5" t="s">
        <v>24</v>
      </c>
      <c r="K2045" s="5" t="s">
        <v>24</v>
      </c>
      <c r="L2045" s="3"/>
      <c r="M2045" s="5">
        <v>4.0</v>
      </c>
      <c r="N2045" s="5">
        <v>20.0</v>
      </c>
      <c r="O2045" s="5"/>
      <c r="P2045" s="3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</row>
    <row r="2046" ht="15.75" customHeight="1">
      <c r="A2046" s="3" t="s">
        <v>1117</v>
      </c>
      <c r="B2046" s="5" t="s">
        <v>1118</v>
      </c>
      <c r="C2046" s="5" t="s">
        <v>80</v>
      </c>
      <c r="D2046" s="5" t="s">
        <v>1151</v>
      </c>
      <c r="E2046" s="3" t="s">
        <v>1178</v>
      </c>
      <c r="F2046" s="3">
        <v>8.0</v>
      </c>
      <c r="G2046" s="4">
        <v>-27.53097</v>
      </c>
      <c r="H2046" s="22">
        <v>-48.46219</v>
      </c>
      <c r="I2046" s="5">
        <v>7.0</v>
      </c>
      <c r="J2046" s="5" t="s">
        <v>24</v>
      </c>
      <c r="K2046" s="5" t="s">
        <v>24</v>
      </c>
      <c r="L2046" s="3"/>
      <c r="M2046" s="5">
        <v>7.0</v>
      </c>
      <c r="N2046" s="5">
        <v>24.0</v>
      </c>
      <c r="O2046" s="5"/>
      <c r="P2046" s="3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</row>
    <row r="2047" ht="15.75" customHeight="1">
      <c r="A2047" s="3" t="s">
        <v>1117</v>
      </c>
      <c r="B2047" s="5" t="s">
        <v>1118</v>
      </c>
      <c r="C2047" s="5" t="s">
        <v>80</v>
      </c>
      <c r="D2047" s="5" t="s">
        <v>1151</v>
      </c>
      <c r="E2047" s="3" t="s">
        <v>1178</v>
      </c>
      <c r="F2047" s="3">
        <v>8.0</v>
      </c>
      <c r="G2047" s="4">
        <v>-27.53097</v>
      </c>
      <c r="H2047" s="22">
        <v>-48.46219</v>
      </c>
      <c r="I2047" s="5">
        <v>8.0</v>
      </c>
      <c r="J2047" s="5" t="s">
        <v>488</v>
      </c>
      <c r="K2047" s="5" t="s">
        <v>488</v>
      </c>
      <c r="L2047" s="3"/>
      <c r="M2047" s="5">
        <v>9.0</v>
      </c>
      <c r="N2047" s="5">
        <v>67.0</v>
      </c>
      <c r="O2047" s="5"/>
      <c r="P2047" s="3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</row>
    <row r="2048" ht="15.75" customHeight="1">
      <c r="A2048" s="3" t="s">
        <v>1117</v>
      </c>
      <c r="B2048" s="5" t="s">
        <v>1118</v>
      </c>
      <c r="C2048" s="5" t="s">
        <v>80</v>
      </c>
      <c r="D2048" s="5" t="s">
        <v>1151</v>
      </c>
      <c r="E2048" s="3" t="s">
        <v>1178</v>
      </c>
      <c r="F2048" s="3">
        <v>8.0</v>
      </c>
      <c r="G2048" s="4">
        <v>-27.53097</v>
      </c>
      <c r="H2048" s="22">
        <v>-48.46219</v>
      </c>
      <c r="I2048" s="5">
        <v>9.0</v>
      </c>
      <c r="J2048" s="20" t="s">
        <v>395</v>
      </c>
      <c r="K2048" s="5" t="s">
        <v>315</v>
      </c>
      <c r="L2048" s="3"/>
      <c r="M2048" s="5"/>
      <c r="N2048" s="5"/>
      <c r="O2048" s="5"/>
      <c r="P2048" s="3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</row>
    <row r="2049" ht="15.75" customHeight="1">
      <c r="A2049" s="3" t="s">
        <v>1117</v>
      </c>
      <c r="B2049" s="5" t="s">
        <v>1118</v>
      </c>
      <c r="C2049" s="5" t="s">
        <v>80</v>
      </c>
      <c r="D2049" s="5" t="s">
        <v>1151</v>
      </c>
      <c r="E2049" s="3" t="s">
        <v>1178</v>
      </c>
      <c r="F2049" s="3">
        <v>8.0</v>
      </c>
      <c r="G2049" s="4">
        <v>-27.53097</v>
      </c>
      <c r="H2049" s="22">
        <v>-48.46219</v>
      </c>
      <c r="I2049" s="5">
        <v>10.0</v>
      </c>
      <c r="J2049" s="5" t="s">
        <v>27</v>
      </c>
      <c r="K2049" s="5" t="s">
        <v>27</v>
      </c>
      <c r="L2049" s="3"/>
      <c r="M2049" s="5">
        <v>6.0</v>
      </c>
      <c r="N2049" s="5">
        <v>23.0</v>
      </c>
      <c r="O2049" s="5"/>
      <c r="P2049" s="3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</row>
    <row r="2050" ht="15.75" customHeight="1">
      <c r="A2050" s="3" t="s">
        <v>1117</v>
      </c>
      <c r="B2050" s="5" t="s">
        <v>1118</v>
      </c>
      <c r="C2050" s="5" t="s">
        <v>80</v>
      </c>
      <c r="D2050" s="5" t="s">
        <v>1151</v>
      </c>
      <c r="E2050" s="3" t="s">
        <v>1178</v>
      </c>
      <c r="F2050" s="3">
        <v>8.0</v>
      </c>
      <c r="G2050" s="4">
        <v>-27.53097</v>
      </c>
      <c r="H2050" s="22">
        <v>-48.46219</v>
      </c>
      <c r="I2050" s="5">
        <v>11.0</v>
      </c>
      <c r="J2050" s="5" t="s">
        <v>1154</v>
      </c>
      <c r="K2050" s="5" t="s">
        <v>105</v>
      </c>
      <c r="L2050" s="3"/>
      <c r="M2050" s="5">
        <v>6.0</v>
      </c>
      <c r="N2050" s="5" t="s">
        <v>1179</v>
      </c>
      <c r="O2050" s="5"/>
      <c r="P2050" s="3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</row>
    <row r="2051" ht="15.75" customHeight="1">
      <c r="A2051" s="3" t="s">
        <v>1117</v>
      </c>
      <c r="B2051" s="5" t="s">
        <v>1118</v>
      </c>
      <c r="C2051" s="5" t="s">
        <v>80</v>
      </c>
      <c r="D2051" s="5" t="s">
        <v>1151</v>
      </c>
      <c r="E2051" s="3" t="s">
        <v>1178</v>
      </c>
      <c r="F2051" s="3">
        <v>8.0</v>
      </c>
      <c r="G2051" s="4">
        <v>-27.53097</v>
      </c>
      <c r="H2051" s="22">
        <v>-48.46219</v>
      </c>
      <c r="I2051" s="5">
        <v>12.0</v>
      </c>
      <c r="J2051" s="5" t="s">
        <v>1180</v>
      </c>
      <c r="K2051" s="5" t="s">
        <v>1180</v>
      </c>
      <c r="L2051" s="3"/>
      <c r="M2051" s="5">
        <v>5.0</v>
      </c>
      <c r="N2051" s="5">
        <v>48.0</v>
      </c>
      <c r="O2051" s="5"/>
      <c r="P2051" s="3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</row>
    <row r="2052" ht="15.75" customHeight="1">
      <c r="A2052" s="3" t="s">
        <v>1117</v>
      </c>
      <c r="B2052" s="5" t="s">
        <v>1118</v>
      </c>
      <c r="C2052" s="5" t="s">
        <v>80</v>
      </c>
      <c r="D2052" s="5" t="s">
        <v>1151</v>
      </c>
      <c r="E2052" s="3" t="s">
        <v>1178</v>
      </c>
      <c r="F2052" s="3">
        <v>8.0</v>
      </c>
      <c r="G2052" s="4">
        <v>-27.53097</v>
      </c>
      <c r="H2052" s="22">
        <v>-48.46219</v>
      </c>
      <c r="I2052" s="5">
        <v>13.0</v>
      </c>
      <c r="J2052" s="5" t="s">
        <v>1154</v>
      </c>
      <c r="K2052" s="5" t="s">
        <v>105</v>
      </c>
      <c r="L2052" s="3"/>
      <c r="M2052" s="5">
        <v>5.0</v>
      </c>
      <c r="N2052" s="5">
        <v>20.0</v>
      </c>
      <c r="O2052" s="5"/>
      <c r="P2052" s="3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</row>
    <row r="2053" ht="15.75" customHeight="1">
      <c r="A2053" s="3" t="s">
        <v>1117</v>
      </c>
      <c r="B2053" s="5" t="s">
        <v>1118</v>
      </c>
      <c r="C2053" s="5" t="s">
        <v>80</v>
      </c>
      <c r="D2053" s="5" t="s">
        <v>1151</v>
      </c>
      <c r="E2053" s="3" t="s">
        <v>1178</v>
      </c>
      <c r="F2053" s="3">
        <v>8.0</v>
      </c>
      <c r="G2053" s="4">
        <v>-27.53097</v>
      </c>
      <c r="H2053" s="22">
        <v>-48.46219</v>
      </c>
      <c r="I2053" s="5">
        <v>14.0</v>
      </c>
      <c r="J2053" s="5" t="s">
        <v>120</v>
      </c>
      <c r="K2053" s="5" t="s">
        <v>120</v>
      </c>
      <c r="L2053" s="3"/>
      <c r="M2053" s="5">
        <v>5.0</v>
      </c>
      <c r="N2053" s="5">
        <v>18.0</v>
      </c>
      <c r="O2053" s="5"/>
      <c r="P2053" s="3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</row>
    <row r="2054" ht="15.75" customHeight="1">
      <c r="A2054" s="3" t="s">
        <v>1117</v>
      </c>
      <c r="B2054" s="5" t="s">
        <v>1118</v>
      </c>
      <c r="C2054" s="5" t="s">
        <v>80</v>
      </c>
      <c r="D2054" s="5" t="s">
        <v>1151</v>
      </c>
      <c r="E2054" s="3" t="s">
        <v>1178</v>
      </c>
      <c r="F2054" s="3">
        <v>8.0</v>
      </c>
      <c r="G2054" s="4">
        <v>-27.53097</v>
      </c>
      <c r="H2054" s="22">
        <v>-48.46219</v>
      </c>
      <c r="I2054" s="5">
        <v>15.0</v>
      </c>
      <c r="J2054" s="5" t="s">
        <v>488</v>
      </c>
      <c r="K2054" s="5" t="s">
        <v>488</v>
      </c>
      <c r="L2054" s="3"/>
      <c r="M2054" s="5">
        <v>6.0</v>
      </c>
      <c r="N2054" s="5">
        <v>25.0</v>
      </c>
      <c r="O2054" s="5"/>
      <c r="P2054" s="3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</row>
    <row r="2055" ht="15.75" customHeight="1">
      <c r="A2055" s="3" t="s">
        <v>1117</v>
      </c>
      <c r="B2055" s="5" t="s">
        <v>1118</v>
      </c>
      <c r="C2055" s="5" t="s">
        <v>80</v>
      </c>
      <c r="D2055" s="5" t="s">
        <v>1151</v>
      </c>
      <c r="E2055" s="3" t="s">
        <v>1178</v>
      </c>
      <c r="F2055" s="3">
        <v>8.0</v>
      </c>
      <c r="G2055" s="4">
        <v>-27.53097</v>
      </c>
      <c r="H2055" s="22">
        <v>-48.46219</v>
      </c>
      <c r="I2055" s="5">
        <v>16.0</v>
      </c>
      <c r="J2055" s="5" t="s">
        <v>24</v>
      </c>
      <c r="K2055" s="5" t="s">
        <v>24</v>
      </c>
      <c r="L2055" s="3"/>
      <c r="M2055" s="5">
        <v>6.0</v>
      </c>
      <c r="N2055" s="5">
        <v>24.0</v>
      </c>
      <c r="O2055" s="5"/>
      <c r="P2055" s="3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</row>
    <row r="2056" ht="15.75" customHeight="1">
      <c r="A2056" s="3" t="s">
        <v>1117</v>
      </c>
      <c r="B2056" s="5" t="s">
        <v>1118</v>
      </c>
      <c r="C2056" s="5" t="s">
        <v>80</v>
      </c>
      <c r="D2056" s="5" t="s">
        <v>1151</v>
      </c>
      <c r="E2056" s="3" t="s">
        <v>1178</v>
      </c>
      <c r="F2056" s="3">
        <v>8.0</v>
      </c>
      <c r="G2056" s="4">
        <v>-27.53097</v>
      </c>
      <c r="H2056" s="22">
        <v>-48.46219</v>
      </c>
      <c r="I2056" s="5">
        <v>17.0</v>
      </c>
      <c r="J2056" s="5" t="s">
        <v>97</v>
      </c>
      <c r="K2056" s="5" t="s">
        <v>97</v>
      </c>
      <c r="L2056" s="3"/>
      <c r="M2056" s="5">
        <v>7.0</v>
      </c>
      <c r="N2056" s="5">
        <v>18.0</v>
      </c>
      <c r="O2056" s="5"/>
      <c r="P2056" s="3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</row>
    <row r="2057" ht="15.75" customHeight="1">
      <c r="A2057" s="3" t="s">
        <v>1117</v>
      </c>
      <c r="B2057" s="5" t="s">
        <v>1118</v>
      </c>
      <c r="C2057" s="5" t="s">
        <v>80</v>
      </c>
      <c r="D2057" s="5" t="s">
        <v>1151</v>
      </c>
      <c r="E2057" s="3" t="s">
        <v>1178</v>
      </c>
      <c r="F2057" s="3">
        <v>8.0</v>
      </c>
      <c r="G2057" s="4">
        <v>-27.53097</v>
      </c>
      <c r="H2057" s="22">
        <v>-48.46219</v>
      </c>
      <c r="I2057" s="5">
        <v>18.0</v>
      </c>
      <c r="J2057" s="5" t="s">
        <v>56</v>
      </c>
      <c r="K2057" s="5" t="s">
        <v>56</v>
      </c>
      <c r="L2057" s="3"/>
      <c r="M2057" s="5">
        <v>6.0</v>
      </c>
      <c r="N2057" s="5">
        <v>19.0</v>
      </c>
      <c r="O2057" s="5"/>
      <c r="P2057" s="3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</row>
    <row r="2058" ht="15.75" customHeight="1">
      <c r="A2058" s="3" t="s">
        <v>1117</v>
      </c>
      <c r="B2058" s="5" t="s">
        <v>1118</v>
      </c>
      <c r="C2058" s="5" t="s">
        <v>80</v>
      </c>
      <c r="D2058" s="5" t="s">
        <v>1151</v>
      </c>
      <c r="E2058" s="3" t="s">
        <v>1178</v>
      </c>
      <c r="F2058" s="3">
        <v>8.0</v>
      </c>
      <c r="G2058" s="4">
        <v>-27.53097</v>
      </c>
      <c r="H2058" s="22">
        <v>-48.46219</v>
      </c>
      <c r="I2058" s="5">
        <v>19.0</v>
      </c>
      <c r="J2058" s="5" t="s">
        <v>28</v>
      </c>
      <c r="K2058" s="5" t="s">
        <v>28</v>
      </c>
      <c r="L2058" s="3"/>
      <c r="M2058" s="5">
        <v>7.0</v>
      </c>
      <c r="N2058" s="5">
        <v>34.0</v>
      </c>
      <c r="O2058" s="5"/>
      <c r="P2058" s="3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</row>
    <row r="2059" ht="15.75" customHeight="1">
      <c r="A2059" s="3" t="s">
        <v>1117</v>
      </c>
      <c r="B2059" s="5" t="s">
        <v>1118</v>
      </c>
      <c r="C2059" s="5" t="s">
        <v>80</v>
      </c>
      <c r="D2059" s="5" t="s">
        <v>1151</v>
      </c>
      <c r="E2059" s="3" t="s">
        <v>1178</v>
      </c>
      <c r="F2059" s="3">
        <v>8.0</v>
      </c>
      <c r="G2059" s="4">
        <v>-27.53097</v>
      </c>
      <c r="H2059" s="22">
        <v>-48.46219</v>
      </c>
      <c r="I2059" s="5">
        <v>20.0</v>
      </c>
      <c r="J2059" s="5" t="s">
        <v>1154</v>
      </c>
      <c r="K2059" s="5" t="s">
        <v>105</v>
      </c>
      <c r="L2059" s="3"/>
      <c r="M2059" s="5">
        <v>5.0</v>
      </c>
      <c r="N2059" s="5">
        <v>18.0</v>
      </c>
      <c r="O2059" s="5"/>
      <c r="P2059" s="3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</row>
    <row r="2060" ht="15.75" customHeight="1">
      <c r="A2060" s="11"/>
      <c r="B2060" s="11"/>
      <c r="C2060" s="11"/>
      <c r="D2060" s="11"/>
      <c r="E2060" s="11"/>
      <c r="F2060" s="11"/>
      <c r="G2060" s="27"/>
      <c r="H2060" s="28"/>
      <c r="I2060" s="21"/>
      <c r="J2060" s="21"/>
      <c r="K2060" s="21"/>
      <c r="L2060" s="11"/>
      <c r="M2060" s="21"/>
      <c r="N2060" s="21"/>
      <c r="O2060" s="2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</row>
    <row r="2061" ht="15.75" customHeight="1">
      <c r="A2061" s="11"/>
      <c r="B2061" s="11"/>
      <c r="C2061" s="11"/>
      <c r="D2061" s="11"/>
      <c r="E2061" s="11"/>
      <c r="F2061" s="11"/>
      <c r="G2061" s="27"/>
      <c r="H2061" s="28"/>
      <c r="I2061" s="21"/>
      <c r="J2061" s="21"/>
      <c r="K2061" s="21"/>
      <c r="L2061" s="11"/>
      <c r="M2061" s="21"/>
      <c r="N2061" s="21"/>
      <c r="O2061" s="2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</row>
    <row r="2062" ht="15.75" customHeight="1">
      <c r="A2062" s="11"/>
      <c r="B2062" s="11"/>
      <c r="C2062" s="11"/>
      <c r="D2062" s="11"/>
      <c r="E2062" s="11"/>
      <c r="F2062" s="11"/>
      <c r="G2062" s="27"/>
      <c r="H2062" s="28"/>
      <c r="I2062" s="21"/>
      <c r="J2062" s="21"/>
      <c r="K2062" s="21"/>
      <c r="L2062" s="11"/>
      <c r="M2062" s="21"/>
      <c r="N2062" s="21"/>
      <c r="O2062" s="2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</row>
    <row r="2063" ht="15.75" customHeight="1">
      <c r="A2063" s="11"/>
      <c r="B2063" s="11"/>
      <c r="C2063" s="11"/>
      <c r="D2063" s="11"/>
      <c r="E2063" s="11"/>
      <c r="F2063" s="11"/>
      <c r="G2063" s="27"/>
      <c r="H2063" s="28"/>
      <c r="I2063" s="21"/>
      <c r="J2063" s="21"/>
      <c r="K2063" s="21"/>
      <c r="L2063" s="11"/>
      <c r="M2063" s="21"/>
      <c r="N2063" s="21"/>
      <c r="O2063" s="2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</row>
    <row r="2064" ht="15.75" customHeight="1">
      <c r="A2064" s="11"/>
      <c r="B2064" s="11"/>
      <c r="C2064" s="11"/>
      <c r="D2064" s="11"/>
      <c r="E2064" s="11"/>
      <c r="F2064" s="11"/>
      <c r="G2064" s="27"/>
      <c r="H2064" s="28"/>
      <c r="I2064" s="21"/>
      <c r="J2064" s="21"/>
      <c r="K2064" s="21"/>
      <c r="L2064" s="11"/>
      <c r="M2064" s="21"/>
      <c r="N2064" s="21"/>
      <c r="O2064" s="2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</row>
    <row r="2065" ht="15.75" customHeight="1">
      <c r="A2065" s="11"/>
      <c r="B2065" s="11"/>
      <c r="C2065" s="11"/>
      <c r="D2065" s="11"/>
      <c r="E2065" s="11"/>
      <c r="F2065" s="11"/>
      <c r="G2065" s="27"/>
      <c r="H2065" s="28"/>
      <c r="I2065" s="21"/>
      <c r="J2065" s="21"/>
      <c r="K2065" s="21"/>
      <c r="L2065" s="11"/>
      <c r="M2065" s="21"/>
      <c r="N2065" s="21"/>
      <c r="O2065" s="2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</row>
    <row r="2066" ht="15.75" customHeight="1">
      <c r="A2066" s="11"/>
      <c r="B2066" s="11"/>
      <c r="C2066" s="11"/>
      <c r="D2066" s="11"/>
      <c r="E2066" s="11"/>
      <c r="F2066" s="11"/>
      <c r="G2066" s="27"/>
      <c r="H2066" s="28"/>
      <c r="I2066" s="21"/>
      <c r="J2066" s="21"/>
      <c r="K2066" s="21"/>
      <c r="L2066" s="11"/>
      <c r="M2066" s="21"/>
      <c r="N2066" s="21"/>
      <c r="O2066" s="2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</row>
    <row r="2067" ht="15.75" customHeight="1">
      <c r="A2067" s="11"/>
      <c r="B2067" s="11"/>
      <c r="C2067" s="11"/>
      <c r="D2067" s="11"/>
      <c r="E2067" s="11"/>
      <c r="F2067" s="11"/>
      <c r="G2067" s="27"/>
      <c r="H2067" s="28"/>
      <c r="I2067" s="21"/>
      <c r="J2067" s="21"/>
      <c r="K2067" s="21"/>
      <c r="L2067" s="11"/>
      <c r="M2067" s="21"/>
      <c r="N2067" s="21"/>
      <c r="O2067" s="2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</row>
    <row r="2068" ht="15.75" customHeight="1">
      <c r="A2068" s="11"/>
      <c r="B2068" s="11"/>
      <c r="C2068" s="11"/>
      <c r="D2068" s="11"/>
      <c r="E2068" s="11"/>
      <c r="F2068" s="11"/>
      <c r="G2068" s="27"/>
      <c r="H2068" s="28"/>
      <c r="I2068" s="21"/>
      <c r="J2068" s="21"/>
      <c r="K2068" s="21"/>
      <c r="L2068" s="11"/>
      <c r="M2068" s="21"/>
      <c r="N2068" s="21"/>
      <c r="O2068" s="2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</row>
    <row r="2069" ht="15.75" customHeight="1">
      <c r="A2069" s="11"/>
      <c r="B2069" s="11"/>
      <c r="C2069" s="11"/>
      <c r="D2069" s="11"/>
      <c r="E2069" s="11"/>
      <c r="F2069" s="11"/>
      <c r="G2069" s="27"/>
      <c r="H2069" s="28"/>
      <c r="I2069" s="21"/>
      <c r="J2069" s="21"/>
      <c r="K2069" s="21"/>
      <c r="L2069" s="11"/>
      <c r="M2069" s="21"/>
      <c r="N2069" s="21"/>
      <c r="O2069" s="2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</row>
    <row r="2070" ht="15.75" customHeight="1">
      <c r="A2070" s="11"/>
      <c r="B2070" s="11"/>
      <c r="C2070" s="11"/>
      <c r="D2070" s="11"/>
      <c r="E2070" s="11"/>
      <c r="F2070" s="11"/>
      <c r="G2070" s="27"/>
      <c r="H2070" s="28"/>
      <c r="I2070" s="21"/>
      <c r="J2070" s="21"/>
      <c r="K2070" s="21"/>
      <c r="L2070" s="11"/>
      <c r="M2070" s="21"/>
      <c r="N2070" s="21"/>
      <c r="O2070" s="2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</row>
    <row r="2071" ht="15.75" customHeight="1">
      <c r="A2071" s="11"/>
      <c r="B2071" s="11"/>
      <c r="C2071" s="11"/>
      <c r="D2071" s="11"/>
      <c r="E2071" s="11"/>
      <c r="F2071" s="11"/>
      <c r="G2071" s="27"/>
      <c r="H2071" s="28"/>
      <c r="I2071" s="21"/>
      <c r="J2071" s="21"/>
      <c r="K2071" s="21"/>
      <c r="L2071" s="11"/>
      <c r="M2071" s="21"/>
      <c r="N2071" s="21"/>
      <c r="O2071" s="2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</row>
    <row r="2072" ht="15.75" customHeight="1">
      <c r="A2072" s="11"/>
      <c r="B2072" s="11"/>
      <c r="C2072" s="11"/>
      <c r="D2072" s="11"/>
      <c r="E2072" s="11"/>
      <c r="F2072" s="11"/>
      <c r="G2072" s="27"/>
      <c r="H2072" s="28"/>
      <c r="I2072" s="21"/>
      <c r="J2072" s="21"/>
      <c r="K2072" s="21"/>
      <c r="L2072" s="11"/>
      <c r="M2072" s="21"/>
      <c r="N2072" s="21"/>
      <c r="O2072" s="2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</row>
    <row r="2073" ht="15.75" customHeight="1">
      <c r="A2073" s="11"/>
      <c r="B2073" s="11"/>
      <c r="C2073" s="11"/>
      <c r="D2073" s="11"/>
      <c r="E2073" s="11"/>
      <c r="F2073" s="11"/>
      <c r="G2073" s="27"/>
      <c r="H2073" s="28"/>
      <c r="I2073" s="21"/>
      <c r="J2073" s="21"/>
      <c r="K2073" s="21"/>
      <c r="L2073" s="11"/>
      <c r="M2073" s="21"/>
      <c r="N2073" s="21"/>
      <c r="O2073" s="2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</row>
    <row r="2074" ht="15.75" customHeight="1">
      <c r="A2074" s="11"/>
      <c r="B2074" s="11"/>
      <c r="C2074" s="11"/>
      <c r="D2074" s="11"/>
      <c r="E2074" s="11"/>
      <c r="F2074" s="11"/>
      <c r="G2074" s="27"/>
      <c r="H2074" s="28"/>
      <c r="I2074" s="21"/>
      <c r="J2074" s="21"/>
      <c r="K2074" s="21"/>
      <c r="L2074" s="11"/>
      <c r="M2074" s="21"/>
      <c r="N2074" s="21"/>
      <c r="O2074" s="2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</row>
    <row r="2075" ht="15.75" customHeight="1">
      <c r="A2075" s="11"/>
      <c r="B2075" s="11"/>
      <c r="C2075" s="11"/>
      <c r="D2075" s="11"/>
      <c r="E2075" s="11"/>
      <c r="F2075" s="11"/>
      <c r="G2075" s="27"/>
      <c r="H2075" s="28"/>
      <c r="I2075" s="21"/>
      <c r="J2075" s="21"/>
      <c r="K2075" s="21"/>
      <c r="L2075" s="11"/>
      <c r="M2075" s="21"/>
      <c r="N2075" s="21"/>
      <c r="O2075" s="2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</row>
    <row r="2076" ht="15.75" customHeight="1">
      <c r="A2076" s="11"/>
      <c r="B2076" s="11"/>
      <c r="C2076" s="11"/>
      <c r="D2076" s="11"/>
      <c r="E2076" s="11"/>
      <c r="F2076" s="11"/>
      <c r="G2076" s="27"/>
      <c r="H2076" s="28"/>
      <c r="I2076" s="21"/>
      <c r="J2076" s="21"/>
      <c r="K2076" s="21"/>
      <c r="L2076" s="11"/>
      <c r="M2076" s="21"/>
      <c r="N2076" s="21"/>
      <c r="O2076" s="2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</row>
    <row r="2077" ht="15.75" customHeight="1">
      <c r="A2077" s="11"/>
      <c r="B2077" s="11"/>
      <c r="C2077" s="11"/>
      <c r="D2077" s="11"/>
      <c r="E2077" s="11"/>
      <c r="F2077" s="11"/>
      <c r="G2077" s="27"/>
      <c r="H2077" s="28"/>
      <c r="I2077" s="21"/>
      <c r="J2077" s="21"/>
      <c r="K2077" s="21"/>
      <c r="L2077" s="11"/>
      <c r="M2077" s="21"/>
      <c r="N2077" s="21"/>
      <c r="O2077" s="2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</row>
    <row r="2078" ht="15.75" customHeight="1">
      <c r="A2078" s="11"/>
      <c r="B2078" s="11"/>
      <c r="C2078" s="11"/>
      <c r="D2078" s="11"/>
      <c r="E2078" s="11"/>
      <c r="F2078" s="11"/>
      <c r="G2078" s="27"/>
      <c r="H2078" s="28"/>
      <c r="I2078" s="21"/>
      <c r="J2078" s="21"/>
      <c r="K2078" s="21"/>
      <c r="L2078" s="11"/>
      <c r="M2078" s="21"/>
      <c r="N2078" s="21"/>
      <c r="O2078" s="2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</row>
    <row r="2079" ht="15.75" customHeight="1">
      <c r="A2079" s="11"/>
      <c r="B2079" s="11"/>
      <c r="C2079" s="11"/>
      <c r="D2079" s="11"/>
      <c r="E2079" s="11"/>
      <c r="F2079" s="11"/>
      <c r="G2079" s="27"/>
      <c r="H2079" s="28"/>
      <c r="I2079" s="21"/>
      <c r="J2079" s="21"/>
      <c r="K2079" s="21"/>
      <c r="L2079" s="11"/>
      <c r="M2079" s="21"/>
      <c r="N2079" s="21"/>
      <c r="O2079" s="2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</row>
    <row r="2080" ht="15.75" customHeight="1">
      <c r="A2080" s="11"/>
      <c r="B2080" s="11"/>
      <c r="C2080" s="11"/>
      <c r="D2080" s="11"/>
      <c r="E2080" s="11"/>
      <c r="F2080" s="11"/>
      <c r="G2080" s="27"/>
      <c r="H2080" s="28"/>
      <c r="I2080" s="21"/>
      <c r="J2080" s="21"/>
      <c r="K2080" s="21"/>
      <c r="L2080" s="11"/>
      <c r="M2080" s="21"/>
      <c r="N2080" s="21"/>
      <c r="O2080" s="2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</row>
    <row r="2081" ht="15.75" customHeight="1">
      <c r="A2081" s="11"/>
      <c r="B2081" s="11"/>
      <c r="C2081" s="11"/>
      <c r="D2081" s="11"/>
      <c r="E2081" s="11"/>
      <c r="F2081" s="11"/>
      <c r="G2081" s="27"/>
      <c r="H2081" s="28"/>
      <c r="I2081" s="21"/>
      <c r="J2081" s="21"/>
      <c r="K2081" s="21"/>
      <c r="L2081" s="11"/>
      <c r="M2081" s="21"/>
      <c r="N2081" s="21"/>
      <c r="O2081" s="2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</row>
    <row r="2082" ht="15.75" customHeight="1">
      <c r="A2082" s="11"/>
      <c r="B2082" s="11"/>
      <c r="C2082" s="11"/>
      <c r="D2082" s="11"/>
      <c r="E2082" s="11"/>
      <c r="F2082" s="11"/>
      <c r="G2082" s="27"/>
      <c r="H2082" s="28"/>
      <c r="I2082" s="21"/>
      <c r="J2082" s="21"/>
      <c r="K2082" s="21"/>
      <c r="L2082" s="11"/>
      <c r="M2082" s="21"/>
      <c r="N2082" s="21"/>
      <c r="O2082" s="2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</row>
    <row r="2083" ht="15.75" customHeight="1">
      <c r="A2083" s="11"/>
      <c r="B2083" s="11"/>
      <c r="C2083" s="11"/>
      <c r="D2083" s="11"/>
      <c r="E2083" s="11"/>
      <c r="F2083" s="11"/>
      <c r="G2083" s="27"/>
      <c r="H2083" s="28"/>
      <c r="I2083" s="21"/>
      <c r="J2083" s="21"/>
      <c r="K2083" s="21"/>
      <c r="L2083" s="11"/>
      <c r="M2083" s="21"/>
      <c r="N2083" s="21"/>
      <c r="O2083" s="2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</row>
    <row r="2084" ht="15.75" customHeight="1">
      <c r="A2084" s="11"/>
      <c r="B2084" s="11"/>
      <c r="C2084" s="11"/>
      <c r="D2084" s="11"/>
      <c r="E2084" s="11"/>
      <c r="F2084" s="11"/>
      <c r="G2084" s="27"/>
      <c r="H2084" s="28"/>
      <c r="I2084" s="21"/>
      <c r="J2084" s="21"/>
      <c r="K2084" s="21"/>
      <c r="L2084" s="11"/>
      <c r="M2084" s="21"/>
      <c r="N2084" s="21"/>
      <c r="O2084" s="2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</row>
    <row r="2085" ht="15.75" customHeight="1">
      <c r="A2085" s="11"/>
      <c r="B2085" s="11"/>
      <c r="C2085" s="11"/>
      <c r="D2085" s="11"/>
      <c r="E2085" s="11"/>
      <c r="F2085" s="11"/>
      <c r="G2085" s="27"/>
      <c r="H2085" s="28"/>
      <c r="I2085" s="21"/>
      <c r="J2085" s="21"/>
      <c r="K2085" s="21"/>
      <c r="L2085" s="11"/>
      <c r="M2085" s="21"/>
      <c r="N2085" s="21"/>
      <c r="O2085" s="2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</row>
    <row r="2086" ht="15.75" customHeight="1">
      <c r="A2086" s="11"/>
      <c r="B2086" s="11"/>
      <c r="C2086" s="11"/>
      <c r="D2086" s="11"/>
      <c r="E2086" s="11"/>
      <c r="F2086" s="11"/>
      <c r="G2086" s="27"/>
      <c r="H2086" s="28"/>
      <c r="I2086" s="21"/>
      <c r="J2086" s="21"/>
      <c r="K2086" s="21"/>
      <c r="L2086" s="11"/>
      <c r="M2086" s="21"/>
      <c r="N2086" s="21"/>
      <c r="O2086" s="2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</row>
    <row r="2087" ht="15.75" customHeight="1">
      <c r="A2087" s="11"/>
      <c r="B2087" s="11"/>
      <c r="C2087" s="11"/>
      <c r="D2087" s="11"/>
      <c r="E2087" s="11"/>
      <c r="F2087" s="11"/>
      <c r="G2087" s="27"/>
      <c r="H2087" s="28"/>
      <c r="I2087" s="21"/>
      <c r="J2087" s="21"/>
      <c r="K2087" s="21"/>
      <c r="L2087" s="11"/>
      <c r="M2087" s="21"/>
      <c r="N2087" s="21"/>
      <c r="O2087" s="2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</row>
    <row r="2088" ht="15.75" customHeight="1">
      <c r="A2088" s="11"/>
      <c r="B2088" s="11"/>
      <c r="C2088" s="11"/>
      <c r="D2088" s="11"/>
      <c r="E2088" s="11"/>
      <c r="F2088" s="11"/>
      <c r="G2088" s="27"/>
      <c r="H2088" s="28"/>
      <c r="I2088" s="21"/>
      <c r="J2088" s="21"/>
      <c r="K2088" s="21"/>
      <c r="L2088" s="11"/>
      <c r="M2088" s="21"/>
      <c r="N2088" s="21"/>
      <c r="O2088" s="2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</row>
    <row r="2089" ht="15.75" customHeight="1">
      <c r="A2089" s="11"/>
      <c r="B2089" s="11"/>
      <c r="C2089" s="11"/>
      <c r="D2089" s="11"/>
      <c r="E2089" s="11"/>
      <c r="F2089" s="11"/>
      <c r="G2089" s="27"/>
      <c r="H2089" s="28"/>
      <c r="I2089" s="21"/>
      <c r="J2089" s="21"/>
      <c r="K2089" s="21"/>
      <c r="L2089" s="11"/>
      <c r="M2089" s="21"/>
      <c r="N2089" s="21"/>
      <c r="O2089" s="2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</row>
    <row r="2090" ht="15.75" customHeight="1">
      <c r="A2090" s="11"/>
      <c r="B2090" s="11"/>
      <c r="C2090" s="11"/>
      <c r="D2090" s="11"/>
      <c r="E2090" s="11"/>
      <c r="F2090" s="11"/>
      <c r="G2090" s="27"/>
      <c r="H2090" s="28"/>
      <c r="I2090" s="21"/>
      <c r="J2090" s="21"/>
      <c r="K2090" s="21"/>
      <c r="L2090" s="11"/>
      <c r="M2090" s="21"/>
      <c r="N2090" s="21"/>
      <c r="O2090" s="2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</row>
    <row r="2091" ht="15.75" customHeight="1">
      <c r="A2091" s="11"/>
      <c r="B2091" s="11"/>
      <c r="C2091" s="11"/>
      <c r="D2091" s="11"/>
      <c r="E2091" s="11"/>
      <c r="F2091" s="11"/>
      <c r="G2091" s="27"/>
      <c r="H2091" s="28"/>
      <c r="I2091" s="21"/>
      <c r="J2091" s="21"/>
      <c r="K2091" s="21"/>
      <c r="L2091" s="11"/>
      <c r="M2091" s="21"/>
      <c r="N2091" s="21"/>
      <c r="O2091" s="2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</row>
    <row r="2092" ht="15.75" customHeight="1">
      <c r="A2092" s="11"/>
      <c r="B2092" s="11"/>
      <c r="C2092" s="11"/>
      <c r="D2092" s="11"/>
      <c r="E2092" s="11"/>
      <c r="F2092" s="11"/>
      <c r="G2092" s="27"/>
      <c r="H2092" s="28"/>
      <c r="I2092" s="21"/>
      <c r="J2092" s="21"/>
      <c r="K2092" s="21"/>
      <c r="L2092" s="11"/>
      <c r="M2092" s="21"/>
      <c r="N2092" s="21"/>
      <c r="O2092" s="2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</row>
    <row r="2093" ht="15.75" customHeight="1">
      <c r="A2093" s="11"/>
      <c r="B2093" s="11"/>
      <c r="C2093" s="11"/>
      <c r="D2093" s="11"/>
      <c r="E2093" s="11"/>
      <c r="F2093" s="11"/>
      <c r="G2093" s="27"/>
      <c r="H2093" s="28"/>
      <c r="I2093" s="21"/>
      <c r="J2093" s="21"/>
      <c r="K2093" s="21"/>
      <c r="L2093" s="11"/>
      <c r="M2093" s="21"/>
      <c r="N2093" s="21"/>
      <c r="O2093" s="2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</row>
    <row r="2094" ht="15.75" customHeight="1">
      <c r="A2094" s="11"/>
      <c r="B2094" s="11"/>
      <c r="C2094" s="11"/>
      <c r="D2094" s="11"/>
      <c r="E2094" s="11"/>
      <c r="F2094" s="11"/>
      <c r="G2094" s="27"/>
      <c r="H2094" s="28"/>
      <c r="I2094" s="21"/>
      <c r="J2094" s="21"/>
      <c r="K2094" s="21"/>
      <c r="L2094" s="11"/>
      <c r="M2094" s="21"/>
      <c r="N2094" s="21"/>
      <c r="O2094" s="2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</row>
    <row r="2095" ht="15.75" customHeight="1">
      <c r="A2095" s="11"/>
      <c r="B2095" s="11"/>
      <c r="C2095" s="11"/>
      <c r="D2095" s="11"/>
      <c r="E2095" s="11"/>
      <c r="F2095" s="11"/>
      <c r="G2095" s="27"/>
      <c r="H2095" s="28"/>
      <c r="I2095" s="21"/>
      <c r="J2095" s="21"/>
      <c r="K2095" s="21"/>
      <c r="L2095" s="11"/>
      <c r="M2095" s="21"/>
      <c r="N2095" s="21"/>
      <c r="O2095" s="2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</row>
    <row r="2096" ht="15.75" customHeight="1">
      <c r="A2096" s="11"/>
      <c r="B2096" s="11"/>
      <c r="C2096" s="11"/>
      <c r="D2096" s="11"/>
      <c r="E2096" s="11"/>
      <c r="F2096" s="11"/>
      <c r="G2096" s="27"/>
      <c r="H2096" s="28"/>
      <c r="I2096" s="21"/>
      <c r="J2096" s="21"/>
      <c r="K2096" s="21"/>
      <c r="L2096" s="11"/>
      <c r="M2096" s="21"/>
      <c r="N2096" s="21"/>
      <c r="O2096" s="2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</row>
    <row r="2097" ht="15.75" customHeight="1">
      <c r="A2097" s="11"/>
      <c r="B2097" s="11"/>
      <c r="C2097" s="11"/>
      <c r="D2097" s="11"/>
      <c r="E2097" s="11"/>
      <c r="F2097" s="11"/>
      <c r="G2097" s="27"/>
      <c r="H2097" s="28"/>
      <c r="I2097" s="21"/>
      <c r="J2097" s="21"/>
      <c r="K2097" s="21"/>
      <c r="L2097" s="11"/>
      <c r="M2097" s="21"/>
      <c r="N2097" s="21"/>
      <c r="O2097" s="2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</row>
    <row r="2098" ht="15.75" customHeight="1">
      <c r="A2098" s="11"/>
      <c r="B2098" s="11"/>
      <c r="C2098" s="11"/>
      <c r="D2098" s="11"/>
      <c r="E2098" s="11"/>
      <c r="F2098" s="11"/>
      <c r="G2098" s="27"/>
      <c r="H2098" s="28"/>
      <c r="I2098" s="21"/>
      <c r="J2098" s="21"/>
      <c r="K2098" s="21"/>
      <c r="L2098" s="11"/>
      <c r="M2098" s="21"/>
      <c r="N2098" s="21"/>
      <c r="O2098" s="2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</row>
    <row r="2099" ht="15.75" customHeight="1">
      <c r="A2099" s="11"/>
      <c r="B2099" s="11"/>
      <c r="C2099" s="11"/>
      <c r="D2099" s="11"/>
      <c r="E2099" s="11"/>
      <c r="F2099" s="11"/>
      <c r="G2099" s="27"/>
      <c r="H2099" s="28"/>
      <c r="I2099" s="21"/>
      <c r="J2099" s="21"/>
      <c r="K2099" s="21"/>
      <c r="L2099" s="11"/>
      <c r="M2099" s="21"/>
      <c r="N2099" s="21"/>
      <c r="O2099" s="2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</row>
    <row r="2100" ht="15.75" customHeight="1">
      <c r="A2100" s="11"/>
      <c r="B2100" s="11"/>
      <c r="C2100" s="11"/>
      <c r="D2100" s="11"/>
      <c r="E2100" s="11"/>
      <c r="F2100" s="11"/>
      <c r="G2100" s="27"/>
      <c r="H2100" s="28"/>
      <c r="I2100" s="21"/>
      <c r="J2100" s="21"/>
      <c r="K2100" s="21"/>
      <c r="L2100" s="11"/>
      <c r="M2100" s="21"/>
      <c r="N2100" s="21"/>
      <c r="O2100" s="2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</row>
    <row r="2101" ht="15.75" customHeight="1">
      <c r="A2101" s="11"/>
      <c r="B2101" s="11"/>
      <c r="C2101" s="11"/>
      <c r="D2101" s="11"/>
      <c r="E2101" s="11"/>
      <c r="F2101" s="11"/>
      <c r="G2101" s="27"/>
      <c r="H2101" s="28"/>
      <c r="I2101" s="21"/>
      <c r="J2101" s="21"/>
      <c r="K2101" s="21"/>
      <c r="L2101" s="11"/>
      <c r="M2101" s="21"/>
      <c r="N2101" s="21"/>
      <c r="O2101" s="2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</row>
    <row r="2102" ht="15.75" customHeight="1">
      <c r="A2102" s="11"/>
      <c r="B2102" s="11"/>
      <c r="C2102" s="11"/>
      <c r="D2102" s="11"/>
      <c r="E2102" s="11"/>
      <c r="F2102" s="11"/>
      <c r="G2102" s="27"/>
      <c r="H2102" s="28"/>
      <c r="I2102" s="21"/>
      <c r="J2102" s="21"/>
      <c r="K2102" s="21"/>
      <c r="L2102" s="11"/>
      <c r="M2102" s="21"/>
      <c r="N2102" s="21"/>
      <c r="O2102" s="2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</row>
    <row r="2103" ht="15.75" customHeight="1">
      <c r="A2103" s="11"/>
      <c r="B2103" s="11"/>
      <c r="C2103" s="11"/>
      <c r="D2103" s="11"/>
      <c r="E2103" s="11"/>
      <c r="F2103" s="11"/>
      <c r="G2103" s="27"/>
      <c r="H2103" s="28"/>
      <c r="I2103" s="21"/>
      <c r="J2103" s="21"/>
      <c r="K2103" s="21"/>
      <c r="L2103" s="11"/>
      <c r="M2103" s="21"/>
      <c r="N2103" s="21"/>
      <c r="O2103" s="2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</row>
    <row r="2104" ht="15.75" customHeight="1">
      <c r="A2104" s="11"/>
      <c r="B2104" s="11"/>
      <c r="C2104" s="11"/>
      <c r="D2104" s="11"/>
      <c r="E2104" s="11"/>
      <c r="F2104" s="11"/>
      <c r="G2104" s="27"/>
      <c r="H2104" s="28"/>
      <c r="I2104" s="21"/>
      <c r="J2104" s="21"/>
      <c r="K2104" s="21"/>
      <c r="L2104" s="11"/>
      <c r="M2104" s="21"/>
      <c r="N2104" s="21"/>
      <c r="O2104" s="2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</row>
    <row r="2105" ht="15.75" customHeight="1">
      <c r="A2105" s="11"/>
      <c r="B2105" s="11"/>
      <c r="C2105" s="11"/>
      <c r="D2105" s="11"/>
      <c r="E2105" s="11"/>
      <c r="F2105" s="11"/>
      <c r="G2105" s="27"/>
      <c r="H2105" s="28"/>
      <c r="I2105" s="21"/>
      <c r="J2105" s="21"/>
      <c r="K2105" s="21"/>
      <c r="L2105" s="11"/>
      <c r="M2105" s="21"/>
      <c r="N2105" s="21"/>
      <c r="O2105" s="2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</row>
    <row r="2106" ht="15.75" customHeight="1">
      <c r="A2106" s="11"/>
      <c r="B2106" s="11"/>
      <c r="C2106" s="11"/>
      <c r="D2106" s="11"/>
      <c r="E2106" s="11"/>
      <c r="F2106" s="11"/>
      <c r="G2106" s="27"/>
      <c r="H2106" s="28"/>
      <c r="I2106" s="21"/>
      <c r="J2106" s="21"/>
      <c r="K2106" s="21"/>
      <c r="L2106" s="11"/>
      <c r="M2106" s="21"/>
      <c r="N2106" s="21"/>
      <c r="O2106" s="2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</row>
    <row r="2107" ht="15.75" customHeight="1">
      <c r="A2107" s="11"/>
      <c r="B2107" s="11"/>
      <c r="C2107" s="11"/>
      <c r="D2107" s="11"/>
      <c r="E2107" s="11"/>
      <c r="F2107" s="11"/>
      <c r="G2107" s="27"/>
      <c r="H2107" s="28"/>
      <c r="I2107" s="21"/>
      <c r="J2107" s="21"/>
      <c r="K2107" s="21"/>
      <c r="L2107" s="11"/>
      <c r="M2107" s="21"/>
      <c r="N2107" s="21"/>
      <c r="O2107" s="2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</row>
    <row r="2108" ht="15.75" customHeight="1">
      <c r="A2108" s="11"/>
      <c r="B2108" s="11"/>
      <c r="C2108" s="11"/>
      <c r="D2108" s="11"/>
      <c r="E2108" s="11"/>
      <c r="F2108" s="11"/>
      <c r="G2108" s="27"/>
      <c r="H2108" s="28"/>
      <c r="I2108" s="21"/>
      <c r="J2108" s="21"/>
      <c r="K2108" s="21"/>
      <c r="L2108" s="11"/>
      <c r="M2108" s="21"/>
      <c r="N2108" s="21"/>
      <c r="O2108" s="2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</row>
    <row r="2109" ht="15.75" customHeight="1">
      <c r="A2109" s="11"/>
      <c r="B2109" s="11"/>
      <c r="C2109" s="11"/>
      <c r="D2109" s="11"/>
      <c r="E2109" s="11"/>
      <c r="F2109" s="11"/>
      <c r="G2109" s="27"/>
      <c r="H2109" s="28"/>
      <c r="I2109" s="21"/>
      <c r="J2109" s="21"/>
      <c r="K2109" s="21"/>
      <c r="L2109" s="11"/>
      <c r="M2109" s="21"/>
      <c r="N2109" s="21"/>
      <c r="O2109" s="2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</row>
    <row r="2110" ht="15.75" customHeight="1">
      <c r="A2110" s="11"/>
      <c r="B2110" s="11"/>
      <c r="C2110" s="11"/>
      <c r="D2110" s="11"/>
      <c r="E2110" s="11"/>
      <c r="F2110" s="11"/>
      <c r="G2110" s="27"/>
      <c r="H2110" s="28"/>
      <c r="I2110" s="21"/>
      <c r="J2110" s="21"/>
      <c r="K2110" s="21"/>
      <c r="L2110" s="11"/>
      <c r="M2110" s="21"/>
      <c r="N2110" s="21"/>
      <c r="O2110" s="2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</row>
    <row r="2111" ht="15.75" customHeight="1">
      <c r="A2111" s="11"/>
      <c r="B2111" s="11"/>
      <c r="C2111" s="11"/>
      <c r="D2111" s="11"/>
      <c r="E2111" s="11"/>
      <c r="F2111" s="11"/>
      <c r="G2111" s="27"/>
      <c r="H2111" s="28"/>
      <c r="I2111" s="21"/>
      <c r="J2111" s="21"/>
      <c r="K2111" s="21"/>
      <c r="L2111" s="11"/>
      <c r="M2111" s="21"/>
      <c r="N2111" s="21"/>
      <c r="O2111" s="2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</row>
    <row r="2112" ht="15.75" customHeight="1">
      <c r="A2112" s="11"/>
      <c r="B2112" s="11"/>
      <c r="C2112" s="11"/>
      <c r="D2112" s="11"/>
      <c r="E2112" s="11"/>
      <c r="F2112" s="11"/>
      <c r="G2112" s="27"/>
      <c r="H2112" s="28"/>
      <c r="I2112" s="21"/>
      <c r="J2112" s="21"/>
      <c r="K2112" s="21"/>
      <c r="L2112" s="11"/>
      <c r="M2112" s="21"/>
      <c r="N2112" s="21"/>
      <c r="O2112" s="2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</row>
    <row r="2113" ht="15.75" customHeight="1">
      <c r="A2113" s="11"/>
      <c r="B2113" s="11"/>
      <c r="C2113" s="11"/>
      <c r="D2113" s="11"/>
      <c r="E2113" s="11"/>
      <c r="F2113" s="11"/>
      <c r="G2113" s="27"/>
      <c r="H2113" s="28"/>
      <c r="I2113" s="21"/>
      <c r="J2113" s="21"/>
      <c r="K2113" s="21"/>
      <c r="L2113" s="11"/>
      <c r="M2113" s="21"/>
      <c r="N2113" s="21"/>
      <c r="O2113" s="2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</row>
    <row r="2114" ht="15.75" customHeight="1">
      <c r="A2114" s="11"/>
      <c r="B2114" s="11"/>
      <c r="C2114" s="11"/>
      <c r="D2114" s="11"/>
      <c r="E2114" s="11"/>
      <c r="F2114" s="11"/>
      <c r="G2114" s="27"/>
      <c r="H2114" s="28"/>
      <c r="I2114" s="21"/>
      <c r="J2114" s="21"/>
      <c r="K2114" s="21"/>
      <c r="L2114" s="11"/>
      <c r="M2114" s="21"/>
      <c r="N2114" s="21"/>
      <c r="O2114" s="2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</row>
    <row r="2115" ht="15.75" customHeight="1">
      <c r="A2115" s="11"/>
      <c r="B2115" s="11"/>
      <c r="C2115" s="11"/>
      <c r="D2115" s="11"/>
      <c r="E2115" s="11"/>
      <c r="F2115" s="11"/>
      <c r="G2115" s="27"/>
      <c r="H2115" s="28"/>
      <c r="I2115" s="21"/>
      <c r="J2115" s="21"/>
      <c r="K2115" s="21"/>
      <c r="L2115" s="11"/>
      <c r="M2115" s="21"/>
      <c r="N2115" s="21"/>
      <c r="O2115" s="2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</row>
    <row r="2116" ht="15.75" customHeight="1">
      <c r="A2116" s="11"/>
      <c r="B2116" s="11"/>
      <c r="C2116" s="11"/>
      <c r="D2116" s="11"/>
      <c r="E2116" s="11"/>
      <c r="F2116" s="11"/>
      <c r="G2116" s="27"/>
      <c r="H2116" s="28"/>
      <c r="I2116" s="21"/>
      <c r="J2116" s="21"/>
      <c r="K2116" s="21"/>
      <c r="L2116" s="11"/>
      <c r="M2116" s="21"/>
      <c r="N2116" s="21"/>
      <c r="O2116" s="2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</row>
    <row r="2117" ht="15.75" customHeight="1">
      <c r="A2117" s="11"/>
      <c r="B2117" s="11"/>
      <c r="C2117" s="11"/>
      <c r="D2117" s="11"/>
      <c r="E2117" s="11"/>
      <c r="F2117" s="11"/>
      <c r="G2117" s="27"/>
      <c r="H2117" s="28"/>
      <c r="I2117" s="21"/>
      <c r="J2117" s="21"/>
      <c r="K2117" s="21"/>
      <c r="L2117" s="11"/>
      <c r="M2117" s="21"/>
      <c r="N2117" s="21"/>
      <c r="O2117" s="2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</row>
    <row r="2118" ht="15.75" customHeight="1">
      <c r="A2118" s="11"/>
      <c r="B2118" s="11"/>
      <c r="C2118" s="11"/>
      <c r="D2118" s="11"/>
      <c r="E2118" s="11"/>
      <c r="F2118" s="11"/>
      <c r="G2118" s="27"/>
      <c r="H2118" s="28"/>
      <c r="I2118" s="21"/>
      <c r="J2118" s="21"/>
      <c r="K2118" s="21"/>
      <c r="L2118" s="11"/>
      <c r="M2118" s="21"/>
      <c r="N2118" s="21"/>
      <c r="O2118" s="2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</row>
    <row r="2119" ht="15.75" customHeight="1">
      <c r="A2119" s="11"/>
      <c r="B2119" s="11"/>
      <c r="C2119" s="11"/>
      <c r="D2119" s="11"/>
      <c r="E2119" s="11"/>
      <c r="F2119" s="11"/>
      <c r="G2119" s="27"/>
      <c r="H2119" s="28"/>
      <c r="I2119" s="21"/>
      <c r="J2119" s="21"/>
      <c r="K2119" s="21"/>
      <c r="L2119" s="11"/>
      <c r="M2119" s="21"/>
      <c r="N2119" s="21"/>
      <c r="O2119" s="2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</row>
    <row r="2120" ht="15.75" customHeight="1">
      <c r="A2120" s="11"/>
      <c r="B2120" s="11"/>
      <c r="C2120" s="11"/>
      <c r="D2120" s="11"/>
      <c r="E2120" s="11"/>
      <c r="F2120" s="11"/>
      <c r="G2120" s="27"/>
      <c r="H2120" s="28"/>
      <c r="I2120" s="21"/>
      <c r="J2120" s="21"/>
      <c r="K2120" s="21"/>
      <c r="L2120" s="11"/>
      <c r="M2120" s="21"/>
      <c r="N2120" s="21"/>
      <c r="O2120" s="2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</row>
    <row r="2121" ht="15.75" customHeight="1">
      <c r="A2121" s="11"/>
      <c r="B2121" s="11"/>
      <c r="C2121" s="11"/>
      <c r="D2121" s="11"/>
      <c r="E2121" s="11"/>
      <c r="F2121" s="11"/>
      <c r="G2121" s="27"/>
      <c r="H2121" s="28"/>
      <c r="I2121" s="21"/>
      <c r="J2121" s="21"/>
      <c r="K2121" s="21"/>
      <c r="L2121" s="11"/>
      <c r="M2121" s="21"/>
      <c r="N2121" s="21"/>
      <c r="O2121" s="2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</row>
    <row r="2122" ht="15.75" customHeight="1">
      <c r="A2122" s="11"/>
      <c r="B2122" s="11"/>
      <c r="C2122" s="11"/>
      <c r="D2122" s="11"/>
      <c r="E2122" s="11"/>
      <c r="F2122" s="11"/>
      <c r="G2122" s="27"/>
      <c r="H2122" s="28"/>
      <c r="I2122" s="21"/>
      <c r="J2122" s="21"/>
      <c r="K2122" s="21"/>
      <c r="L2122" s="11"/>
      <c r="M2122" s="21"/>
      <c r="N2122" s="21"/>
      <c r="O2122" s="2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</row>
    <row r="2123" ht="15.75" customHeight="1">
      <c r="A2123" s="11"/>
      <c r="B2123" s="11"/>
      <c r="C2123" s="11"/>
      <c r="D2123" s="11"/>
      <c r="E2123" s="11"/>
      <c r="F2123" s="11"/>
      <c r="G2123" s="27"/>
      <c r="H2123" s="28"/>
      <c r="I2123" s="21"/>
      <c r="J2123" s="21"/>
      <c r="K2123" s="21"/>
      <c r="L2123" s="11"/>
      <c r="M2123" s="21"/>
      <c r="N2123" s="21"/>
      <c r="O2123" s="2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</row>
    <row r="2124" ht="15.75" customHeight="1">
      <c r="A2124" s="11"/>
      <c r="B2124" s="11"/>
      <c r="C2124" s="11"/>
      <c r="D2124" s="11"/>
      <c r="E2124" s="11"/>
      <c r="F2124" s="11"/>
      <c r="G2124" s="27"/>
      <c r="H2124" s="28"/>
      <c r="I2124" s="21"/>
      <c r="J2124" s="21"/>
      <c r="K2124" s="21"/>
      <c r="L2124" s="11"/>
      <c r="M2124" s="21"/>
      <c r="N2124" s="21"/>
      <c r="O2124" s="2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</row>
    <row r="2125" ht="15.75" customHeight="1">
      <c r="A2125" s="11"/>
      <c r="B2125" s="11"/>
      <c r="C2125" s="11"/>
      <c r="D2125" s="11"/>
      <c r="E2125" s="11"/>
      <c r="F2125" s="11"/>
      <c r="G2125" s="27"/>
      <c r="H2125" s="28"/>
      <c r="I2125" s="21"/>
      <c r="J2125" s="21"/>
      <c r="K2125" s="21"/>
      <c r="L2125" s="11"/>
      <c r="M2125" s="21"/>
      <c r="N2125" s="21"/>
      <c r="O2125" s="2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</row>
    <row r="2126" ht="15.75" customHeight="1">
      <c r="A2126" s="11"/>
      <c r="B2126" s="11"/>
      <c r="C2126" s="11"/>
      <c r="D2126" s="11"/>
      <c r="E2126" s="11"/>
      <c r="F2126" s="11"/>
      <c r="G2126" s="27"/>
      <c r="H2126" s="28"/>
      <c r="I2126" s="21"/>
      <c r="J2126" s="21"/>
      <c r="K2126" s="21"/>
      <c r="L2126" s="11"/>
      <c r="M2126" s="21"/>
      <c r="N2126" s="21"/>
      <c r="O2126" s="2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</row>
    <row r="2127" ht="15.75" customHeight="1">
      <c r="A2127" s="11"/>
      <c r="B2127" s="11"/>
      <c r="C2127" s="11"/>
      <c r="D2127" s="11"/>
      <c r="E2127" s="11"/>
      <c r="F2127" s="11"/>
      <c r="G2127" s="27"/>
      <c r="H2127" s="28"/>
      <c r="I2127" s="21"/>
      <c r="J2127" s="21"/>
      <c r="K2127" s="21"/>
      <c r="L2127" s="11"/>
      <c r="M2127" s="21"/>
      <c r="N2127" s="21"/>
      <c r="O2127" s="2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</row>
    <row r="2128" ht="15.75" customHeight="1">
      <c r="A2128" s="11"/>
      <c r="B2128" s="11"/>
      <c r="C2128" s="11"/>
      <c r="D2128" s="11"/>
      <c r="E2128" s="11"/>
      <c r="F2128" s="11"/>
      <c r="G2128" s="27"/>
      <c r="H2128" s="28"/>
      <c r="I2128" s="21"/>
      <c r="J2128" s="21"/>
      <c r="K2128" s="21"/>
      <c r="L2128" s="11"/>
      <c r="M2128" s="21"/>
      <c r="N2128" s="21"/>
      <c r="O2128" s="2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</row>
    <row r="2129" ht="15.75" customHeight="1">
      <c r="A2129" s="11"/>
      <c r="B2129" s="11"/>
      <c r="C2129" s="11"/>
      <c r="D2129" s="11"/>
      <c r="E2129" s="11"/>
      <c r="F2129" s="11"/>
      <c r="G2129" s="27"/>
      <c r="H2129" s="28"/>
      <c r="I2129" s="21"/>
      <c r="J2129" s="21"/>
      <c r="K2129" s="21"/>
      <c r="L2129" s="11"/>
      <c r="M2129" s="21"/>
      <c r="N2129" s="21"/>
      <c r="O2129" s="2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</row>
    <row r="2130" ht="15.75" customHeight="1">
      <c r="A2130" s="11"/>
      <c r="B2130" s="11"/>
      <c r="C2130" s="11"/>
      <c r="D2130" s="11"/>
      <c r="E2130" s="11"/>
      <c r="F2130" s="11"/>
      <c r="G2130" s="27"/>
      <c r="H2130" s="28"/>
      <c r="I2130" s="21"/>
      <c r="J2130" s="21"/>
      <c r="K2130" s="21"/>
      <c r="L2130" s="11"/>
      <c r="M2130" s="21"/>
      <c r="N2130" s="21"/>
      <c r="O2130" s="2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</row>
    <row r="2131" ht="15.75" customHeight="1">
      <c r="A2131" s="11"/>
      <c r="B2131" s="11"/>
      <c r="C2131" s="11"/>
      <c r="D2131" s="11"/>
      <c r="E2131" s="11"/>
      <c r="F2131" s="11"/>
      <c r="G2131" s="27"/>
      <c r="H2131" s="28"/>
      <c r="I2131" s="21"/>
      <c r="J2131" s="21"/>
      <c r="K2131" s="21"/>
      <c r="L2131" s="11"/>
      <c r="M2131" s="21"/>
      <c r="N2131" s="21"/>
      <c r="O2131" s="2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</row>
    <row r="2132" ht="15.75" customHeight="1">
      <c r="A2132" s="11"/>
      <c r="B2132" s="11"/>
      <c r="C2132" s="11"/>
      <c r="D2132" s="11"/>
      <c r="E2132" s="11"/>
      <c r="F2132" s="11"/>
      <c r="G2132" s="27"/>
      <c r="H2132" s="28"/>
      <c r="I2132" s="21"/>
      <c r="J2132" s="21"/>
      <c r="K2132" s="21"/>
      <c r="L2132" s="11"/>
      <c r="M2132" s="21"/>
      <c r="N2132" s="21"/>
      <c r="O2132" s="2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</row>
    <row r="2133" ht="15.75" customHeight="1">
      <c r="A2133" s="11"/>
      <c r="B2133" s="11"/>
      <c r="C2133" s="11"/>
      <c r="D2133" s="11"/>
      <c r="E2133" s="11"/>
      <c r="F2133" s="11"/>
      <c r="G2133" s="27"/>
      <c r="H2133" s="28"/>
      <c r="I2133" s="21"/>
      <c r="J2133" s="21"/>
      <c r="K2133" s="21"/>
      <c r="L2133" s="11"/>
      <c r="M2133" s="21"/>
      <c r="N2133" s="21"/>
      <c r="O2133" s="2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</row>
    <row r="2134" ht="15.75" customHeight="1">
      <c r="A2134" s="11"/>
      <c r="B2134" s="11"/>
      <c r="C2134" s="11"/>
      <c r="D2134" s="11"/>
      <c r="E2134" s="11"/>
      <c r="F2134" s="11"/>
      <c r="G2134" s="27"/>
      <c r="H2134" s="28"/>
      <c r="I2134" s="21"/>
      <c r="J2134" s="21"/>
      <c r="K2134" s="21"/>
      <c r="L2134" s="11"/>
      <c r="M2134" s="21"/>
      <c r="N2134" s="21"/>
      <c r="O2134" s="2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</row>
    <row r="2135" ht="15.75" customHeight="1">
      <c r="A2135" s="11"/>
      <c r="B2135" s="11"/>
      <c r="C2135" s="11"/>
      <c r="D2135" s="11"/>
      <c r="E2135" s="11"/>
      <c r="F2135" s="11"/>
      <c r="G2135" s="27"/>
      <c r="H2135" s="28"/>
      <c r="I2135" s="21"/>
      <c r="J2135" s="21"/>
      <c r="K2135" s="21"/>
      <c r="L2135" s="11"/>
      <c r="M2135" s="21"/>
      <c r="N2135" s="21"/>
      <c r="O2135" s="2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</row>
    <row r="2136" ht="15.75" customHeight="1">
      <c r="A2136" s="11"/>
      <c r="B2136" s="11"/>
      <c r="C2136" s="11"/>
      <c r="D2136" s="11"/>
      <c r="E2136" s="11"/>
      <c r="F2136" s="11"/>
      <c r="G2136" s="27"/>
      <c r="H2136" s="28"/>
      <c r="I2136" s="21"/>
      <c r="J2136" s="21"/>
      <c r="K2136" s="21"/>
      <c r="L2136" s="11"/>
      <c r="M2136" s="21"/>
      <c r="N2136" s="21"/>
      <c r="O2136" s="2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</row>
    <row r="2137" ht="15.75" customHeight="1">
      <c r="A2137" s="11"/>
      <c r="B2137" s="11"/>
      <c r="C2137" s="11"/>
      <c r="D2137" s="11"/>
      <c r="E2137" s="11"/>
      <c r="F2137" s="11"/>
      <c r="G2137" s="27"/>
      <c r="H2137" s="28"/>
      <c r="I2137" s="21"/>
      <c r="J2137" s="21"/>
      <c r="K2137" s="21"/>
      <c r="L2137" s="11"/>
      <c r="M2137" s="21"/>
      <c r="N2137" s="21"/>
      <c r="O2137" s="2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</row>
    <row r="2138" ht="15.75" customHeight="1">
      <c r="A2138" s="11"/>
      <c r="B2138" s="11"/>
      <c r="C2138" s="11"/>
      <c r="D2138" s="11"/>
      <c r="E2138" s="11"/>
      <c r="F2138" s="11"/>
      <c r="G2138" s="27"/>
      <c r="H2138" s="28"/>
      <c r="I2138" s="21"/>
      <c r="J2138" s="21"/>
      <c r="K2138" s="21"/>
      <c r="L2138" s="11"/>
      <c r="M2138" s="21"/>
      <c r="N2138" s="21"/>
      <c r="O2138" s="2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</row>
    <row r="2139" ht="15.75" customHeight="1">
      <c r="A2139" s="11"/>
      <c r="B2139" s="11"/>
      <c r="C2139" s="11"/>
      <c r="D2139" s="11"/>
      <c r="E2139" s="11"/>
      <c r="F2139" s="11"/>
      <c r="G2139" s="27"/>
      <c r="H2139" s="28"/>
      <c r="I2139" s="21"/>
      <c r="J2139" s="21"/>
      <c r="K2139" s="21"/>
      <c r="L2139" s="11"/>
      <c r="M2139" s="21"/>
      <c r="N2139" s="21"/>
      <c r="O2139" s="2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</row>
    <row r="2140" ht="15.75" customHeight="1">
      <c r="A2140" s="11"/>
      <c r="B2140" s="11"/>
      <c r="C2140" s="11"/>
      <c r="D2140" s="11"/>
      <c r="E2140" s="11"/>
      <c r="F2140" s="11"/>
      <c r="G2140" s="27"/>
      <c r="H2140" s="28"/>
      <c r="I2140" s="21"/>
      <c r="J2140" s="21"/>
      <c r="K2140" s="21"/>
      <c r="L2140" s="11"/>
      <c r="M2140" s="21"/>
      <c r="N2140" s="21"/>
      <c r="O2140" s="2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</row>
    <row r="2141" ht="15.75" customHeight="1">
      <c r="A2141" s="11"/>
      <c r="B2141" s="11"/>
      <c r="C2141" s="11"/>
      <c r="D2141" s="11"/>
      <c r="E2141" s="11"/>
      <c r="F2141" s="11"/>
      <c r="G2141" s="27"/>
      <c r="H2141" s="28"/>
      <c r="I2141" s="21"/>
      <c r="J2141" s="21"/>
      <c r="K2141" s="21"/>
      <c r="L2141" s="11"/>
      <c r="M2141" s="21"/>
      <c r="N2141" s="21"/>
      <c r="O2141" s="2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</row>
    <row r="2142" ht="15.75" customHeight="1">
      <c r="A2142" s="11"/>
      <c r="B2142" s="11"/>
      <c r="C2142" s="11"/>
      <c r="D2142" s="11"/>
      <c r="E2142" s="11"/>
      <c r="F2142" s="11"/>
      <c r="G2142" s="27"/>
      <c r="H2142" s="28"/>
      <c r="I2142" s="21"/>
      <c r="J2142" s="21"/>
      <c r="K2142" s="21"/>
      <c r="L2142" s="11"/>
      <c r="M2142" s="21"/>
      <c r="N2142" s="21"/>
      <c r="O2142" s="2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</row>
    <row r="2143" ht="15.75" customHeight="1">
      <c r="A2143" s="11"/>
      <c r="B2143" s="11"/>
      <c r="C2143" s="11"/>
      <c r="D2143" s="11"/>
      <c r="E2143" s="11"/>
      <c r="F2143" s="11"/>
      <c r="G2143" s="27"/>
      <c r="H2143" s="28"/>
      <c r="I2143" s="21"/>
      <c r="J2143" s="21"/>
      <c r="K2143" s="21"/>
      <c r="L2143" s="11"/>
      <c r="M2143" s="21"/>
      <c r="N2143" s="21"/>
      <c r="O2143" s="2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</row>
    <row r="2144" ht="15.75" customHeight="1">
      <c r="A2144" s="11"/>
      <c r="B2144" s="11"/>
      <c r="C2144" s="11"/>
      <c r="D2144" s="11"/>
      <c r="E2144" s="11"/>
      <c r="F2144" s="11"/>
      <c r="G2144" s="27"/>
      <c r="H2144" s="28"/>
      <c r="I2144" s="21"/>
      <c r="J2144" s="21"/>
      <c r="K2144" s="21"/>
      <c r="L2144" s="11"/>
      <c r="M2144" s="21"/>
      <c r="N2144" s="21"/>
      <c r="O2144" s="2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</row>
    <row r="2145" ht="15.75" customHeight="1">
      <c r="A2145" s="11"/>
      <c r="B2145" s="11"/>
      <c r="C2145" s="11"/>
      <c r="D2145" s="11"/>
      <c r="E2145" s="11"/>
      <c r="F2145" s="11"/>
      <c r="G2145" s="27"/>
      <c r="H2145" s="28"/>
      <c r="I2145" s="21"/>
      <c r="J2145" s="21"/>
      <c r="K2145" s="21"/>
      <c r="L2145" s="11"/>
      <c r="M2145" s="21"/>
      <c r="N2145" s="21"/>
      <c r="O2145" s="2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</row>
    <row r="2146" ht="15.75" customHeight="1">
      <c r="A2146" s="11"/>
      <c r="B2146" s="11"/>
      <c r="C2146" s="11"/>
      <c r="D2146" s="11"/>
      <c r="E2146" s="11"/>
      <c r="F2146" s="11"/>
      <c r="G2146" s="27"/>
      <c r="H2146" s="28"/>
      <c r="I2146" s="21"/>
      <c r="J2146" s="21"/>
      <c r="K2146" s="21"/>
      <c r="L2146" s="11"/>
      <c r="M2146" s="21"/>
      <c r="N2146" s="21"/>
      <c r="O2146" s="2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</row>
    <row r="2147" ht="15.75" customHeight="1">
      <c r="A2147" s="11"/>
      <c r="B2147" s="11"/>
      <c r="C2147" s="11"/>
      <c r="D2147" s="11"/>
      <c r="E2147" s="11"/>
      <c r="F2147" s="11"/>
      <c r="G2147" s="27"/>
      <c r="H2147" s="28"/>
      <c r="I2147" s="21"/>
      <c r="J2147" s="21"/>
      <c r="K2147" s="21"/>
      <c r="L2147" s="11"/>
      <c r="M2147" s="21"/>
      <c r="N2147" s="21"/>
      <c r="O2147" s="2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</row>
    <row r="2148" ht="15.75" customHeight="1">
      <c r="A2148" s="11"/>
      <c r="B2148" s="11"/>
      <c r="C2148" s="11"/>
      <c r="D2148" s="11"/>
      <c r="E2148" s="11"/>
      <c r="F2148" s="11"/>
      <c r="G2148" s="27"/>
      <c r="H2148" s="28"/>
      <c r="I2148" s="21"/>
      <c r="J2148" s="21"/>
      <c r="K2148" s="21"/>
      <c r="L2148" s="11"/>
      <c r="M2148" s="21"/>
      <c r="N2148" s="21"/>
      <c r="O2148" s="2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</row>
    <row r="2149" ht="15.75" customHeight="1">
      <c r="A2149" s="11"/>
      <c r="B2149" s="11"/>
      <c r="C2149" s="11"/>
      <c r="D2149" s="11"/>
      <c r="E2149" s="11"/>
      <c r="F2149" s="11"/>
      <c r="G2149" s="27"/>
      <c r="H2149" s="28"/>
      <c r="I2149" s="21"/>
      <c r="J2149" s="21"/>
      <c r="K2149" s="21"/>
      <c r="L2149" s="11"/>
      <c r="M2149" s="21"/>
      <c r="N2149" s="21"/>
      <c r="O2149" s="2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</row>
    <row r="2150" ht="15.75" customHeight="1">
      <c r="A2150" s="11"/>
      <c r="B2150" s="11"/>
      <c r="C2150" s="11"/>
      <c r="D2150" s="11"/>
      <c r="E2150" s="11"/>
      <c r="F2150" s="11"/>
      <c r="G2150" s="27"/>
      <c r="H2150" s="28"/>
      <c r="I2150" s="21"/>
      <c r="J2150" s="21"/>
      <c r="K2150" s="21"/>
      <c r="L2150" s="11"/>
      <c r="M2150" s="21"/>
      <c r="N2150" s="21"/>
      <c r="O2150" s="2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</row>
    <row r="2151" ht="15.75" customHeight="1">
      <c r="A2151" s="11"/>
      <c r="B2151" s="11"/>
      <c r="C2151" s="11"/>
      <c r="D2151" s="11"/>
      <c r="E2151" s="11"/>
      <c r="F2151" s="11"/>
      <c r="G2151" s="27"/>
      <c r="H2151" s="28"/>
      <c r="I2151" s="21"/>
      <c r="J2151" s="21"/>
      <c r="K2151" s="21"/>
      <c r="L2151" s="11"/>
      <c r="M2151" s="21"/>
      <c r="N2151" s="21"/>
      <c r="O2151" s="2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</row>
    <row r="2152" ht="15.75" customHeight="1">
      <c r="A2152" s="11"/>
      <c r="B2152" s="11"/>
      <c r="C2152" s="11"/>
      <c r="D2152" s="11"/>
      <c r="E2152" s="11"/>
      <c r="F2152" s="11"/>
      <c r="G2152" s="27"/>
      <c r="H2152" s="28"/>
      <c r="I2152" s="21"/>
      <c r="J2152" s="21"/>
      <c r="K2152" s="21"/>
      <c r="L2152" s="11"/>
      <c r="M2152" s="21"/>
      <c r="N2152" s="21"/>
      <c r="O2152" s="2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</row>
    <row r="2153" ht="15.75" customHeight="1">
      <c r="A2153" s="11"/>
      <c r="B2153" s="11"/>
      <c r="C2153" s="11"/>
      <c r="D2153" s="11"/>
      <c r="E2153" s="11"/>
      <c r="F2153" s="11"/>
      <c r="G2153" s="27"/>
      <c r="H2153" s="28"/>
      <c r="I2153" s="21"/>
      <c r="J2153" s="21"/>
      <c r="K2153" s="21"/>
      <c r="L2153" s="11"/>
      <c r="M2153" s="21"/>
      <c r="N2153" s="21"/>
      <c r="O2153" s="2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</row>
    <row r="2154" ht="15.75" customHeight="1">
      <c r="A2154" s="11"/>
      <c r="B2154" s="11"/>
      <c r="C2154" s="11"/>
      <c r="D2154" s="11"/>
      <c r="E2154" s="11"/>
      <c r="F2154" s="11"/>
      <c r="G2154" s="27"/>
      <c r="H2154" s="28"/>
      <c r="I2154" s="21"/>
      <c r="J2154" s="21"/>
      <c r="K2154" s="21"/>
      <c r="L2154" s="11"/>
      <c r="M2154" s="21"/>
      <c r="N2154" s="21"/>
      <c r="O2154" s="2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</row>
    <row r="2155" ht="15.75" customHeight="1">
      <c r="A2155" s="11"/>
      <c r="B2155" s="11"/>
      <c r="C2155" s="11"/>
      <c r="D2155" s="11"/>
      <c r="E2155" s="11"/>
      <c r="F2155" s="11"/>
      <c r="G2155" s="27"/>
      <c r="H2155" s="28"/>
      <c r="I2155" s="21"/>
      <c r="J2155" s="21"/>
      <c r="K2155" s="21"/>
      <c r="L2155" s="11"/>
      <c r="M2155" s="21"/>
      <c r="N2155" s="21"/>
      <c r="O2155" s="2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</row>
    <row r="2156" ht="15.75" customHeight="1">
      <c r="A2156" s="11"/>
      <c r="B2156" s="11"/>
      <c r="C2156" s="11"/>
      <c r="D2156" s="11"/>
      <c r="E2156" s="11"/>
      <c r="F2156" s="11"/>
      <c r="G2156" s="27"/>
      <c r="H2156" s="28"/>
      <c r="I2156" s="21"/>
      <c r="J2156" s="21"/>
      <c r="K2156" s="21"/>
      <c r="L2156" s="11"/>
      <c r="M2156" s="21"/>
      <c r="N2156" s="21"/>
      <c r="O2156" s="2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</row>
    <row r="2157" ht="15.75" customHeight="1">
      <c r="A2157" s="11"/>
      <c r="B2157" s="11"/>
      <c r="C2157" s="11"/>
      <c r="D2157" s="11"/>
      <c r="E2157" s="11"/>
      <c r="F2157" s="11"/>
      <c r="G2157" s="27"/>
      <c r="H2157" s="28"/>
      <c r="I2157" s="21"/>
      <c r="J2157" s="21"/>
      <c r="K2157" s="21"/>
      <c r="L2157" s="11"/>
      <c r="M2157" s="21"/>
      <c r="N2157" s="21"/>
      <c r="O2157" s="2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</row>
    <row r="2158" ht="15.75" customHeight="1">
      <c r="A2158" s="11"/>
      <c r="B2158" s="11"/>
      <c r="C2158" s="11"/>
      <c r="D2158" s="11"/>
      <c r="E2158" s="11"/>
      <c r="F2158" s="11"/>
      <c r="G2158" s="27"/>
      <c r="H2158" s="28"/>
      <c r="I2158" s="21"/>
      <c r="J2158" s="21"/>
      <c r="K2158" s="21"/>
      <c r="L2158" s="11"/>
      <c r="M2158" s="21"/>
      <c r="N2158" s="21"/>
      <c r="O2158" s="2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</row>
    <row r="2159" ht="15.75" customHeight="1">
      <c r="A2159" s="11"/>
      <c r="B2159" s="11"/>
      <c r="C2159" s="11"/>
      <c r="D2159" s="11"/>
      <c r="E2159" s="11"/>
      <c r="F2159" s="11"/>
      <c r="G2159" s="27"/>
      <c r="H2159" s="28"/>
      <c r="I2159" s="21"/>
      <c r="J2159" s="21"/>
      <c r="K2159" s="21"/>
      <c r="L2159" s="11"/>
      <c r="M2159" s="21"/>
      <c r="N2159" s="21"/>
      <c r="O2159" s="2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</row>
    <row r="2160" ht="15.75" customHeight="1">
      <c r="A2160" s="11"/>
      <c r="B2160" s="11"/>
      <c r="C2160" s="11"/>
      <c r="D2160" s="11"/>
      <c r="E2160" s="11"/>
      <c r="F2160" s="11"/>
      <c r="G2160" s="27"/>
      <c r="H2160" s="28"/>
      <c r="I2160" s="21"/>
      <c r="J2160" s="21"/>
      <c r="K2160" s="21"/>
      <c r="L2160" s="11"/>
      <c r="M2160" s="21"/>
      <c r="N2160" s="21"/>
      <c r="O2160" s="2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</row>
    <row r="2161" ht="15.75" customHeight="1">
      <c r="A2161" s="11"/>
      <c r="B2161" s="11"/>
      <c r="C2161" s="11"/>
      <c r="D2161" s="11"/>
      <c r="E2161" s="11"/>
      <c r="F2161" s="11"/>
      <c r="G2161" s="27"/>
      <c r="H2161" s="28"/>
      <c r="I2161" s="21"/>
      <c r="J2161" s="21"/>
      <c r="K2161" s="21"/>
      <c r="L2161" s="11"/>
      <c r="M2161" s="21"/>
      <c r="N2161" s="21"/>
      <c r="O2161" s="2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</row>
    <row r="2162" ht="15.75" customHeight="1">
      <c r="A2162" s="11"/>
      <c r="B2162" s="11"/>
      <c r="C2162" s="11"/>
      <c r="D2162" s="11"/>
      <c r="E2162" s="11"/>
      <c r="F2162" s="11"/>
      <c r="G2162" s="27"/>
      <c r="H2162" s="28"/>
      <c r="I2162" s="21"/>
      <c r="J2162" s="21"/>
      <c r="K2162" s="21"/>
      <c r="L2162" s="11"/>
      <c r="M2162" s="21"/>
      <c r="N2162" s="21"/>
      <c r="O2162" s="2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</row>
    <row r="2163" ht="15.75" customHeight="1">
      <c r="A2163" s="11"/>
      <c r="B2163" s="11"/>
      <c r="C2163" s="11"/>
      <c r="D2163" s="11"/>
      <c r="E2163" s="11"/>
      <c r="F2163" s="11"/>
      <c r="G2163" s="27"/>
      <c r="H2163" s="28"/>
      <c r="I2163" s="21"/>
      <c r="J2163" s="21"/>
      <c r="K2163" s="21"/>
      <c r="L2163" s="11"/>
      <c r="M2163" s="21"/>
      <c r="N2163" s="21"/>
      <c r="O2163" s="2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</row>
    <row r="2164" ht="15.75" customHeight="1">
      <c r="A2164" s="11"/>
      <c r="B2164" s="11"/>
      <c r="C2164" s="11"/>
      <c r="D2164" s="11"/>
      <c r="E2164" s="11"/>
      <c r="F2164" s="11"/>
      <c r="G2164" s="27"/>
      <c r="H2164" s="28"/>
      <c r="I2164" s="21"/>
      <c r="J2164" s="21"/>
      <c r="K2164" s="21"/>
      <c r="L2164" s="11"/>
      <c r="M2164" s="21"/>
      <c r="N2164" s="21"/>
      <c r="O2164" s="2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</row>
    <row r="2165" ht="15.75" customHeight="1">
      <c r="A2165" s="11"/>
      <c r="B2165" s="11"/>
      <c r="C2165" s="11"/>
      <c r="D2165" s="11"/>
      <c r="E2165" s="11"/>
      <c r="F2165" s="11"/>
      <c r="G2165" s="27"/>
      <c r="H2165" s="28"/>
      <c r="I2165" s="21"/>
      <c r="J2165" s="21"/>
      <c r="K2165" s="21"/>
      <c r="L2165" s="11"/>
      <c r="M2165" s="21"/>
      <c r="N2165" s="21"/>
      <c r="O2165" s="2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</row>
    <row r="2166" ht="15.75" customHeight="1">
      <c r="A2166" s="11"/>
      <c r="B2166" s="11"/>
      <c r="C2166" s="11"/>
      <c r="D2166" s="11"/>
      <c r="E2166" s="11"/>
      <c r="F2166" s="11"/>
      <c r="G2166" s="27"/>
      <c r="H2166" s="28"/>
      <c r="I2166" s="21"/>
      <c r="J2166" s="21"/>
      <c r="K2166" s="21"/>
      <c r="L2166" s="11"/>
      <c r="M2166" s="21"/>
      <c r="N2166" s="21"/>
      <c r="O2166" s="2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</row>
    <row r="2167" ht="15.75" customHeight="1">
      <c r="A2167" s="11"/>
      <c r="B2167" s="11"/>
      <c r="C2167" s="11"/>
      <c r="D2167" s="11"/>
      <c r="E2167" s="11"/>
      <c r="F2167" s="11"/>
      <c r="G2167" s="27"/>
      <c r="H2167" s="28"/>
      <c r="I2167" s="21"/>
      <c r="J2167" s="21"/>
      <c r="K2167" s="21"/>
      <c r="L2167" s="11"/>
      <c r="M2167" s="21"/>
      <c r="N2167" s="21"/>
      <c r="O2167" s="2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</row>
    <row r="2168" ht="15.75" customHeight="1">
      <c r="A2168" s="11"/>
      <c r="B2168" s="11"/>
      <c r="C2168" s="11"/>
      <c r="D2168" s="11"/>
      <c r="E2168" s="11"/>
      <c r="F2168" s="11"/>
      <c r="G2168" s="27"/>
      <c r="H2168" s="28"/>
      <c r="I2168" s="21"/>
      <c r="J2168" s="21"/>
      <c r="K2168" s="21"/>
      <c r="L2168" s="11"/>
      <c r="M2168" s="21"/>
      <c r="N2168" s="21"/>
      <c r="O2168" s="2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</row>
    <row r="2169" ht="15.75" customHeight="1">
      <c r="A2169" s="11"/>
      <c r="B2169" s="11"/>
      <c r="C2169" s="11"/>
      <c r="D2169" s="11"/>
      <c r="E2169" s="11"/>
      <c r="F2169" s="11"/>
      <c r="G2169" s="27"/>
      <c r="H2169" s="28"/>
      <c r="I2169" s="21"/>
      <c r="J2169" s="21"/>
      <c r="K2169" s="21"/>
      <c r="L2169" s="11"/>
      <c r="M2169" s="21"/>
      <c r="N2169" s="21"/>
      <c r="O2169" s="2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</row>
    <row r="2170" ht="15.75" customHeight="1">
      <c r="A2170" s="11"/>
      <c r="B2170" s="11"/>
      <c r="C2170" s="11"/>
      <c r="D2170" s="11"/>
      <c r="E2170" s="11"/>
      <c r="F2170" s="11"/>
      <c r="G2170" s="27"/>
      <c r="H2170" s="28"/>
      <c r="I2170" s="21"/>
      <c r="J2170" s="21"/>
      <c r="K2170" s="21"/>
      <c r="L2170" s="11"/>
      <c r="M2170" s="21"/>
      <c r="N2170" s="21"/>
      <c r="O2170" s="2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</row>
    <row r="2171" ht="15.75" customHeight="1">
      <c r="A2171" s="11"/>
      <c r="B2171" s="11"/>
      <c r="C2171" s="11"/>
      <c r="D2171" s="11"/>
      <c r="E2171" s="11"/>
      <c r="F2171" s="11"/>
      <c r="G2171" s="27"/>
      <c r="H2171" s="28"/>
      <c r="I2171" s="21"/>
      <c r="J2171" s="21"/>
      <c r="K2171" s="21"/>
      <c r="L2171" s="11"/>
      <c r="M2171" s="21"/>
      <c r="N2171" s="21"/>
      <c r="O2171" s="2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</row>
    <row r="2172" ht="15.75" customHeight="1">
      <c r="A2172" s="11"/>
      <c r="B2172" s="11"/>
      <c r="C2172" s="11"/>
      <c r="D2172" s="11"/>
      <c r="E2172" s="11"/>
      <c r="F2172" s="11"/>
      <c r="G2172" s="27"/>
      <c r="H2172" s="28"/>
      <c r="I2172" s="21"/>
      <c r="J2172" s="21"/>
      <c r="K2172" s="21"/>
      <c r="L2172" s="11"/>
      <c r="M2172" s="21"/>
      <c r="N2172" s="21"/>
      <c r="O2172" s="2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</row>
    <row r="2173" ht="15.75" customHeight="1">
      <c r="A2173" s="11"/>
      <c r="B2173" s="11"/>
      <c r="C2173" s="11"/>
      <c r="D2173" s="11"/>
      <c r="E2173" s="11"/>
      <c r="F2173" s="11"/>
      <c r="G2173" s="27"/>
      <c r="H2173" s="28"/>
      <c r="I2173" s="21"/>
      <c r="J2173" s="21"/>
      <c r="K2173" s="21"/>
      <c r="L2173" s="11"/>
      <c r="M2173" s="21"/>
      <c r="N2173" s="21"/>
      <c r="O2173" s="2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</row>
    <row r="2174" ht="15.75" customHeight="1">
      <c r="A2174" s="11"/>
      <c r="B2174" s="11"/>
      <c r="C2174" s="11"/>
      <c r="D2174" s="11"/>
      <c r="E2174" s="11"/>
      <c r="F2174" s="11"/>
      <c r="G2174" s="27"/>
      <c r="H2174" s="28"/>
      <c r="I2174" s="21"/>
      <c r="J2174" s="21"/>
      <c r="K2174" s="21"/>
      <c r="L2174" s="11"/>
      <c r="M2174" s="21"/>
      <c r="N2174" s="21"/>
      <c r="O2174" s="2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</row>
    <row r="2175" ht="15.75" customHeight="1">
      <c r="A2175" s="11"/>
      <c r="B2175" s="11"/>
      <c r="C2175" s="11"/>
      <c r="D2175" s="11"/>
      <c r="E2175" s="11"/>
      <c r="F2175" s="11"/>
      <c r="G2175" s="27"/>
      <c r="H2175" s="28"/>
      <c r="I2175" s="21"/>
      <c r="J2175" s="21"/>
      <c r="K2175" s="21"/>
      <c r="L2175" s="11"/>
      <c r="M2175" s="21"/>
      <c r="N2175" s="21"/>
      <c r="O2175" s="2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</row>
    <row r="2176" ht="15.75" customHeight="1">
      <c r="A2176" s="11"/>
      <c r="B2176" s="11"/>
      <c r="C2176" s="11"/>
      <c r="D2176" s="11"/>
      <c r="E2176" s="11"/>
      <c r="F2176" s="11"/>
      <c r="G2176" s="27"/>
      <c r="H2176" s="28"/>
      <c r="I2176" s="21"/>
      <c r="J2176" s="21"/>
      <c r="K2176" s="21"/>
      <c r="L2176" s="11"/>
      <c r="M2176" s="21"/>
      <c r="N2176" s="21"/>
      <c r="O2176" s="2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</row>
    <row r="2177" ht="15.75" customHeight="1">
      <c r="A2177" s="11"/>
      <c r="B2177" s="11"/>
      <c r="C2177" s="11"/>
      <c r="D2177" s="11"/>
      <c r="E2177" s="11"/>
      <c r="F2177" s="11"/>
      <c r="G2177" s="27"/>
      <c r="H2177" s="28"/>
      <c r="I2177" s="21"/>
      <c r="J2177" s="21"/>
      <c r="K2177" s="21"/>
      <c r="L2177" s="11"/>
      <c r="M2177" s="21"/>
      <c r="N2177" s="21"/>
      <c r="O2177" s="2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</row>
    <row r="2178" ht="15.75" customHeight="1">
      <c r="A2178" s="11"/>
      <c r="B2178" s="11"/>
      <c r="C2178" s="11"/>
      <c r="D2178" s="11"/>
      <c r="E2178" s="11"/>
      <c r="F2178" s="11"/>
      <c r="G2178" s="27"/>
      <c r="H2178" s="28"/>
      <c r="I2178" s="21"/>
      <c r="J2178" s="21"/>
      <c r="K2178" s="21"/>
      <c r="L2178" s="11"/>
      <c r="M2178" s="21"/>
      <c r="N2178" s="21"/>
      <c r="O2178" s="2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</row>
    <row r="2179" ht="15.75" customHeight="1">
      <c r="A2179" s="11"/>
      <c r="B2179" s="11"/>
      <c r="C2179" s="11"/>
      <c r="D2179" s="11"/>
      <c r="E2179" s="11"/>
      <c r="F2179" s="11"/>
      <c r="G2179" s="27"/>
      <c r="H2179" s="28"/>
      <c r="I2179" s="21"/>
      <c r="J2179" s="21"/>
      <c r="K2179" s="21"/>
      <c r="L2179" s="11"/>
      <c r="M2179" s="21"/>
      <c r="N2179" s="21"/>
      <c r="O2179" s="2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</row>
    <row r="2180" ht="15.75" customHeight="1">
      <c r="A2180" s="11"/>
      <c r="B2180" s="11"/>
      <c r="C2180" s="11"/>
      <c r="D2180" s="11"/>
      <c r="E2180" s="11"/>
      <c r="F2180" s="11"/>
      <c r="G2180" s="27"/>
      <c r="H2180" s="28"/>
      <c r="I2180" s="21"/>
      <c r="J2180" s="21"/>
      <c r="K2180" s="21"/>
      <c r="L2180" s="11"/>
      <c r="M2180" s="21"/>
      <c r="N2180" s="21"/>
      <c r="O2180" s="2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</row>
    <row r="2181" ht="15.75" customHeight="1">
      <c r="A2181" s="11"/>
      <c r="B2181" s="11"/>
      <c r="C2181" s="11"/>
      <c r="D2181" s="11"/>
      <c r="E2181" s="11"/>
      <c r="F2181" s="11"/>
      <c r="G2181" s="27"/>
      <c r="H2181" s="28"/>
      <c r="I2181" s="21"/>
      <c r="J2181" s="21"/>
      <c r="K2181" s="21"/>
      <c r="L2181" s="11"/>
      <c r="M2181" s="21"/>
      <c r="N2181" s="21"/>
      <c r="O2181" s="2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</row>
    <row r="2182" ht="15.75" customHeight="1">
      <c r="A2182" s="11"/>
      <c r="B2182" s="11"/>
      <c r="C2182" s="11"/>
      <c r="D2182" s="11"/>
      <c r="E2182" s="11"/>
      <c r="F2182" s="11"/>
      <c r="G2182" s="27"/>
      <c r="H2182" s="28"/>
      <c r="I2182" s="21"/>
      <c r="J2182" s="21"/>
      <c r="K2182" s="21"/>
      <c r="L2182" s="11"/>
      <c r="M2182" s="21"/>
      <c r="N2182" s="21"/>
      <c r="O2182" s="2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</row>
    <row r="2183" ht="15.75" customHeight="1">
      <c r="A2183" s="11"/>
      <c r="B2183" s="11"/>
      <c r="C2183" s="11"/>
      <c r="D2183" s="11"/>
      <c r="E2183" s="11"/>
      <c r="F2183" s="11"/>
      <c r="G2183" s="27"/>
      <c r="H2183" s="28"/>
      <c r="I2183" s="21"/>
      <c r="J2183" s="21"/>
      <c r="K2183" s="21"/>
      <c r="L2183" s="11"/>
      <c r="M2183" s="21"/>
      <c r="N2183" s="21"/>
      <c r="O2183" s="2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</row>
    <row r="2184" ht="15.75" customHeight="1">
      <c r="A2184" s="11"/>
      <c r="B2184" s="11"/>
      <c r="C2184" s="11"/>
      <c r="D2184" s="11"/>
      <c r="E2184" s="11"/>
      <c r="F2184" s="11"/>
      <c r="G2184" s="27"/>
      <c r="H2184" s="28"/>
      <c r="I2184" s="21"/>
      <c r="J2184" s="21"/>
      <c r="K2184" s="21"/>
      <c r="L2184" s="11"/>
      <c r="M2184" s="21"/>
      <c r="N2184" s="21"/>
      <c r="O2184" s="2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</row>
    <row r="2185" ht="15.75" customHeight="1">
      <c r="A2185" s="11"/>
      <c r="B2185" s="11"/>
      <c r="C2185" s="11"/>
      <c r="D2185" s="11"/>
      <c r="E2185" s="11"/>
      <c r="F2185" s="11"/>
      <c r="G2185" s="27"/>
      <c r="H2185" s="28"/>
      <c r="I2185" s="21"/>
      <c r="J2185" s="21"/>
      <c r="K2185" s="21"/>
      <c r="L2185" s="11"/>
      <c r="M2185" s="21"/>
      <c r="N2185" s="21"/>
      <c r="O2185" s="2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</row>
    <row r="2186" ht="15.75" customHeight="1">
      <c r="A2186" s="11"/>
      <c r="B2186" s="11"/>
      <c r="C2186" s="11"/>
      <c r="D2186" s="11"/>
      <c r="E2186" s="11"/>
      <c r="F2186" s="11"/>
      <c r="G2186" s="27"/>
      <c r="H2186" s="28"/>
      <c r="I2186" s="21"/>
      <c r="J2186" s="21"/>
      <c r="K2186" s="21"/>
      <c r="L2186" s="11"/>
      <c r="M2186" s="21"/>
      <c r="N2186" s="21"/>
      <c r="O2186" s="2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</row>
    <row r="2187" ht="15.75" customHeight="1">
      <c r="A2187" s="11"/>
      <c r="B2187" s="11"/>
      <c r="C2187" s="11"/>
      <c r="D2187" s="11"/>
      <c r="E2187" s="11"/>
      <c r="F2187" s="11"/>
      <c r="G2187" s="27"/>
      <c r="H2187" s="28"/>
      <c r="I2187" s="21"/>
      <c r="J2187" s="21"/>
      <c r="K2187" s="21"/>
      <c r="L2187" s="11"/>
      <c r="M2187" s="21"/>
      <c r="N2187" s="21"/>
      <c r="O2187" s="2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</row>
    <row r="2188" ht="15.75" customHeight="1">
      <c r="A2188" s="11"/>
      <c r="B2188" s="11"/>
      <c r="C2188" s="11"/>
      <c r="D2188" s="11"/>
      <c r="E2188" s="11"/>
      <c r="F2188" s="11"/>
      <c r="G2188" s="27"/>
      <c r="H2188" s="28"/>
      <c r="I2188" s="21"/>
      <c r="J2188" s="21"/>
      <c r="K2188" s="21"/>
      <c r="L2188" s="11"/>
      <c r="M2188" s="21"/>
      <c r="N2188" s="21"/>
      <c r="O2188" s="2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</row>
    <row r="2189" ht="15.75" customHeight="1">
      <c r="A2189" s="11"/>
      <c r="B2189" s="11"/>
      <c r="C2189" s="11"/>
      <c r="D2189" s="11"/>
      <c r="E2189" s="11"/>
      <c r="F2189" s="11"/>
      <c r="G2189" s="27"/>
      <c r="H2189" s="28"/>
      <c r="I2189" s="21"/>
      <c r="J2189" s="21"/>
      <c r="K2189" s="21"/>
      <c r="L2189" s="11"/>
      <c r="M2189" s="21"/>
      <c r="N2189" s="21"/>
      <c r="O2189" s="2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</row>
    <row r="2190" ht="15.75" customHeight="1">
      <c r="A2190" s="11"/>
      <c r="B2190" s="11"/>
      <c r="C2190" s="11"/>
      <c r="D2190" s="11"/>
      <c r="E2190" s="11"/>
      <c r="F2190" s="11"/>
      <c r="G2190" s="27"/>
      <c r="H2190" s="28"/>
      <c r="I2190" s="21"/>
      <c r="J2190" s="21"/>
      <c r="K2190" s="21"/>
      <c r="L2190" s="11"/>
      <c r="M2190" s="21"/>
      <c r="N2190" s="21"/>
      <c r="O2190" s="2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</row>
    <row r="2191" ht="15.75" customHeight="1">
      <c r="A2191" s="11"/>
      <c r="B2191" s="11"/>
      <c r="C2191" s="11"/>
      <c r="D2191" s="11"/>
      <c r="E2191" s="11"/>
      <c r="F2191" s="11"/>
      <c r="G2191" s="27"/>
      <c r="H2191" s="28"/>
      <c r="I2191" s="21"/>
      <c r="J2191" s="21"/>
      <c r="K2191" s="21"/>
      <c r="L2191" s="11"/>
      <c r="M2191" s="21"/>
      <c r="N2191" s="21"/>
      <c r="O2191" s="2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</row>
    <row r="2192" ht="15.75" customHeight="1">
      <c r="A2192" s="11"/>
      <c r="B2192" s="11"/>
      <c r="C2192" s="11"/>
      <c r="D2192" s="11"/>
      <c r="E2192" s="11"/>
      <c r="F2192" s="11"/>
      <c r="G2192" s="27"/>
      <c r="H2192" s="28"/>
      <c r="I2192" s="21"/>
      <c r="J2192" s="21"/>
      <c r="K2192" s="21"/>
      <c r="L2192" s="11"/>
      <c r="M2192" s="21"/>
      <c r="N2192" s="21"/>
      <c r="O2192" s="2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</row>
    <row r="2193" ht="15.75" customHeight="1">
      <c r="A2193" s="11"/>
      <c r="B2193" s="11"/>
      <c r="C2193" s="11"/>
      <c r="D2193" s="11"/>
      <c r="E2193" s="11"/>
      <c r="F2193" s="11"/>
      <c r="G2193" s="27"/>
      <c r="H2193" s="28"/>
      <c r="I2193" s="21"/>
      <c r="J2193" s="21"/>
      <c r="K2193" s="21"/>
      <c r="L2193" s="11"/>
      <c r="M2193" s="21"/>
      <c r="N2193" s="21"/>
      <c r="O2193" s="2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</row>
    <row r="2194" ht="15.75" customHeight="1">
      <c r="A2194" s="11"/>
      <c r="B2194" s="11"/>
      <c r="C2194" s="11"/>
      <c r="D2194" s="11"/>
      <c r="E2194" s="11"/>
      <c r="F2194" s="11"/>
      <c r="G2194" s="27"/>
      <c r="H2194" s="28"/>
      <c r="I2194" s="21"/>
      <c r="J2194" s="21"/>
      <c r="K2194" s="21"/>
      <c r="L2194" s="11"/>
      <c r="M2194" s="21"/>
      <c r="N2194" s="21"/>
      <c r="O2194" s="2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</row>
    <row r="2195" ht="15.75" customHeight="1">
      <c r="A2195" s="11"/>
      <c r="B2195" s="11"/>
      <c r="C2195" s="11"/>
      <c r="D2195" s="11"/>
      <c r="E2195" s="11"/>
      <c r="F2195" s="11"/>
      <c r="G2195" s="27"/>
      <c r="H2195" s="28"/>
      <c r="I2195" s="21"/>
      <c r="J2195" s="21"/>
      <c r="K2195" s="21"/>
      <c r="L2195" s="11"/>
      <c r="M2195" s="21"/>
      <c r="N2195" s="21"/>
      <c r="O2195" s="2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</row>
    <row r="2196" ht="15.75" customHeight="1">
      <c r="A2196" s="11"/>
      <c r="B2196" s="11"/>
      <c r="C2196" s="11"/>
      <c r="D2196" s="11"/>
      <c r="E2196" s="11"/>
      <c r="F2196" s="11"/>
      <c r="G2196" s="27"/>
      <c r="H2196" s="28"/>
      <c r="I2196" s="21"/>
      <c r="J2196" s="21"/>
      <c r="K2196" s="21"/>
      <c r="L2196" s="11"/>
      <c r="M2196" s="21"/>
      <c r="N2196" s="21"/>
      <c r="O2196" s="2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</row>
    <row r="2197" ht="15.75" customHeight="1">
      <c r="A2197" s="11"/>
      <c r="B2197" s="11"/>
      <c r="C2197" s="11"/>
      <c r="D2197" s="11"/>
      <c r="E2197" s="11"/>
      <c r="F2197" s="11"/>
      <c r="G2197" s="27"/>
      <c r="H2197" s="28"/>
      <c r="I2197" s="21"/>
      <c r="J2197" s="21"/>
      <c r="K2197" s="21"/>
      <c r="L2197" s="11"/>
      <c r="M2197" s="21"/>
      <c r="N2197" s="21"/>
      <c r="O2197" s="2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</row>
    <row r="2198" ht="15.75" customHeight="1">
      <c r="A2198" s="11"/>
      <c r="B2198" s="11"/>
      <c r="C2198" s="11"/>
      <c r="D2198" s="11"/>
      <c r="E2198" s="11"/>
      <c r="F2198" s="11"/>
      <c r="G2198" s="27"/>
      <c r="H2198" s="28"/>
      <c r="I2198" s="21"/>
      <c r="J2198" s="21"/>
      <c r="K2198" s="21"/>
      <c r="L2198" s="11"/>
      <c r="M2198" s="21"/>
      <c r="N2198" s="21"/>
      <c r="O2198" s="2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</row>
    <row r="2199" ht="15.75" customHeight="1">
      <c r="A2199" s="11"/>
      <c r="B2199" s="11"/>
      <c r="C2199" s="11"/>
      <c r="D2199" s="11"/>
      <c r="E2199" s="11"/>
      <c r="F2199" s="11"/>
      <c r="G2199" s="27"/>
      <c r="H2199" s="28"/>
      <c r="I2199" s="21"/>
      <c r="J2199" s="21"/>
      <c r="K2199" s="21"/>
      <c r="L2199" s="11"/>
      <c r="M2199" s="21"/>
      <c r="N2199" s="21"/>
      <c r="O2199" s="2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</row>
    <row r="2200" ht="15.75" customHeight="1">
      <c r="A2200" s="11"/>
      <c r="B2200" s="11"/>
      <c r="C2200" s="11"/>
      <c r="D2200" s="11"/>
      <c r="E2200" s="11"/>
      <c r="F2200" s="11"/>
      <c r="G2200" s="27"/>
      <c r="H2200" s="28"/>
      <c r="I2200" s="21"/>
      <c r="J2200" s="21"/>
      <c r="K2200" s="21"/>
      <c r="L2200" s="11"/>
      <c r="M2200" s="21"/>
      <c r="N2200" s="21"/>
      <c r="O2200" s="2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</row>
    <row r="2201" ht="15.75" customHeight="1">
      <c r="A2201" s="11"/>
      <c r="B2201" s="11"/>
      <c r="C2201" s="11"/>
      <c r="D2201" s="11"/>
      <c r="E2201" s="11"/>
      <c r="F2201" s="11"/>
      <c r="G2201" s="27"/>
      <c r="H2201" s="28"/>
      <c r="I2201" s="21"/>
      <c r="J2201" s="21"/>
      <c r="K2201" s="21"/>
      <c r="L2201" s="11"/>
      <c r="M2201" s="21"/>
      <c r="N2201" s="21"/>
      <c r="O2201" s="2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</row>
    <row r="2202" ht="15.75" customHeight="1">
      <c r="A2202" s="11"/>
      <c r="B2202" s="11"/>
      <c r="C2202" s="11"/>
      <c r="D2202" s="11"/>
      <c r="E2202" s="11"/>
      <c r="F2202" s="11"/>
      <c r="G2202" s="27"/>
      <c r="H2202" s="28"/>
      <c r="I2202" s="21"/>
      <c r="J2202" s="21"/>
      <c r="K2202" s="21"/>
      <c r="L2202" s="11"/>
      <c r="M2202" s="21"/>
      <c r="N2202" s="21"/>
      <c r="O2202" s="2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</row>
    <row r="2203" ht="15.75" customHeight="1">
      <c r="A2203" s="11"/>
      <c r="B2203" s="11"/>
      <c r="C2203" s="11"/>
      <c r="D2203" s="11"/>
      <c r="E2203" s="11"/>
      <c r="F2203" s="11"/>
      <c r="G2203" s="27"/>
      <c r="H2203" s="28"/>
      <c r="I2203" s="21"/>
      <c r="J2203" s="21"/>
      <c r="K2203" s="21"/>
      <c r="L2203" s="11"/>
      <c r="M2203" s="21"/>
      <c r="N2203" s="21"/>
      <c r="O2203" s="2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</row>
    <row r="2204" ht="15.75" customHeight="1">
      <c r="A2204" s="11"/>
      <c r="B2204" s="11"/>
      <c r="C2204" s="11"/>
      <c r="D2204" s="11"/>
      <c r="E2204" s="11"/>
      <c r="F2204" s="11"/>
      <c r="G2204" s="27"/>
      <c r="H2204" s="28"/>
      <c r="I2204" s="21"/>
      <c r="J2204" s="21"/>
      <c r="K2204" s="21"/>
      <c r="L2204" s="11"/>
      <c r="M2204" s="21"/>
      <c r="N2204" s="21"/>
      <c r="O2204" s="2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</row>
    <row r="2205" ht="15.75" customHeight="1">
      <c r="A2205" s="11"/>
      <c r="B2205" s="11"/>
      <c r="C2205" s="11"/>
      <c r="D2205" s="11"/>
      <c r="E2205" s="11"/>
      <c r="F2205" s="11"/>
      <c r="G2205" s="27"/>
      <c r="H2205" s="28"/>
      <c r="I2205" s="21"/>
      <c r="J2205" s="21"/>
      <c r="K2205" s="21"/>
      <c r="L2205" s="11"/>
      <c r="M2205" s="21"/>
      <c r="N2205" s="21"/>
      <c r="O2205" s="2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</row>
    <row r="2206" ht="15.75" customHeight="1">
      <c r="A2206" s="11"/>
      <c r="B2206" s="11"/>
      <c r="C2206" s="11"/>
      <c r="D2206" s="11"/>
      <c r="E2206" s="11"/>
      <c r="F2206" s="11"/>
      <c r="G2206" s="27"/>
      <c r="H2206" s="28"/>
      <c r="I2206" s="21"/>
      <c r="J2206" s="21"/>
      <c r="K2206" s="21"/>
      <c r="L2206" s="11"/>
      <c r="M2206" s="21"/>
      <c r="N2206" s="21"/>
      <c r="O2206" s="2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</row>
    <row r="2207" ht="15.75" customHeight="1">
      <c r="A2207" s="11"/>
      <c r="B2207" s="11"/>
      <c r="C2207" s="11"/>
      <c r="D2207" s="11"/>
      <c r="E2207" s="11"/>
      <c r="F2207" s="11"/>
      <c r="G2207" s="27"/>
      <c r="H2207" s="28"/>
      <c r="I2207" s="21"/>
      <c r="J2207" s="21"/>
      <c r="K2207" s="21"/>
      <c r="L2207" s="11"/>
      <c r="M2207" s="21"/>
      <c r="N2207" s="21"/>
      <c r="O2207" s="2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</row>
    <row r="2208" ht="15.75" customHeight="1">
      <c r="A2208" s="11"/>
      <c r="B2208" s="11"/>
      <c r="C2208" s="11"/>
      <c r="D2208" s="11"/>
      <c r="E2208" s="11"/>
      <c r="F2208" s="11"/>
      <c r="G2208" s="27"/>
      <c r="H2208" s="28"/>
      <c r="I2208" s="21"/>
      <c r="J2208" s="21"/>
      <c r="K2208" s="21"/>
      <c r="L2208" s="11"/>
      <c r="M2208" s="21"/>
      <c r="N2208" s="21"/>
      <c r="O2208" s="2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</row>
    <row r="2209" ht="15.75" customHeight="1">
      <c r="A2209" s="11"/>
      <c r="B2209" s="11"/>
      <c r="C2209" s="11"/>
      <c r="D2209" s="11"/>
      <c r="E2209" s="11"/>
      <c r="F2209" s="11"/>
      <c r="G2209" s="27"/>
      <c r="H2209" s="28"/>
      <c r="I2209" s="21"/>
      <c r="J2209" s="21"/>
      <c r="K2209" s="21"/>
      <c r="L2209" s="11"/>
      <c r="M2209" s="21"/>
      <c r="N2209" s="21"/>
      <c r="O2209" s="2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</row>
    <row r="2210" ht="15.75" customHeight="1">
      <c r="A2210" s="11"/>
      <c r="B2210" s="11"/>
      <c r="C2210" s="11"/>
      <c r="D2210" s="11"/>
      <c r="E2210" s="11"/>
      <c r="F2210" s="11"/>
      <c r="G2210" s="27"/>
      <c r="H2210" s="28"/>
      <c r="I2210" s="21"/>
      <c r="J2210" s="21"/>
      <c r="K2210" s="21"/>
      <c r="L2210" s="11"/>
      <c r="M2210" s="21"/>
      <c r="N2210" s="21"/>
      <c r="O2210" s="2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</row>
    <row r="2211" ht="15.75" customHeight="1">
      <c r="A2211" s="11"/>
      <c r="B2211" s="11"/>
      <c r="C2211" s="11"/>
      <c r="D2211" s="11"/>
      <c r="E2211" s="11"/>
      <c r="F2211" s="11"/>
      <c r="G2211" s="27"/>
      <c r="H2211" s="28"/>
      <c r="I2211" s="21"/>
      <c r="J2211" s="21"/>
      <c r="K2211" s="21"/>
      <c r="L2211" s="11"/>
      <c r="M2211" s="21"/>
      <c r="N2211" s="21"/>
      <c r="O2211" s="2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</row>
    <row r="2212" ht="15.75" customHeight="1">
      <c r="A2212" s="11"/>
      <c r="B2212" s="11"/>
      <c r="C2212" s="11"/>
      <c r="D2212" s="11"/>
      <c r="E2212" s="11"/>
      <c r="F2212" s="11"/>
      <c r="G2212" s="27"/>
      <c r="H2212" s="28"/>
      <c r="I2212" s="21"/>
      <c r="J2212" s="21"/>
      <c r="K2212" s="21"/>
      <c r="L2212" s="11"/>
      <c r="M2212" s="21"/>
      <c r="N2212" s="21"/>
      <c r="O2212" s="2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</row>
    <row r="2213" ht="15.75" customHeight="1">
      <c r="A2213" s="11"/>
      <c r="B2213" s="11"/>
      <c r="C2213" s="11"/>
      <c r="D2213" s="11"/>
      <c r="E2213" s="11"/>
      <c r="F2213" s="11"/>
      <c r="G2213" s="27"/>
      <c r="H2213" s="28"/>
      <c r="I2213" s="21"/>
      <c r="J2213" s="21"/>
      <c r="K2213" s="21"/>
      <c r="L2213" s="11"/>
      <c r="M2213" s="21"/>
      <c r="N2213" s="21"/>
      <c r="O2213" s="2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</row>
    <row r="2214" ht="15.75" customHeight="1">
      <c r="A2214" s="11"/>
      <c r="B2214" s="11"/>
      <c r="C2214" s="11"/>
      <c r="D2214" s="11"/>
      <c r="E2214" s="11"/>
      <c r="F2214" s="11"/>
      <c r="G2214" s="27"/>
      <c r="H2214" s="28"/>
      <c r="I2214" s="21"/>
      <c r="J2214" s="21"/>
      <c r="K2214" s="21"/>
      <c r="L2214" s="11"/>
      <c r="M2214" s="21"/>
      <c r="N2214" s="21"/>
      <c r="O2214" s="2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</row>
    <row r="2215" ht="15.75" customHeight="1">
      <c r="A2215" s="11"/>
      <c r="B2215" s="11"/>
      <c r="C2215" s="11"/>
      <c r="D2215" s="11"/>
      <c r="E2215" s="11"/>
      <c r="F2215" s="11"/>
      <c r="G2215" s="27"/>
      <c r="H2215" s="28"/>
      <c r="I2215" s="21"/>
      <c r="J2215" s="21"/>
      <c r="K2215" s="21"/>
      <c r="L2215" s="11"/>
      <c r="M2215" s="21"/>
      <c r="N2215" s="21"/>
      <c r="O2215" s="2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</row>
    <row r="2216" ht="15.75" customHeight="1">
      <c r="A2216" s="11"/>
      <c r="B2216" s="11"/>
      <c r="C2216" s="11"/>
      <c r="D2216" s="11"/>
      <c r="E2216" s="11"/>
      <c r="F2216" s="11"/>
      <c r="G2216" s="27"/>
      <c r="H2216" s="28"/>
      <c r="I2216" s="21"/>
      <c r="J2216" s="21"/>
      <c r="K2216" s="21"/>
      <c r="L2216" s="11"/>
      <c r="M2216" s="21"/>
      <c r="N2216" s="21"/>
      <c r="O2216" s="2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</row>
    <row r="2217" ht="15.75" customHeight="1">
      <c r="A2217" s="11"/>
      <c r="B2217" s="11"/>
      <c r="C2217" s="11"/>
      <c r="D2217" s="11"/>
      <c r="E2217" s="11"/>
      <c r="F2217" s="11"/>
      <c r="G2217" s="27"/>
      <c r="H2217" s="28"/>
      <c r="I2217" s="21"/>
      <c r="J2217" s="21"/>
      <c r="K2217" s="21"/>
      <c r="L2217" s="11"/>
      <c r="M2217" s="21"/>
      <c r="N2217" s="21"/>
      <c r="O2217" s="2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</row>
    <row r="2218" ht="15.75" customHeight="1">
      <c r="A2218" s="11"/>
      <c r="B2218" s="11"/>
      <c r="C2218" s="11"/>
      <c r="D2218" s="11"/>
      <c r="E2218" s="11"/>
      <c r="F2218" s="11"/>
      <c r="G2218" s="27"/>
      <c r="H2218" s="28"/>
      <c r="I2218" s="21"/>
      <c r="J2218" s="21"/>
      <c r="K2218" s="21"/>
      <c r="L2218" s="11"/>
      <c r="M2218" s="21"/>
      <c r="N2218" s="21"/>
      <c r="O2218" s="2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</row>
    <row r="2219" ht="15.75" customHeight="1">
      <c r="A2219" s="11"/>
      <c r="B2219" s="11"/>
      <c r="C2219" s="11"/>
      <c r="D2219" s="11"/>
      <c r="E2219" s="11"/>
      <c r="F2219" s="11"/>
      <c r="G2219" s="27"/>
      <c r="H2219" s="28"/>
      <c r="I2219" s="21"/>
      <c r="J2219" s="21"/>
      <c r="K2219" s="21"/>
      <c r="L2219" s="11"/>
      <c r="M2219" s="21"/>
      <c r="N2219" s="21"/>
      <c r="O2219" s="2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</row>
    <row r="2220" ht="15.75" customHeight="1">
      <c r="A2220" s="11"/>
      <c r="B2220" s="11"/>
      <c r="C2220" s="11"/>
      <c r="D2220" s="11"/>
      <c r="E2220" s="11"/>
      <c r="F2220" s="11"/>
      <c r="G2220" s="27"/>
      <c r="H2220" s="28"/>
      <c r="I2220" s="21"/>
      <c r="J2220" s="21"/>
      <c r="K2220" s="21"/>
      <c r="L2220" s="11"/>
      <c r="M2220" s="21"/>
      <c r="N2220" s="21"/>
      <c r="O2220" s="2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</row>
    <row r="2221" ht="15.75" customHeight="1">
      <c r="A2221" s="11"/>
      <c r="B2221" s="11"/>
      <c r="C2221" s="11"/>
      <c r="D2221" s="11"/>
      <c r="E2221" s="11"/>
      <c r="F2221" s="11"/>
      <c r="G2221" s="27"/>
      <c r="H2221" s="28"/>
      <c r="I2221" s="21"/>
      <c r="J2221" s="21"/>
      <c r="K2221" s="21"/>
      <c r="L2221" s="11"/>
      <c r="M2221" s="21"/>
      <c r="N2221" s="21"/>
      <c r="O2221" s="2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</row>
    <row r="2222" ht="15.75" customHeight="1">
      <c r="A2222" s="11"/>
      <c r="B2222" s="11"/>
      <c r="C2222" s="11"/>
      <c r="D2222" s="11"/>
      <c r="E2222" s="11"/>
      <c r="F2222" s="11"/>
      <c r="G2222" s="27"/>
      <c r="H2222" s="28"/>
      <c r="I2222" s="21"/>
      <c r="J2222" s="21"/>
      <c r="K2222" s="21"/>
      <c r="L2222" s="11"/>
      <c r="M2222" s="21"/>
      <c r="N2222" s="21"/>
      <c r="O2222" s="2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</row>
    <row r="2223" ht="15.75" customHeight="1">
      <c r="A2223" s="11"/>
      <c r="B2223" s="11"/>
      <c r="C2223" s="11"/>
      <c r="D2223" s="11"/>
      <c r="E2223" s="11"/>
      <c r="F2223" s="11"/>
      <c r="G2223" s="27"/>
      <c r="H2223" s="28"/>
      <c r="I2223" s="21"/>
      <c r="J2223" s="21"/>
      <c r="K2223" s="21"/>
      <c r="L2223" s="11"/>
      <c r="M2223" s="21"/>
      <c r="N2223" s="21"/>
      <c r="O2223" s="2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</row>
    <row r="2224" ht="15.75" customHeight="1">
      <c r="A2224" s="11"/>
      <c r="B2224" s="11"/>
      <c r="C2224" s="11"/>
      <c r="D2224" s="11"/>
      <c r="E2224" s="11"/>
      <c r="F2224" s="11"/>
      <c r="G2224" s="27"/>
      <c r="H2224" s="28"/>
      <c r="I2224" s="21"/>
      <c r="J2224" s="21"/>
      <c r="K2224" s="21"/>
      <c r="L2224" s="11"/>
      <c r="M2224" s="21"/>
      <c r="N2224" s="21"/>
      <c r="O2224" s="2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</row>
    <row r="2225" ht="15.75" customHeight="1">
      <c r="A2225" s="11"/>
      <c r="B2225" s="11"/>
      <c r="C2225" s="11"/>
      <c r="D2225" s="11"/>
      <c r="E2225" s="11"/>
      <c r="F2225" s="11"/>
      <c r="G2225" s="27"/>
      <c r="H2225" s="28"/>
      <c r="I2225" s="21"/>
      <c r="J2225" s="21"/>
      <c r="K2225" s="21"/>
      <c r="L2225" s="11"/>
      <c r="M2225" s="21"/>
      <c r="N2225" s="21"/>
      <c r="O2225" s="2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</row>
    <row r="2226" ht="15.75" customHeight="1">
      <c r="A2226" s="11"/>
      <c r="B2226" s="11"/>
      <c r="C2226" s="11"/>
      <c r="D2226" s="11"/>
      <c r="E2226" s="11"/>
      <c r="F2226" s="11"/>
      <c r="G2226" s="27"/>
      <c r="H2226" s="28"/>
      <c r="I2226" s="21"/>
      <c r="J2226" s="21"/>
      <c r="K2226" s="21"/>
      <c r="L2226" s="11"/>
      <c r="M2226" s="21"/>
      <c r="N2226" s="21"/>
      <c r="O2226" s="2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</row>
    <row r="2227" ht="15.75" customHeight="1">
      <c r="A2227" s="11"/>
      <c r="B2227" s="11"/>
      <c r="C2227" s="11"/>
      <c r="D2227" s="11"/>
      <c r="E2227" s="11"/>
      <c r="F2227" s="11"/>
      <c r="G2227" s="27"/>
      <c r="H2227" s="28"/>
      <c r="I2227" s="21"/>
      <c r="J2227" s="21"/>
      <c r="K2227" s="21"/>
      <c r="L2227" s="11"/>
      <c r="M2227" s="21"/>
      <c r="N2227" s="21"/>
      <c r="O2227" s="2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</row>
    <row r="2228" ht="15.75" customHeight="1">
      <c r="A2228" s="11"/>
      <c r="B2228" s="11"/>
      <c r="C2228" s="11"/>
      <c r="D2228" s="11"/>
      <c r="E2228" s="11"/>
      <c r="F2228" s="11"/>
      <c r="G2228" s="27"/>
      <c r="H2228" s="28"/>
      <c r="I2228" s="21"/>
      <c r="J2228" s="21"/>
      <c r="K2228" s="21"/>
      <c r="L2228" s="11"/>
      <c r="M2228" s="21"/>
      <c r="N2228" s="21"/>
      <c r="O2228" s="2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</row>
    <row r="2229" ht="15.75" customHeight="1">
      <c r="A2229" s="11"/>
      <c r="B2229" s="11"/>
      <c r="C2229" s="11"/>
      <c r="D2229" s="11"/>
      <c r="E2229" s="11"/>
      <c r="F2229" s="11"/>
      <c r="G2229" s="27"/>
      <c r="H2229" s="28"/>
      <c r="I2229" s="21"/>
      <c r="J2229" s="21"/>
      <c r="K2229" s="21"/>
      <c r="L2229" s="11"/>
      <c r="M2229" s="21"/>
      <c r="N2229" s="21"/>
      <c r="O2229" s="2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</row>
    <row r="2230" ht="15.75" customHeight="1">
      <c r="A2230" s="11"/>
      <c r="B2230" s="11"/>
      <c r="C2230" s="11"/>
      <c r="D2230" s="11"/>
      <c r="E2230" s="11"/>
      <c r="F2230" s="11"/>
      <c r="G2230" s="27"/>
      <c r="H2230" s="28"/>
      <c r="I2230" s="21"/>
      <c r="J2230" s="21"/>
      <c r="K2230" s="21"/>
      <c r="L2230" s="11"/>
      <c r="M2230" s="21"/>
      <c r="N2230" s="21"/>
      <c r="O2230" s="2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</row>
    <row r="2231" ht="15.75" customHeight="1">
      <c r="A2231" s="11"/>
      <c r="B2231" s="11"/>
      <c r="C2231" s="11"/>
      <c r="D2231" s="11"/>
      <c r="E2231" s="11"/>
      <c r="F2231" s="11"/>
      <c r="G2231" s="27"/>
      <c r="H2231" s="28"/>
      <c r="I2231" s="21"/>
      <c r="J2231" s="21"/>
      <c r="K2231" s="21"/>
      <c r="L2231" s="11"/>
      <c r="M2231" s="21"/>
      <c r="N2231" s="21"/>
      <c r="O2231" s="2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</row>
    <row r="2232" ht="15.75" customHeight="1">
      <c r="A2232" s="11"/>
      <c r="B2232" s="11"/>
      <c r="C2232" s="11"/>
      <c r="D2232" s="11"/>
      <c r="E2232" s="11"/>
      <c r="F2232" s="11"/>
      <c r="G2232" s="27"/>
      <c r="H2232" s="28"/>
      <c r="I2232" s="21"/>
      <c r="J2232" s="21"/>
      <c r="K2232" s="21"/>
      <c r="L2232" s="11"/>
      <c r="M2232" s="21"/>
      <c r="N2232" s="21"/>
      <c r="O2232" s="2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</row>
    <row r="2233" ht="15.75" customHeight="1">
      <c r="A2233" s="11"/>
      <c r="B2233" s="11"/>
      <c r="C2233" s="11"/>
      <c r="D2233" s="11"/>
      <c r="E2233" s="11"/>
      <c r="F2233" s="11"/>
      <c r="G2233" s="27"/>
      <c r="H2233" s="28"/>
      <c r="I2233" s="21"/>
      <c r="J2233" s="21"/>
      <c r="K2233" s="21"/>
      <c r="L2233" s="11"/>
      <c r="M2233" s="21"/>
      <c r="N2233" s="21"/>
      <c r="O2233" s="2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</row>
    <row r="2234" ht="15.75" customHeight="1">
      <c r="A2234" s="11"/>
      <c r="B2234" s="11"/>
      <c r="C2234" s="11"/>
      <c r="D2234" s="11"/>
      <c r="E2234" s="11"/>
      <c r="F2234" s="11"/>
      <c r="G2234" s="27"/>
      <c r="H2234" s="28"/>
      <c r="I2234" s="21"/>
      <c r="J2234" s="21"/>
      <c r="K2234" s="21"/>
      <c r="L2234" s="11"/>
      <c r="M2234" s="21"/>
      <c r="N2234" s="21"/>
      <c r="O2234" s="2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</row>
    <row r="2235" ht="15.75" customHeight="1">
      <c r="A2235" s="11"/>
      <c r="B2235" s="11"/>
      <c r="C2235" s="11"/>
      <c r="D2235" s="11"/>
      <c r="E2235" s="11"/>
      <c r="F2235" s="11"/>
      <c r="G2235" s="27"/>
      <c r="H2235" s="28"/>
      <c r="I2235" s="21"/>
      <c r="J2235" s="21"/>
      <c r="K2235" s="21"/>
      <c r="L2235" s="11"/>
      <c r="M2235" s="21"/>
      <c r="N2235" s="21"/>
      <c r="O2235" s="2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</row>
    <row r="2236" ht="15.75" customHeight="1">
      <c r="A2236" s="11"/>
      <c r="B2236" s="11"/>
      <c r="C2236" s="11"/>
      <c r="D2236" s="11"/>
      <c r="E2236" s="11"/>
      <c r="F2236" s="11"/>
      <c r="G2236" s="27"/>
      <c r="H2236" s="28"/>
      <c r="I2236" s="21"/>
      <c r="J2236" s="21"/>
      <c r="K2236" s="21"/>
      <c r="L2236" s="11"/>
      <c r="M2236" s="21"/>
      <c r="N2236" s="21"/>
      <c r="O2236" s="2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</row>
    <row r="2237" ht="15.75" customHeight="1">
      <c r="A2237" s="11"/>
      <c r="B2237" s="11"/>
      <c r="C2237" s="11"/>
      <c r="D2237" s="11"/>
      <c r="E2237" s="11"/>
      <c r="F2237" s="11"/>
      <c r="G2237" s="27"/>
      <c r="H2237" s="28"/>
      <c r="I2237" s="21"/>
      <c r="J2237" s="21"/>
      <c r="K2237" s="21"/>
      <c r="L2237" s="11"/>
      <c r="M2237" s="21"/>
      <c r="N2237" s="21"/>
      <c r="O2237" s="2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</row>
    <row r="2238" ht="15.75" customHeight="1">
      <c r="A2238" s="11"/>
      <c r="B2238" s="11"/>
      <c r="C2238" s="11"/>
      <c r="D2238" s="11"/>
      <c r="E2238" s="11"/>
      <c r="F2238" s="11"/>
      <c r="G2238" s="27"/>
      <c r="H2238" s="28"/>
      <c r="I2238" s="21"/>
      <c r="J2238" s="21"/>
      <c r="K2238" s="21"/>
      <c r="L2238" s="11"/>
      <c r="M2238" s="21"/>
      <c r="N2238" s="21"/>
      <c r="O2238" s="2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</row>
    <row r="2239" ht="15.75" customHeight="1">
      <c r="A2239" s="11"/>
      <c r="B2239" s="11"/>
      <c r="C2239" s="11"/>
      <c r="D2239" s="11"/>
      <c r="E2239" s="11"/>
      <c r="F2239" s="11"/>
      <c r="G2239" s="27"/>
      <c r="H2239" s="28"/>
      <c r="I2239" s="21"/>
      <c r="J2239" s="21"/>
      <c r="K2239" s="21"/>
      <c r="L2239" s="11"/>
      <c r="M2239" s="21"/>
      <c r="N2239" s="21"/>
      <c r="O2239" s="2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</row>
    <row r="2240" ht="15.75" customHeight="1">
      <c r="A2240" s="11"/>
      <c r="B2240" s="11"/>
      <c r="C2240" s="11"/>
      <c r="D2240" s="11"/>
      <c r="E2240" s="11"/>
      <c r="F2240" s="11"/>
      <c r="G2240" s="27"/>
      <c r="H2240" s="28"/>
      <c r="I2240" s="21"/>
      <c r="J2240" s="21"/>
      <c r="K2240" s="21"/>
      <c r="L2240" s="11"/>
      <c r="M2240" s="21"/>
      <c r="N2240" s="21"/>
      <c r="O2240" s="2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</row>
    <row r="2241" ht="15.75" customHeight="1">
      <c r="A2241" s="11"/>
      <c r="B2241" s="11"/>
      <c r="C2241" s="11"/>
      <c r="D2241" s="11"/>
      <c r="E2241" s="11"/>
      <c r="F2241" s="11"/>
      <c r="G2241" s="27"/>
      <c r="H2241" s="28"/>
      <c r="I2241" s="21"/>
      <c r="J2241" s="21"/>
      <c r="K2241" s="21"/>
      <c r="L2241" s="11"/>
      <c r="M2241" s="21"/>
      <c r="N2241" s="21"/>
      <c r="O2241" s="2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</row>
    <row r="2242" ht="15.75" customHeight="1">
      <c r="A2242" s="11"/>
      <c r="B2242" s="11"/>
      <c r="C2242" s="11"/>
      <c r="D2242" s="11"/>
      <c r="E2242" s="11"/>
      <c r="F2242" s="11"/>
      <c r="G2242" s="27"/>
      <c r="H2242" s="28"/>
      <c r="I2242" s="21"/>
      <c r="J2242" s="21"/>
      <c r="K2242" s="21"/>
      <c r="L2242" s="11"/>
      <c r="M2242" s="21"/>
      <c r="N2242" s="21"/>
      <c r="O2242" s="2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</row>
    <row r="2243" ht="15.75" customHeight="1">
      <c r="A2243" s="11"/>
      <c r="B2243" s="11"/>
      <c r="C2243" s="11"/>
      <c r="D2243" s="11"/>
      <c r="E2243" s="11"/>
      <c r="F2243" s="11"/>
      <c r="G2243" s="27"/>
      <c r="H2243" s="28"/>
      <c r="I2243" s="21"/>
      <c r="J2243" s="21"/>
      <c r="K2243" s="21"/>
      <c r="L2243" s="11"/>
      <c r="M2243" s="21"/>
      <c r="N2243" s="21"/>
      <c r="O2243" s="2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</row>
    <row r="2244" ht="15.75" customHeight="1">
      <c r="A2244" s="11"/>
      <c r="B2244" s="11"/>
      <c r="C2244" s="11"/>
      <c r="D2244" s="11"/>
      <c r="E2244" s="11"/>
      <c r="F2244" s="11"/>
      <c r="G2244" s="27"/>
      <c r="H2244" s="28"/>
      <c r="I2244" s="21"/>
      <c r="J2244" s="21"/>
      <c r="K2244" s="21"/>
      <c r="L2244" s="11"/>
      <c r="M2244" s="21"/>
      <c r="N2244" s="21"/>
      <c r="O2244" s="2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</row>
    <row r="2245" ht="15.75" customHeight="1">
      <c r="A2245" s="11"/>
      <c r="B2245" s="11"/>
      <c r="C2245" s="11"/>
      <c r="D2245" s="11"/>
      <c r="E2245" s="11"/>
      <c r="F2245" s="11"/>
      <c r="G2245" s="27"/>
      <c r="H2245" s="28"/>
      <c r="I2245" s="21"/>
      <c r="J2245" s="21"/>
      <c r="K2245" s="21"/>
      <c r="L2245" s="11"/>
      <c r="M2245" s="21"/>
      <c r="N2245" s="21"/>
      <c r="O2245" s="2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</row>
    <row r="2246" ht="15.75" customHeight="1">
      <c r="A2246" s="11"/>
      <c r="B2246" s="11"/>
      <c r="C2246" s="11"/>
      <c r="D2246" s="11"/>
      <c r="E2246" s="11"/>
      <c r="F2246" s="11"/>
      <c r="G2246" s="27"/>
      <c r="H2246" s="28"/>
      <c r="I2246" s="21"/>
      <c r="J2246" s="21"/>
      <c r="K2246" s="21"/>
      <c r="L2246" s="11"/>
      <c r="M2246" s="21"/>
      <c r="N2246" s="21"/>
      <c r="O2246" s="2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</row>
    <row r="2247" ht="15.75" customHeight="1">
      <c r="A2247" s="11"/>
      <c r="B2247" s="11"/>
      <c r="C2247" s="11"/>
      <c r="D2247" s="11"/>
      <c r="E2247" s="11"/>
      <c r="F2247" s="11"/>
      <c r="G2247" s="27"/>
      <c r="H2247" s="28"/>
      <c r="I2247" s="21"/>
      <c r="J2247" s="21"/>
      <c r="K2247" s="21"/>
      <c r="L2247" s="11"/>
      <c r="M2247" s="21"/>
      <c r="N2247" s="21"/>
      <c r="O2247" s="2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</row>
    <row r="2248" ht="15.75" customHeight="1">
      <c r="A2248" s="11"/>
      <c r="B2248" s="11"/>
      <c r="C2248" s="11"/>
      <c r="D2248" s="11"/>
      <c r="E2248" s="11"/>
      <c r="F2248" s="11"/>
      <c r="G2248" s="27"/>
      <c r="H2248" s="28"/>
      <c r="I2248" s="21"/>
      <c r="J2248" s="21"/>
      <c r="K2248" s="21"/>
      <c r="L2248" s="11"/>
      <c r="M2248" s="21"/>
      <c r="N2248" s="21"/>
      <c r="O2248" s="2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</row>
    <row r="2249" ht="15.75" customHeight="1">
      <c r="A2249" s="11"/>
      <c r="B2249" s="11"/>
      <c r="C2249" s="11"/>
      <c r="D2249" s="11"/>
      <c r="E2249" s="11"/>
      <c r="F2249" s="11"/>
      <c r="G2249" s="27"/>
      <c r="H2249" s="28"/>
      <c r="I2249" s="21"/>
      <c r="J2249" s="21"/>
      <c r="K2249" s="21"/>
      <c r="L2249" s="11"/>
      <c r="M2249" s="21"/>
      <c r="N2249" s="21"/>
      <c r="O2249" s="2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</row>
    <row r="2250" ht="15.75" customHeight="1">
      <c r="A2250" s="11"/>
      <c r="B2250" s="11"/>
      <c r="C2250" s="11"/>
      <c r="D2250" s="11"/>
      <c r="E2250" s="11"/>
      <c r="F2250" s="11"/>
      <c r="G2250" s="27"/>
      <c r="H2250" s="28"/>
      <c r="I2250" s="21"/>
      <c r="J2250" s="21"/>
      <c r="K2250" s="21"/>
      <c r="L2250" s="11"/>
      <c r="M2250" s="21"/>
      <c r="N2250" s="21"/>
      <c r="O2250" s="2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</row>
    <row r="2251" ht="15.75" customHeight="1">
      <c r="A2251" s="11"/>
      <c r="B2251" s="11"/>
      <c r="C2251" s="11"/>
      <c r="D2251" s="11"/>
      <c r="E2251" s="11"/>
      <c r="F2251" s="11"/>
      <c r="G2251" s="27"/>
      <c r="H2251" s="28"/>
      <c r="I2251" s="21"/>
      <c r="J2251" s="21"/>
      <c r="K2251" s="21"/>
      <c r="L2251" s="11"/>
      <c r="M2251" s="21"/>
      <c r="N2251" s="21"/>
      <c r="O2251" s="2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</row>
    <row r="2252" ht="15.75" customHeight="1">
      <c r="A2252" s="11"/>
      <c r="B2252" s="11"/>
      <c r="C2252" s="11"/>
      <c r="D2252" s="11"/>
      <c r="E2252" s="11"/>
      <c r="F2252" s="11"/>
      <c r="G2252" s="27"/>
      <c r="H2252" s="28"/>
      <c r="I2252" s="21"/>
      <c r="J2252" s="21"/>
      <c r="K2252" s="21"/>
      <c r="L2252" s="11"/>
      <c r="M2252" s="21"/>
      <c r="N2252" s="21"/>
      <c r="O2252" s="2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</row>
    <row r="2253" ht="15.75" customHeight="1">
      <c r="A2253" s="11"/>
      <c r="B2253" s="11"/>
      <c r="C2253" s="11"/>
      <c r="D2253" s="11"/>
      <c r="E2253" s="11"/>
      <c r="F2253" s="11"/>
      <c r="G2253" s="27"/>
      <c r="H2253" s="28"/>
      <c r="I2253" s="21"/>
      <c r="J2253" s="21"/>
      <c r="K2253" s="21"/>
      <c r="L2253" s="11"/>
      <c r="M2253" s="21"/>
      <c r="N2253" s="21"/>
      <c r="O2253" s="2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</row>
    <row r="2254" ht="15.75" customHeight="1">
      <c r="A2254" s="11"/>
      <c r="B2254" s="11"/>
      <c r="C2254" s="11"/>
      <c r="D2254" s="11"/>
      <c r="E2254" s="11"/>
      <c r="F2254" s="11"/>
      <c r="G2254" s="27"/>
      <c r="H2254" s="28"/>
      <c r="I2254" s="21"/>
      <c r="J2254" s="21"/>
      <c r="K2254" s="21"/>
      <c r="L2254" s="11"/>
      <c r="M2254" s="21"/>
      <c r="N2254" s="21"/>
      <c r="O2254" s="2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</row>
    <row r="2255" ht="15.75" customHeight="1">
      <c r="A2255" s="11"/>
      <c r="B2255" s="11"/>
      <c r="C2255" s="11"/>
      <c r="D2255" s="11"/>
      <c r="E2255" s="11"/>
      <c r="F2255" s="11"/>
      <c r="G2255" s="27"/>
      <c r="H2255" s="28"/>
      <c r="I2255" s="21"/>
      <c r="J2255" s="21"/>
      <c r="K2255" s="21"/>
      <c r="L2255" s="11"/>
      <c r="M2255" s="21"/>
      <c r="N2255" s="21"/>
      <c r="O2255" s="2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</row>
    <row r="2256" ht="15.75" customHeight="1">
      <c r="A2256" s="11"/>
      <c r="B2256" s="11"/>
      <c r="C2256" s="11"/>
      <c r="D2256" s="11"/>
      <c r="E2256" s="11"/>
      <c r="F2256" s="11"/>
      <c r="G2256" s="27"/>
      <c r="H2256" s="28"/>
      <c r="I2256" s="21"/>
      <c r="J2256" s="21"/>
      <c r="K2256" s="21"/>
      <c r="L2256" s="11"/>
      <c r="M2256" s="21"/>
      <c r="N2256" s="21"/>
      <c r="O2256" s="2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</row>
    <row r="2257" ht="15.75" customHeight="1">
      <c r="A2257" s="11"/>
      <c r="B2257" s="11"/>
      <c r="C2257" s="11"/>
      <c r="D2257" s="11"/>
      <c r="E2257" s="11"/>
      <c r="F2257" s="11"/>
      <c r="G2257" s="27"/>
      <c r="H2257" s="28"/>
      <c r="I2257" s="21"/>
      <c r="J2257" s="21"/>
      <c r="K2257" s="21"/>
      <c r="L2257" s="11"/>
      <c r="M2257" s="21"/>
      <c r="N2257" s="21"/>
      <c r="O2257" s="2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</row>
    <row r="2258" ht="15.75" customHeight="1">
      <c r="A2258" s="11"/>
      <c r="B2258" s="11"/>
      <c r="C2258" s="11"/>
      <c r="D2258" s="11"/>
      <c r="E2258" s="11"/>
      <c r="F2258" s="11"/>
      <c r="G2258" s="27"/>
      <c r="H2258" s="28"/>
      <c r="I2258" s="21"/>
      <c r="J2258" s="21"/>
      <c r="K2258" s="21"/>
      <c r="L2258" s="11"/>
      <c r="M2258" s="21"/>
      <c r="N2258" s="21"/>
      <c r="O2258" s="2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</row>
    <row r="2259" ht="15.75" customHeight="1">
      <c r="A2259" s="11"/>
      <c r="B2259" s="11"/>
      <c r="C2259" s="11"/>
      <c r="D2259" s="11"/>
      <c r="E2259" s="11"/>
      <c r="F2259" s="11"/>
      <c r="G2259" s="27"/>
      <c r="H2259" s="28"/>
      <c r="I2259" s="21"/>
      <c r="J2259" s="21"/>
      <c r="K2259" s="21"/>
      <c r="L2259" s="11"/>
      <c r="M2259" s="21"/>
      <c r="N2259" s="21"/>
      <c r="O2259" s="2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</row>
  </sheetData>
  <customSheetViews>
    <customSheetView guid="{74961B60-34F8-4772-9B20-6315FF94D5D2}" filter="1" showAutoFilter="1">
      <autoFilter ref="$A$1:$AG$2059"/>
      <extLst>
        <ext uri="GoogleSheetsCustomDataVersion1">
          <go:sheetsCustomData xmlns:go="http://customooxmlschemas.google.com/" filterViewId="1861777829"/>
        </ext>
      </extLst>
    </customSheetView>
    <customSheetView guid="{6F38D328-2906-4FD2-84C1-B134F9AC03AF}" filter="1" showAutoFilter="1">
      <autoFilter ref="$A$1:$AG$2059">
        <sortState ref="A1:AG2059">
          <sortCondition ref="J1:J2059"/>
        </sortState>
      </autoFilter>
      <extLst>
        <ext uri="GoogleSheetsCustomDataVersion1">
          <go:sheetsCustomData xmlns:go="http://customooxmlschemas.google.com/" filterViewId="373413856"/>
        </ext>
      </extLst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5.0"/>
    <col customWidth="1" min="4" max="4" width="20.13"/>
  </cols>
  <sheetData>
    <row r="1">
      <c r="A1" s="29" t="s">
        <v>1181</v>
      </c>
      <c r="B1" s="29" t="s">
        <v>1182</v>
      </c>
      <c r="C1" s="29" t="s">
        <v>1183</v>
      </c>
      <c r="D1" s="29" t="s">
        <v>9</v>
      </c>
      <c r="E1" s="29" t="s">
        <v>1184</v>
      </c>
      <c r="F1" s="29" t="s">
        <v>1185</v>
      </c>
      <c r="G1" s="29" t="s">
        <v>1186</v>
      </c>
      <c r="H1" s="29" t="s">
        <v>1187</v>
      </c>
      <c r="I1" s="29" t="s">
        <v>1188</v>
      </c>
      <c r="J1" s="29" t="s">
        <v>1189</v>
      </c>
      <c r="K1" s="29" t="s">
        <v>1190</v>
      </c>
      <c r="L1" s="29" t="s">
        <v>1191</v>
      </c>
      <c r="M1" s="29" t="s">
        <v>1192</v>
      </c>
      <c r="N1" s="29" t="s">
        <v>1193</v>
      </c>
      <c r="O1" s="29" t="s">
        <v>1194</v>
      </c>
      <c r="P1" s="29" t="s">
        <v>1195</v>
      </c>
      <c r="Q1" s="29" t="s">
        <v>1196</v>
      </c>
      <c r="R1" s="29" t="s">
        <v>1197</v>
      </c>
      <c r="S1" s="29" t="s">
        <v>1198</v>
      </c>
      <c r="T1" s="29" t="s">
        <v>1199</v>
      </c>
      <c r="U1" s="29" t="s">
        <v>1200</v>
      </c>
      <c r="V1" s="29" t="s">
        <v>1201</v>
      </c>
      <c r="W1" s="29" t="s">
        <v>1202</v>
      </c>
      <c r="X1" s="29" t="s">
        <v>1203</v>
      </c>
      <c r="Y1" s="29" t="s">
        <v>1204</v>
      </c>
      <c r="Z1" s="29" t="s">
        <v>1205</v>
      </c>
      <c r="AA1" s="29" t="s">
        <v>1206</v>
      </c>
      <c r="AB1" s="29" t="s">
        <v>1207</v>
      </c>
      <c r="AC1" s="29" t="s">
        <v>1208</v>
      </c>
      <c r="AD1" s="29" t="s">
        <v>1209</v>
      </c>
      <c r="AE1" s="29" t="s">
        <v>1210</v>
      </c>
      <c r="AF1" s="29" t="s">
        <v>1211</v>
      </c>
      <c r="AG1" s="29" t="s">
        <v>1212</v>
      </c>
      <c r="AH1" s="29" t="s">
        <v>1213</v>
      </c>
      <c r="AI1" s="30" t="s">
        <v>1214</v>
      </c>
      <c r="AJ1" s="30" t="s">
        <v>1215</v>
      </c>
      <c r="AK1" s="30" t="s">
        <v>1216</v>
      </c>
      <c r="AL1" s="30" t="s">
        <v>1217</v>
      </c>
      <c r="AM1" s="29" t="s">
        <v>1218</v>
      </c>
      <c r="AN1" s="29" t="s">
        <v>1219</v>
      </c>
      <c r="AO1" s="29" t="s">
        <v>1220</v>
      </c>
      <c r="AP1" s="29" t="s">
        <v>1221</v>
      </c>
      <c r="AQ1" s="29" t="s">
        <v>1222</v>
      </c>
      <c r="AR1" s="29" t="s">
        <v>1223</v>
      </c>
      <c r="AS1" s="29" t="s">
        <v>1224</v>
      </c>
    </row>
    <row r="2" ht="16.5" customHeight="1">
      <c r="A2" s="29" t="s">
        <v>1225</v>
      </c>
      <c r="B2" s="29" t="s">
        <v>1226</v>
      </c>
      <c r="C2" s="29" t="s">
        <v>1227</v>
      </c>
      <c r="D2" s="29" t="s">
        <v>104</v>
      </c>
      <c r="E2" s="29">
        <v>0.66</v>
      </c>
      <c r="F2" s="31">
        <v>0.522</v>
      </c>
      <c r="G2" s="29">
        <v>0.497</v>
      </c>
      <c r="H2" s="29">
        <v>0.643</v>
      </c>
      <c r="I2" s="29">
        <v>0.527</v>
      </c>
      <c r="J2" s="29">
        <v>0.428</v>
      </c>
      <c r="K2" s="29">
        <v>0.388</v>
      </c>
      <c r="L2" s="29">
        <v>0.433</v>
      </c>
      <c r="M2" s="29">
        <v>0.408</v>
      </c>
      <c r="N2" s="29">
        <v>0.51</v>
      </c>
      <c r="O2" s="29">
        <v>0.332</v>
      </c>
      <c r="P2" s="29">
        <v>0.251</v>
      </c>
      <c r="Q2" s="29">
        <v>0.239</v>
      </c>
      <c r="R2" s="29">
        <v>0.32</v>
      </c>
      <c r="S2" s="29">
        <v>0.257</v>
      </c>
      <c r="T2" s="29">
        <v>0.22</v>
      </c>
      <c r="U2" s="29">
        <v>0.188</v>
      </c>
      <c r="V2" s="29">
        <v>0.22</v>
      </c>
      <c r="W2" s="29">
        <v>0.205</v>
      </c>
      <c r="X2" s="29">
        <v>0.258</v>
      </c>
      <c r="Y2" s="29">
        <v>19.383</v>
      </c>
      <c r="Z2" s="29">
        <v>15.517</v>
      </c>
      <c r="AA2" s="29">
        <v>15.978</v>
      </c>
      <c r="AB2" s="29">
        <v>19.225</v>
      </c>
      <c r="AC2" s="29">
        <v>16.767</v>
      </c>
      <c r="AD2" s="29">
        <v>13.942</v>
      </c>
      <c r="AE2" s="29">
        <v>12.547</v>
      </c>
      <c r="AF2" s="29">
        <v>13.873</v>
      </c>
      <c r="AG2" s="29">
        <v>13.161</v>
      </c>
      <c r="AH2" s="29">
        <v>15.701</v>
      </c>
      <c r="AI2" s="30">
        <f t="shared" ref="AI2:AI146" si="1">AVERAGE(Y2/O2)+(Z2/P2)+(AA2/Q2)+(AB2/R2)+(AC2/S2)+(AD2/T2)+(AE2/U2)+(AF2/V2)+(AG2/W2)+(AH2/X2)</f>
        <v>630.6039429</v>
      </c>
      <c r="AJ2" s="30">
        <f t="shared" ref="AJ2:AJ102" si="2">AI2/10</f>
        <v>63.06039429</v>
      </c>
      <c r="AK2" s="32">
        <f t="shared" ref="AK2:AK146" si="3">AVERAGE(E2:N2)</f>
        <v>0.5016</v>
      </c>
      <c r="AL2" s="32">
        <f t="shared" ref="AL2:AL111" si="4">AVERAGE(O2:X2)</f>
        <v>0.249</v>
      </c>
      <c r="AM2" s="33">
        <f t="shared" ref="AM2:AM109" si="5">100*(AVERAGE(E2:N2)-AVERAGE(O2:X2))/(AVERAGE(E2:N2))</f>
        <v>50.35885167</v>
      </c>
      <c r="AN2" s="33">
        <f t="shared" ref="AN2:AN106" si="6">(AVERAGE(O2:X2)/AVERAGE(E2:N2))</f>
        <v>0.4964114833</v>
      </c>
      <c r="AO2" s="33">
        <f>pi()*3*(0.45/2)^2</f>
        <v>0.4771293843</v>
      </c>
      <c r="AP2" s="29">
        <v>0.563</v>
      </c>
      <c r="AQ2" s="32">
        <f t="shared" ref="AQ2:AQ102" si="7">AP2/AO2</f>
        <v>1.179973438</v>
      </c>
      <c r="AR2" s="30">
        <f t="shared" ref="AR2:AR102" si="8">AQ2*1000</f>
        <v>1179.973438</v>
      </c>
      <c r="AS2" s="34">
        <f t="shared" ref="AS2:AS123" si="9">AVERAGE(Y2:AH2)</f>
        <v>15.6094</v>
      </c>
    </row>
    <row r="3">
      <c r="A3" s="29" t="s">
        <v>1228</v>
      </c>
      <c r="B3" s="29" t="s">
        <v>1226</v>
      </c>
      <c r="C3" s="29" t="s">
        <v>1227</v>
      </c>
      <c r="D3" s="29" t="s">
        <v>1154</v>
      </c>
      <c r="E3" s="29">
        <v>0.304</v>
      </c>
      <c r="F3" s="29">
        <v>0.599</v>
      </c>
      <c r="G3" s="29">
        <v>0.274</v>
      </c>
      <c r="H3" s="29">
        <v>0.27</v>
      </c>
      <c r="I3" s="29">
        <v>0.454</v>
      </c>
      <c r="J3" s="29">
        <v>0.342</v>
      </c>
      <c r="K3" s="29">
        <v>0.173</v>
      </c>
      <c r="L3" s="29">
        <v>0.413</v>
      </c>
      <c r="M3" s="29">
        <v>0.263</v>
      </c>
      <c r="N3" s="29">
        <v>0.172</v>
      </c>
      <c r="O3" s="29">
        <v>0.072</v>
      </c>
      <c r="P3" s="29">
        <v>0.15</v>
      </c>
      <c r="Q3" s="29">
        <v>0.07</v>
      </c>
      <c r="R3" s="29">
        <v>0.065</v>
      </c>
      <c r="S3" s="29">
        <v>0.108</v>
      </c>
      <c r="T3" s="29">
        <v>0.085</v>
      </c>
      <c r="U3" s="29">
        <v>0.043</v>
      </c>
      <c r="V3" s="29">
        <v>0.093</v>
      </c>
      <c r="W3" s="29">
        <v>0.065</v>
      </c>
      <c r="X3" s="29">
        <v>0.041</v>
      </c>
      <c r="Y3" s="29">
        <v>13.92</v>
      </c>
      <c r="Z3" s="29">
        <v>25.125</v>
      </c>
      <c r="AA3" s="29">
        <v>12.107</v>
      </c>
      <c r="AB3" s="29">
        <v>12.213</v>
      </c>
      <c r="AC3" s="29">
        <v>17.797</v>
      </c>
      <c r="AD3" s="29">
        <v>14.955</v>
      </c>
      <c r="AE3" s="29">
        <v>8.145</v>
      </c>
      <c r="AF3" s="29">
        <v>18.567</v>
      </c>
      <c r="AG3" s="29">
        <v>12.694</v>
      </c>
      <c r="AH3" s="29">
        <v>8.877</v>
      </c>
      <c r="AI3" s="30">
        <f t="shared" si="1"/>
        <v>1863.279266</v>
      </c>
      <c r="AJ3" s="30">
        <f t="shared" si="2"/>
        <v>186.3279266</v>
      </c>
      <c r="AK3" s="32">
        <f t="shared" si="3"/>
        <v>0.3264</v>
      </c>
      <c r="AL3" s="32">
        <f t="shared" si="4"/>
        <v>0.0792</v>
      </c>
      <c r="AM3" s="33">
        <f t="shared" si="5"/>
        <v>75.73529412</v>
      </c>
      <c r="AN3" s="33">
        <f t="shared" si="6"/>
        <v>0.2426470588</v>
      </c>
      <c r="AO3" s="33">
        <f>pi()*1.9*(0.45/2)^2</f>
        <v>0.3021819434</v>
      </c>
      <c r="AP3" s="29">
        <v>0.164</v>
      </c>
      <c r="AQ3" s="32">
        <f t="shared" si="7"/>
        <v>0.5427193901</v>
      </c>
      <c r="AR3" s="30">
        <f t="shared" si="8"/>
        <v>542.7193901</v>
      </c>
      <c r="AS3" s="34">
        <f t="shared" si="9"/>
        <v>14.44</v>
      </c>
    </row>
    <row r="4">
      <c r="A4" s="29" t="s">
        <v>1229</v>
      </c>
      <c r="B4" s="29" t="s">
        <v>1226</v>
      </c>
      <c r="C4" s="29" t="s">
        <v>1227</v>
      </c>
      <c r="D4" s="29" t="s">
        <v>56</v>
      </c>
      <c r="E4" s="29">
        <v>0.419</v>
      </c>
      <c r="F4" s="29">
        <v>0.503</v>
      </c>
      <c r="G4" s="29">
        <v>0.597</v>
      </c>
      <c r="H4" s="29">
        <v>0.502</v>
      </c>
      <c r="I4" s="29">
        <v>0.389</v>
      </c>
      <c r="J4" s="29">
        <v>0.458</v>
      </c>
      <c r="K4" s="29">
        <v>0.388</v>
      </c>
      <c r="L4" s="29">
        <v>0.496</v>
      </c>
      <c r="M4" s="29">
        <v>0.585</v>
      </c>
      <c r="N4" s="29">
        <v>0.381</v>
      </c>
      <c r="O4" s="29">
        <v>0.147</v>
      </c>
      <c r="P4" s="29">
        <v>0.187</v>
      </c>
      <c r="Q4" s="29">
        <v>0.199</v>
      </c>
      <c r="R4" s="29">
        <v>0.167</v>
      </c>
      <c r="S4" s="29">
        <v>0.137</v>
      </c>
      <c r="T4" s="29">
        <v>0.16</v>
      </c>
      <c r="U4" s="29">
        <v>0.138</v>
      </c>
      <c r="V4" s="29">
        <v>0.123</v>
      </c>
      <c r="W4" s="29">
        <v>0.198</v>
      </c>
      <c r="X4" s="29">
        <v>0.146</v>
      </c>
      <c r="Y4" s="29">
        <v>15.093</v>
      </c>
      <c r="Z4" s="29">
        <v>18.351</v>
      </c>
      <c r="AA4" s="29">
        <v>22.634</v>
      </c>
      <c r="AB4" s="29">
        <v>19.13</v>
      </c>
      <c r="AC4" s="29">
        <v>14.536</v>
      </c>
      <c r="AD4" s="29">
        <v>17.425</v>
      </c>
      <c r="AE4" s="29">
        <v>14.208</v>
      </c>
      <c r="AF4" s="29">
        <v>17.037</v>
      </c>
      <c r="AG4" s="29">
        <v>21.288</v>
      </c>
      <c r="AH4" s="29">
        <v>13.685</v>
      </c>
      <c r="AI4" s="30">
        <f t="shared" si="1"/>
        <v>1086.821936</v>
      </c>
      <c r="AJ4" s="30">
        <f t="shared" si="2"/>
        <v>108.6821936</v>
      </c>
      <c r="AK4" s="32">
        <f t="shared" si="3"/>
        <v>0.4718</v>
      </c>
      <c r="AL4" s="32">
        <f t="shared" si="4"/>
        <v>0.1602</v>
      </c>
      <c r="AM4" s="33">
        <f t="shared" si="5"/>
        <v>66.04493429</v>
      </c>
      <c r="AN4" s="33">
        <f t="shared" si="6"/>
        <v>0.3395506571</v>
      </c>
      <c r="AO4" s="33">
        <f>pi()*2.25*(0.45/2)^2</f>
        <v>0.3578470382</v>
      </c>
      <c r="AP4" s="29">
        <v>0.258</v>
      </c>
      <c r="AQ4" s="32">
        <f t="shared" si="7"/>
        <v>0.7209784418</v>
      </c>
      <c r="AR4" s="30">
        <f t="shared" si="8"/>
        <v>720.9784418</v>
      </c>
      <c r="AS4" s="34">
        <f t="shared" si="9"/>
        <v>17.3387</v>
      </c>
    </row>
    <row r="5">
      <c r="A5" s="29" t="s">
        <v>1230</v>
      </c>
      <c r="B5" s="29" t="s">
        <v>1226</v>
      </c>
      <c r="C5" s="29" t="s">
        <v>1227</v>
      </c>
      <c r="D5" s="29" t="s">
        <v>153</v>
      </c>
      <c r="E5" s="29">
        <v>0.883</v>
      </c>
      <c r="F5" s="29">
        <v>1.174</v>
      </c>
      <c r="G5" s="29">
        <v>1.305</v>
      </c>
      <c r="H5" s="29">
        <v>0.945</v>
      </c>
      <c r="I5" s="29">
        <v>1.037</v>
      </c>
      <c r="J5" s="29">
        <v>1.157</v>
      </c>
      <c r="K5" s="29">
        <v>0.893</v>
      </c>
      <c r="L5" s="29">
        <v>0.746</v>
      </c>
      <c r="M5" s="29">
        <v>0.631</v>
      </c>
      <c r="N5" s="29">
        <v>0.538</v>
      </c>
      <c r="O5" s="29">
        <v>0.217</v>
      </c>
      <c r="P5" s="29">
        <v>0.283</v>
      </c>
      <c r="Q5" s="29">
        <v>0.297</v>
      </c>
      <c r="R5" s="29">
        <v>0.235</v>
      </c>
      <c r="S5" s="29">
        <v>0.248</v>
      </c>
      <c r="T5" s="29">
        <v>0.273</v>
      </c>
      <c r="U5" s="29">
        <v>0.214</v>
      </c>
      <c r="V5" s="29">
        <v>0.142</v>
      </c>
      <c r="W5" s="29">
        <v>0.143</v>
      </c>
      <c r="X5" s="29">
        <v>0.126</v>
      </c>
      <c r="Y5" s="29">
        <v>19.757</v>
      </c>
      <c r="Z5" s="29">
        <v>26.466</v>
      </c>
      <c r="AA5" s="29">
        <v>29.833</v>
      </c>
      <c r="AB5" s="29">
        <v>20.128</v>
      </c>
      <c r="AC5" s="29">
        <v>24.447</v>
      </c>
      <c r="AD5" s="29">
        <v>25.463</v>
      </c>
      <c r="AE5" s="29">
        <v>20.322</v>
      </c>
      <c r="AF5" s="29">
        <v>18.06</v>
      </c>
      <c r="AG5" s="29">
        <v>13.973</v>
      </c>
      <c r="AH5" s="29">
        <v>12.191</v>
      </c>
      <c r="AI5" s="30">
        <f t="shared" si="1"/>
        <v>979.1250384</v>
      </c>
      <c r="AJ5" s="30">
        <f t="shared" si="2"/>
        <v>97.91250384</v>
      </c>
      <c r="AK5" s="32">
        <f t="shared" si="3"/>
        <v>0.9309</v>
      </c>
      <c r="AL5" s="32">
        <f t="shared" si="4"/>
        <v>0.2178</v>
      </c>
      <c r="AM5" s="33">
        <f t="shared" si="5"/>
        <v>76.60328714</v>
      </c>
      <c r="AN5" s="33">
        <f t="shared" si="6"/>
        <v>0.2339671286</v>
      </c>
      <c r="AO5" s="33">
        <f>pi()*0.8*(0.4/2)^2</f>
        <v>0.1005309649</v>
      </c>
      <c r="AP5" s="29">
        <v>0.081</v>
      </c>
      <c r="AQ5" s="32">
        <f t="shared" si="7"/>
        <v>0.8057218994</v>
      </c>
      <c r="AR5" s="30">
        <f t="shared" si="8"/>
        <v>805.7218994</v>
      </c>
      <c r="AS5" s="34">
        <f t="shared" si="9"/>
        <v>21.064</v>
      </c>
    </row>
    <row r="6">
      <c r="A6" s="29" t="s">
        <v>1231</v>
      </c>
      <c r="B6" s="29" t="s">
        <v>1226</v>
      </c>
      <c r="C6" s="29" t="s">
        <v>1227</v>
      </c>
      <c r="D6" s="29" t="s">
        <v>164</v>
      </c>
      <c r="E6" s="29">
        <v>7.594</v>
      </c>
      <c r="F6" s="29">
        <v>6.601</v>
      </c>
      <c r="G6" s="29">
        <v>5.054</v>
      </c>
      <c r="H6" s="29">
        <v>3.906</v>
      </c>
      <c r="I6" s="29">
        <v>3.202</v>
      </c>
      <c r="J6" s="29">
        <v>4.361</v>
      </c>
      <c r="K6" s="29">
        <v>5.495</v>
      </c>
      <c r="L6" s="29">
        <v>5.953</v>
      </c>
      <c r="M6" s="29">
        <v>5.648</v>
      </c>
      <c r="N6" s="29">
        <v>5.184</v>
      </c>
      <c r="O6" s="29">
        <f>1.67+1.645</f>
        <v>3.315</v>
      </c>
      <c r="P6" s="29">
        <v>2.752</v>
      </c>
      <c r="Q6" s="29">
        <v>2.133</v>
      </c>
      <c r="R6" s="29">
        <v>1.557</v>
      </c>
      <c r="S6" s="29">
        <v>1.345</v>
      </c>
      <c r="T6" s="29">
        <v>1.864</v>
      </c>
      <c r="U6" s="35">
        <f>1.191+1.137</f>
        <v>2.328</v>
      </c>
      <c r="V6" s="35">
        <f>1.335+1.192</f>
        <v>2.527</v>
      </c>
      <c r="W6" s="29">
        <v>2.473</v>
      </c>
      <c r="X6" s="29">
        <f>1.143+1.034</f>
        <v>2.177</v>
      </c>
      <c r="Y6" s="29">
        <v>198.097</v>
      </c>
      <c r="Z6" s="29">
        <v>189.957</v>
      </c>
      <c r="AA6" s="29">
        <v>145.468</v>
      </c>
      <c r="AB6" s="29">
        <v>115.998</v>
      </c>
      <c r="AC6" s="29">
        <v>92.032</v>
      </c>
      <c r="AD6" s="29">
        <v>119.21</v>
      </c>
      <c r="AE6" s="29">
        <v>153.715</v>
      </c>
      <c r="AF6" s="29">
        <v>168.256</v>
      </c>
      <c r="AG6" s="29">
        <v>146.46</v>
      </c>
      <c r="AH6" s="29">
        <v>144.991</v>
      </c>
      <c r="AI6" s="30">
        <f t="shared" si="1"/>
        <v>662.298708</v>
      </c>
      <c r="AJ6" s="30">
        <f t="shared" si="2"/>
        <v>66.2298708</v>
      </c>
      <c r="AK6" s="32">
        <f t="shared" si="3"/>
        <v>5.2998</v>
      </c>
      <c r="AL6" s="32">
        <f t="shared" si="4"/>
        <v>2.2471</v>
      </c>
      <c r="AM6" s="33">
        <f t="shared" si="5"/>
        <v>57.6002868</v>
      </c>
      <c r="AN6" s="33">
        <f t="shared" si="6"/>
        <v>0.423997132</v>
      </c>
      <c r="AO6" s="33">
        <f>pi()*1.35*(0.4/2)^2</f>
        <v>0.1696460033</v>
      </c>
      <c r="AP6" s="29">
        <v>0.216</v>
      </c>
      <c r="AQ6" s="32">
        <f t="shared" si="7"/>
        <v>1.273239545</v>
      </c>
      <c r="AR6" s="30">
        <f t="shared" si="8"/>
        <v>1273.239545</v>
      </c>
      <c r="AS6" s="34">
        <f t="shared" si="9"/>
        <v>147.4184</v>
      </c>
    </row>
    <row r="7">
      <c r="A7" s="29" t="s">
        <v>1232</v>
      </c>
      <c r="B7" s="29" t="s">
        <v>1226</v>
      </c>
      <c r="C7" s="29" t="s">
        <v>1227</v>
      </c>
      <c r="D7" s="29" t="s">
        <v>28</v>
      </c>
      <c r="E7" s="29">
        <v>0.416</v>
      </c>
      <c r="F7" s="29">
        <v>0.552</v>
      </c>
      <c r="G7" s="29">
        <v>0.547</v>
      </c>
      <c r="H7" s="29">
        <v>0.563</v>
      </c>
      <c r="I7" s="29">
        <v>0.479</v>
      </c>
      <c r="J7" s="29">
        <v>0.454</v>
      </c>
      <c r="K7" s="29">
        <v>0.347</v>
      </c>
      <c r="L7" s="29">
        <v>0.349</v>
      </c>
      <c r="M7" s="29">
        <v>0.346</v>
      </c>
      <c r="N7" s="29">
        <v>0.24</v>
      </c>
      <c r="O7" s="29">
        <v>0.138</v>
      </c>
      <c r="P7" s="29">
        <v>0.193</v>
      </c>
      <c r="Q7" s="29">
        <v>0.19</v>
      </c>
      <c r="R7" s="29">
        <v>0.196</v>
      </c>
      <c r="S7" s="29">
        <v>0.156</v>
      </c>
      <c r="T7" s="29">
        <v>0.147</v>
      </c>
      <c r="U7" s="29">
        <v>0.124</v>
      </c>
      <c r="V7" s="29">
        <v>0.114</v>
      </c>
      <c r="W7" s="29">
        <v>0.117</v>
      </c>
      <c r="X7" s="29">
        <v>0.074</v>
      </c>
      <c r="Y7" s="29">
        <v>30.269</v>
      </c>
      <c r="Z7" s="29">
        <v>41.288</v>
      </c>
      <c r="AA7" s="29">
        <v>38.958</v>
      </c>
      <c r="AB7" s="29">
        <v>40.241</v>
      </c>
      <c r="AC7" s="29">
        <v>38.004</v>
      </c>
      <c r="AD7" s="29">
        <v>37.315</v>
      </c>
      <c r="AE7" s="29">
        <v>27.165</v>
      </c>
      <c r="AF7" s="29">
        <v>28.019</v>
      </c>
      <c r="AG7" s="29">
        <v>27.261</v>
      </c>
      <c r="AH7" s="29">
        <v>18.265</v>
      </c>
      <c r="AI7" s="30">
        <f t="shared" si="1"/>
        <v>2285.757899</v>
      </c>
      <c r="AJ7" s="30">
        <f t="shared" si="2"/>
        <v>228.5757899</v>
      </c>
      <c r="AK7" s="32">
        <f t="shared" si="3"/>
        <v>0.4293</v>
      </c>
      <c r="AL7" s="32">
        <f t="shared" si="4"/>
        <v>0.1449</v>
      </c>
      <c r="AM7" s="33">
        <f t="shared" si="5"/>
        <v>66.24737945</v>
      </c>
      <c r="AN7" s="33">
        <f t="shared" si="6"/>
        <v>0.3375262055</v>
      </c>
      <c r="AO7" s="33">
        <f>pi()*0.8*(0.4/2)^2</f>
        <v>0.1005309649</v>
      </c>
      <c r="AP7" s="29">
        <v>0.089</v>
      </c>
      <c r="AQ7" s="32">
        <f t="shared" si="7"/>
        <v>0.8852993709</v>
      </c>
      <c r="AR7" s="30">
        <f t="shared" si="8"/>
        <v>885.2993709</v>
      </c>
      <c r="AS7" s="34">
        <f t="shared" si="9"/>
        <v>32.6785</v>
      </c>
    </row>
    <row r="8">
      <c r="A8" s="29" t="s">
        <v>1233</v>
      </c>
      <c r="B8" s="29" t="s">
        <v>1226</v>
      </c>
      <c r="C8" s="29" t="s">
        <v>1227</v>
      </c>
      <c r="D8" s="29" t="s">
        <v>97</v>
      </c>
      <c r="E8" s="29">
        <v>0.218</v>
      </c>
      <c r="F8" s="29">
        <v>0.384</v>
      </c>
      <c r="G8" s="29">
        <v>0.239</v>
      </c>
      <c r="H8" s="29">
        <v>0.277</v>
      </c>
      <c r="I8" s="29">
        <v>0.224</v>
      </c>
      <c r="J8" s="29">
        <v>0.227</v>
      </c>
      <c r="K8" s="29">
        <v>0.202</v>
      </c>
      <c r="L8" s="29">
        <v>0.255</v>
      </c>
      <c r="M8" s="29">
        <v>0.239</v>
      </c>
      <c r="N8" s="29">
        <v>0.253</v>
      </c>
      <c r="O8" s="29">
        <v>0.099</v>
      </c>
      <c r="P8" s="29">
        <v>0.197</v>
      </c>
      <c r="Q8" s="29">
        <v>0.119</v>
      </c>
      <c r="R8" s="29">
        <v>0.136</v>
      </c>
      <c r="S8" s="29">
        <v>0.109</v>
      </c>
      <c r="T8" s="29">
        <v>0.108</v>
      </c>
      <c r="U8" s="29">
        <v>0.103</v>
      </c>
      <c r="V8" s="29">
        <v>0.124</v>
      </c>
      <c r="W8" s="29">
        <v>0.106</v>
      </c>
      <c r="X8" s="29">
        <v>0.135</v>
      </c>
      <c r="Y8" s="29">
        <v>11.006</v>
      </c>
      <c r="Z8" s="29">
        <v>16.005</v>
      </c>
      <c r="AA8" s="29">
        <v>10.472</v>
      </c>
      <c r="AB8" s="29">
        <v>13.568</v>
      </c>
      <c r="AC8" s="29">
        <v>9.311</v>
      </c>
      <c r="AD8" s="29">
        <v>11.88</v>
      </c>
      <c r="AE8" s="29">
        <v>7.916</v>
      </c>
      <c r="AF8" s="29">
        <v>12.386</v>
      </c>
      <c r="AG8" s="29">
        <v>13.075</v>
      </c>
      <c r="AH8" s="29">
        <v>11.353</v>
      </c>
      <c r="AI8" s="30">
        <f t="shared" si="1"/>
        <v>959.7889148</v>
      </c>
      <c r="AJ8" s="30">
        <f t="shared" si="2"/>
        <v>95.97889148</v>
      </c>
      <c r="AK8" s="32">
        <f t="shared" si="3"/>
        <v>0.2518</v>
      </c>
      <c r="AL8" s="32">
        <f t="shared" si="4"/>
        <v>0.1236</v>
      </c>
      <c r="AM8" s="33">
        <f t="shared" si="5"/>
        <v>50.91342335</v>
      </c>
      <c r="AN8" s="33">
        <f t="shared" si="6"/>
        <v>0.4908657665</v>
      </c>
      <c r="AO8" s="33">
        <f>pi()*2.2*(0.4/2)^2</f>
        <v>0.2764601535</v>
      </c>
      <c r="AP8" s="29">
        <v>0.315</v>
      </c>
      <c r="AQ8" s="32">
        <f t="shared" si="7"/>
        <v>1.139404706</v>
      </c>
      <c r="AR8" s="30">
        <f t="shared" si="8"/>
        <v>1139.404706</v>
      </c>
      <c r="AS8" s="34">
        <f t="shared" si="9"/>
        <v>11.6972</v>
      </c>
    </row>
    <row r="9" ht="15.75" customHeight="1">
      <c r="A9" s="29" t="s">
        <v>1234</v>
      </c>
      <c r="B9" s="29" t="s">
        <v>1226</v>
      </c>
      <c r="C9" s="29" t="s">
        <v>1235</v>
      </c>
      <c r="D9" s="29" t="s">
        <v>55</v>
      </c>
      <c r="E9" s="29">
        <v>0.445</v>
      </c>
      <c r="F9" s="29">
        <v>0.355</v>
      </c>
      <c r="G9" s="29">
        <v>0.457</v>
      </c>
      <c r="H9" s="29">
        <v>0.403</v>
      </c>
      <c r="I9" s="29">
        <v>0.533</v>
      </c>
      <c r="J9" s="29">
        <v>0.341</v>
      </c>
      <c r="K9" s="29">
        <v>0.353</v>
      </c>
      <c r="L9" s="29">
        <v>0.437</v>
      </c>
      <c r="M9" s="29">
        <v>0.529</v>
      </c>
      <c r="N9" s="29">
        <v>0.375</v>
      </c>
      <c r="O9" s="29">
        <v>0.177</v>
      </c>
      <c r="P9" s="29">
        <v>0.152</v>
      </c>
      <c r="Q9" s="29">
        <v>0.195</v>
      </c>
      <c r="R9" s="29">
        <v>0.165</v>
      </c>
      <c r="S9" s="29">
        <v>0.229</v>
      </c>
      <c r="T9" s="29">
        <v>0.148</v>
      </c>
      <c r="U9" s="29">
        <v>0.15</v>
      </c>
      <c r="V9" s="29">
        <v>0.186</v>
      </c>
      <c r="W9" s="29">
        <v>0.229</v>
      </c>
      <c r="X9" s="29">
        <v>0.158</v>
      </c>
      <c r="Y9" s="29">
        <v>24.719</v>
      </c>
      <c r="Z9" s="29">
        <v>20.321</v>
      </c>
      <c r="AA9" s="29">
        <v>24.454</v>
      </c>
      <c r="AB9" s="29">
        <v>20.267</v>
      </c>
      <c r="AC9" s="29">
        <v>28.569</v>
      </c>
      <c r="AD9" s="29">
        <v>20.03</v>
      </c>
      <c r="AE9" s="29">
        <v>21.351</v>
      </c>
      <c r="AF9" s="29">
        <v>23.508</v>
      </c>
      <c r="AG9" s="29">
        <v>28.293</v>
      </c>
      <c r="AH9" s="29">
        <v>18.64</v>
      </c>
      <c r="AI9" s="30">
        <f t="shared" si="1"/>
        <v>1291.926883</v>
      </c>
      <c r="AJ9" s="30">
        <f t="shared" si="2"/>
        <v>129.1926883</v>
      </c>
      <c r="AK9" s="32">
        <f t="shared" si="3"/>
        <v>0.4228</v>
      </c>
      <c r="AL9" s="32">
        <f t="shared" si="4"/>
        <v>0.1789</v>
      </c>
      <c r="AM9" s="33">
        <f t="shared" si="5"/>
        <v>57.68684957</v>
      </c>
      <c r="AN9" s="33">
        <f t="shared" si="6"/>
        <v>0.4231315043</v>
      </c>
      <c r="AO9" s="33">
        <f>pi()*1.5*(0.4/2)^2</f>
        <v>0.1884955592</v>
      </c>
      <c r="AP9" s="29">
        <v>0.21</v>
      </c>
      <c r="AQ9" s="32">
        <f t="shared" si="7"/>
        <v>1.114084602</v>
      </c>
      <c r="AR9" s="30">
        <f t="shared" si="8"/>
        <v>1114.084602</v>
      </c>
      <c r="AS9" s="34">
        <f t="shared" si="9"/>
        <v>23.0152</v>
      </c>
    </row>
    <row r="10">
      <c r="A10" s="29" t="s">
        <v>1236</v>
      </c>
      <c r="B10" s="29" t="s">
        <v>1226</v>
      </c>
      <c r="C10" s="29" t="s">
        <v>1235</v>
      </c>
      <c r="D10" s="29" t="s">
        <v>154</v>
      </c>
      <c r="E10" s="29">
        <v>0.73</v>
      </c>
      <c r="F10" s="29">
        <v>1.262</v>
      </c>
      <c r="G10" s="29">
        <v>1.18</v>
      </c>
      <c r="H10" s="29">
        <v>0.524</v>
      </c>
      <c r="I10" s="29">
        <v>0.803</v>
      </c>
      <c r="J10" s="29">
        <v>0.468</v>
      </c>
      <c r="K10" s="29">
        <v>0.575</v>
      </c>
      <c r="L10" s="29">
        <v>0.488</v>
      </c>
      <c r="M10" s="29">
        <v>0.451</v>
      </c>
      <c r="N10" s="29">
        <v>0.353</v>
      </c>
      <c r="O10" s="29">
        <v>0.288</v>
      </c>
      <c r="P10" s="29">
        <v>0.497</v>
      </c>
      <c r="Q10" s="29">
        <v>0.405</v>
      </c>
      <c r="R10" s="29">
        <v>0.215</v>
      </c>
      <c r="S10" s="29">
        <v>0.33</v>
      </c>
      <c r="T10" s="29">
        <v>0.186</v>
      </c>
      <c r="U10" s="29">
        <v>0.235</v>
      </c>
      <c r="V10" s="29">
        <v>0.191</v>
      </c>
      <c r="W10" s="29">
        <v>0.186</v>
      </c>
      <c r="X10" s="29">
        <v>0.149</v>
      </c>
      <c r="Y10" s="29">
        <v>27.809</v>
      </c>
      <c r="Z10" s="29">
        <v>44.042</v>
      </c>
      <c r="AA10" s="29">
        <v>36.176</v>
      </c>
      <c r="AB10" s="29">
        <v>19.746</v>
      </c>
      <c r="AC10" s="29">
        <v>29.232</v>
      </c>
      <c r="AD10" s="29">
        <v>18.13</v>
      </c>
      <c r="AE10" s="29">
        <v>21.584</v>
      </c>
      <c r="AF10" s="29">
        <v>18.3</v>
      </c>
      <c r="AG10" s="29">
        <v>16.852</v>
      </c>
      <c r="AH10" s="29">
        <v>13.424</v>
      </c>
      <c r="AI10" s="30">
        <f t="shared" si="1"/>
        <v>920.7494128</v>
      </c>
      <c r="AJ10" s="30">
        <f t="shared" si="2"/>
        <v>92.07494128</v>
      </c>
      <c r="AK10" s="32">
        <f t="shared" si="3"/>
        <v>0.6834</v>
      </c>
      <c r="AL10" s="32">
        <f t="shared" si="4"/>
        <v>0.2682</v>
      </c>
      <c r="AM10" s="33">
        <f t="shared" si="5"/>
        <v>60.75504829</v>
      </c>
      <c r="AN10" s="33">
        <f t="shared" si="6"/>
        <v>0.3924495171</v>
      </c>
      <c r="AO10" s="33">
        <f>pi()*0.5*(0.4/2)^2</f>
        <v>0.06283185307</v>
      </c>
      <c r="AP10" s="29">
        <v>0.096</v>
      </c>
      <c r="AQ10" s="32">
        <f t="shared" si="7"/>
        <v>1.527887454</v>
      </c>
      <c r="AR10" s="30">
        <f t="shared" si="8"/>
        <v>1527.887454</v>
      </c>
      <c r="AS10" s="34">
        <f t="shared" si="9"/>
        <v>24.5295</v>
      </c>
    </row>
    <row r="11">
      <c r="A11" s="29" t="s">
        <v>1237</v>
      </c>
      <c r="B11" s="29" t="s">
        <v>1238</v>
      </c>
      <c r="C11" s="29" t="s">
        <v>1227</v>
      </c>
      <c r="D11" s="29" t="s">
        <v>1239</v>
      </c>
      <c r="E11" s="29">
        <v>5.907</v>
      </c>
      <c r="F11" s="29">
        <v>4.984</v>
      </c>
      <c r="G11" s="29">
        <v>4.96</v>
      </c>
      <c r="H11" s="29">
        <v>6.784</v>
      </c>
      <c r="I11" s="29">
        <v>5.14</v>
      </c>
      <c r="J11" s="29">
        <v>5.358</v>
      </c>
      <c r="K11" s="29">
        <v>4.753</v>
      </c>
      <c r="L11" s="29">
        <v>5.011</v>
      </c>
      <c r="M11" s="29">
        <v>3.535</v>
      </c>
      <c r="N11" s="29">
        <v>6.389</v>
      </c>
      <c r="O11" s="29">
        <v>1.74</v>
      </c>
      <c r="P11" s="29">
        <v>1.507</v>
      </c>
      <c r="Q11" s="29">
        <v>1.454</v>
      </c>
      <c r="R11" s="29">
        <v>1.962</v>
      </c>
      <c r="S11" s="29">
        <v>1.462</v>
      </c>
      <c r="T11" s="29">
        <v>1.538</v>
      </c>
      <c r="U11" s="29">
        <v>1.35</v>
      </c>
      <c r="V11" s="29">
        <v>1.433</v>
      </c>
      <c r="W11" s="29">
        <v>1.014</v>
      </c>
      <c r="X11" s="29">
        <v>2.002</v>
      </c>
      <c r="Y11" s="29">
        <v>141.409</v>
      </c>
      <c r="Z11" s="29">
        <v>123.48</v>
      </c>
      <c r="AA11" s="29">
        <v>115.511</v>
      </c>
      <c r="AB11" s="29">
        <v>163.615</v>
      </c>
      <c r="AC11" s="29">
        <v>126.875</v>
      </c>
      <c r="AD11" s="29">
        <v>131.279</v>
      </c>
      <c r="AE11" s="29">
        <v>119.383</v>
      </c>
      <c r="AF11" s="29">
        <v>124.178</v>
      </c>
      <c r="AG11" s="29">
        <v>88.077</v>
      </c>
      <c r="AH11" s="29">
        <v>147.546</v>
      </c>
      <c r="AI11" s="30">
        <f t="shared" si="1"/>
        <v>833.8295441</v>
      </c>
      <c r="AJ11" s="30">
        <f t="shared" si="2"/>
        <v>83.38295441</v>
      </c>
      <c r="AK11" s="32">
        <f t="shared" si="3"/>
        <v>5.2821</v>
      </c>
      <c r="AL11" s="32">
        <f t="shared" si="4"/>
        <v>1.5462</v>
      </c>
      <c r="AM11" s="33">
        <f t="shared" si="5"/>
        <v>70.72755154</v>
      </c>
      <c r="AN11" s="33">
        <f t="shared" si="6"/>
        <v>0.2927244846</v>
      </c>
      <c r="AO11" s="33">
        <f>pi()*1.5*(0.5/2)^2</f>
        <v>0.2945243113</v>
      </c>
      <c r="AP11" s="29">
        <v>0.254</v>
      </c>
      <c r="AQ11" s="32">
        <f t="shared" si="7"/>
        <v>0.862407585</v>
      </c>
      <c r="AR11" s="30">
        <f t="shared" si="8"/>
        <v>862.407585</v>
      </c>
      <c r="AS11" s="34">
        <f t="shared" si="9"/>
        <v>128.1353</v>
      </c>
    </row>
    <row r="12">
      <c r="A12" s="29" t="s">
        <v>1240</v>
      </c>
      <c r="B12" s="29" t="s">
        <v>1238</v>
      </c>
      <c r="C12" s="29" t="s">
        <v>1227</v>
      </c>
      <c r="D12" s="29" t="s">
        <v>37</v>
      </c>
      <c r="E12" s="29">
        <v>0.664</v>
      </c>
      <c r="F12" s="29">
        <v>0.303</v>
      </c>
      <c r="G12" s="29">
        <v>0.339</v>
      </c>
      <c r="H12" s="29">
        <v>0.509</v>
      </c>
      <c r="I12" s="29">
        <v>0.49</v>
      </c>
      <c r="J12" s="29">
        <v>0.389</v>
      </c>
      <c r="K12" s="29">
        <v>0.535</v>
      </c>
      <c r="L12" s="29">
        <v>0.57</v>
      </c>
      <c r="M12" s="29">
        <v>0.382</v>
      </c>
      <c r="N12" s="29">
        <v>0.766</v>
      </c>
      <c r="O12" s="29">
        <v>0.309</v>
      </c>
      <c r="P12" s="29">
        <v>0.135</v>
      </c>
      <c r="Q12" s="29">
        <v>0.157</v>
      </c>
      <c r="R12" s="29">
        <v>0.235</v>
      </c>
      <c r="S12" s="29">
        <v>0.227</v>
      </c>
      <c r="T12" s="29">
        <v>0.181</v>
      </c>
      <c r="U12" s="29">
        <v>0.246</v>
      </c>
      <c r="V12" s="29">
        <v>0.259</v>
      </c>
      <c r="W12" s="29">
        <v>0.179</v>
      </c>
      <c r="X12" s="29">
        <v>0.35</v>
      </c>
      <c r="Y12" s="29">
        <v>21.244</v>
      </c>
      <c r="Z12" s="29">
        <v>11.116</v>
      </c>
      <c r="AA12" s="29">
        <v>12.035</v>
      </c>
      <c r="AB12" s="29">
        <v>16.87</v>
      </c>
      <c r="AC12" s="29">
        <v>16.083</v>
      </c>
      <c r="AD12" s="29">
        <v>13.856</v>
      </c>
      <c r="AE12" s="29">
        <v>18.113</v>
      </c>
      <c r="AF12" s="29">
        <v>19.833</v>
      </c>
      <c r="AG12" s="29">
        <v>13.433</v>
      </c>
      <c r="AH12" s="29">
        <v>26.962</v>
      </c>
      <c r="AI12" s="30">
        <f t="shared" si="1"/>
        <v>749.2218906</v>
      </c>
      <c r="AJ12" s="30">
        <f t="shared" si="2"/>
        <v>74.92218906</v>
      </c>
      <c r="AK12" s="32">
        <f t="shared" si="3"/>
        <v>0.4947</v>
      </c>
      <c r="AL12" s="32">
        <f t="shared" si="4"/>
        <v>0.2278</v>
      </c>
      <c r="AM12" s="33">
        <f t="shared" si="5"/>
        <v>53.95189003</v>
      </c>
      <c r="AN12" s="33">
        <f t="shared" si="6"/>
        <v>0.4604810997</v>
      </c>
      <c r="AO12" s="33">
        <f>pi()*1.6*(0.5/2)^2</f>
        <v>0.3141592654</v>
      </c>
      <c r="AP12" s="29">
        <v>0.284</v>
      </c>
      <c r="AQ12" s="32">
        <f t="shared" si="7"/>
        <v>0.9040000768</v>
      </c>
      <c r="AR12" s="30">
        <f t="shared" si="8"/>
        <v>904.0000768</v>
      </c>
      <c r="AS12" s="34">
        <f t="shared" si="9"/>
        <v>16.9545</v>
      </c>
    </row>
    <row r="13">
      <c r="A13" s="29" t="s">
        <v>1241</v>
      </c>
      <c r="B13" s="29" t="s">
        <v>1238</v>
      </c>
      <c r="C13" s="29" t="s">
        <v>1227</v>
      </c>
      <c r="D13" s="29" t="s">
        <v>31</v>
      </c>
      <c r="E13" s="29">
        <v>0.461</v>
      </c>
      <c r="F13" s="29">
        <v>0.388</v>
      </c>
      <c r="G13" s="29">
        <v>0.629</v>
      </c>
      <c r="H13" s="29">
        <v>0.496</v>
      </c>
      <c r="I13" s="29">
        <v>0.412</v>
      </c>
      <c r="J13" s="29">
        <v>0.487</v>
      </c>
      <c r="K13" s="29">
        <v>0.384</v>
      </c>
      <c r="L13" s="29">
        <v>0.444</v>
      </c>
      <c r="M13" s="29">
        <v>0.403</v>
      </c>
      <c r="N13" s="29">
        <v>0.459</v>
      </c>
      <c r="O13" s="29">
        <v>0.215</v>
      </c>
      <c r="P13" s="29">
        <v>0.162</v>
      </c>
      <c r="Q13" s="29">
        <v>0.278</v>
      </c>
      <c r="R13" s="29">
        <v>0.212</v>
      </c>
      <c r="S13" s="29">
        <v>0.187</v>
      </c>
      <c r="T13" s="29">
        <v>0.221</v>
      </c>
      <c r="U13" s="29">
        <v>0.16</v>
      </c>
      <c r="V13" s="29">
        <v>0.191</v>
      </c>
      <c r="W13" s="29">
        <v>0.187</v>
      </c>
      <c r="X13" s="29">
        <v>0.219</v>
      </c>
      <c r="Y13" s="29">
        <v>22.049</v>
      </c>
      <c r="Z13" s="29">
        <v>22.72</v>
      </c>
      <c r="AA13" s="29">
        <v>32.775</v>
      </c>
      <c r="AB13" s="29">
        <v>27.203</v>
      </c>
      <c r="AC13" s="29">
        <v>21.824</v>
      </c>
      <c r="AD13" s="29">
        <v>25.006</v>
      </c>
      <c r="AE13" s="29">
        <v>22.374</v>
      </c>
      <c r="AF13" s="29">
        <v>26.459</v>
      </c>
      <c r="AG13" s="29">
        <v>22.829</v>
      </c>
      <c r="AH13" s="29">
        <v>23.16</v>
      </c>
      <c r="AI13" s="30">
        <f t="shared" si="1"/>
        <v>1225.067261</v>
      </c>
      <c r="AJ13" s="30">
        <f t="shared" si="2"/>
        <v>122.5067261</v>
      </c>
      <c r="AK13" s="32">
        <f t="shared" si="3"/>
        <v>0.4563</v>
      </c>
      <c r="AL13" s="32">
        <f t="shared" si="4"/>
        <v>0.2032</v>
      </c>
      <c r="AM13" s="33">
        <f t="shared" si="5"/>
        <v>55.46789393</v>
      </c>
      <c r="AN13" s="33">
        <f t="shared" si="6"/>
        <v>0.4453210607</v>
      </c>
      <c r="AO13" s="33">
        <f>pi()*1.5*(0.5/2)^2</f>
        <v>0.2945243113</v>
      </c>
      <c r="AP13" s="29">
        <v>0.253</v>
      </c>
      <c r="AQ13" s="32">
        <f t="shared" si="7"/>
        <v>0.8590122795</v>
      </c>
      <c r="AR13" s="30">
        <f t="shared" si="8"/>
        <v>859.0122795</v>
      </c>
      <c r="AS13" s="34">
        <f t="shared" si="9"/>
        <v>24.6399</v>
      </c>
    </row>
    <row r="14">
      <c r="A14" s="29" t="s">
        <v>1242</v>
      </c>
      <c r="B14" s="29" t="s">
        <v>1238</v>
      </c>
      <c r="C14" s="29" t="s">
        <v>1227</v>
      </c>
      <c r="D14" s="29" t="s">
        <v>24</v>
      </c>
      <c r="E14" s="29">
        <v>0.321</v>
      </c>
      <c r="F14" s="29">
        <v>0.318</v>
      </c>
      <c r="G14" s="29">
        <v>0.319</v>
      </c>
      <c r="H14" s="29">
        <v>0.256</v>
      </c>
      <c r="I14" s="29">
        <v>0.316</v>
      </c>
      <c r="J14" s="29">
        <v>0.29</v>
      </c>
      <c r="K14" s="29">
        <v>0.345</v>
      </c>
      <c r="L14" s="29">
        <v>0.221</v>
      </c>
      <c r="M14" s="29">
        <v>0.226</v>
      </c>
      <c r="N14" s="29">
        <v>0.214</v>
      </c>
      <c r="O14" s="29">
        <v>0.109</v>
      </c>
      <c r="P14" s="29">
        <v>0.111</v>
      </c>
      <c r="Q14" s="29">
        <v>0.108</v>
      </c>
      <c r="R14" s="29">
        <v>0.088</v>
      </c>
      <c r="S14" s="29">
        <v>0.108</v>
      </c>
      <c r="T14" s="29">
        <v>0.099</v>
      </c>
      <c r="U14" s="29">
        <v>0.119</v>
      </c>
      <c r="V14" s="29">
        <v>0.077</v>
      </c>
      <c r="W14" s="29">
        <v>0.078</v>
      </c>
      <c r="X14" s="29">
        <v>0.076</v>
      </c>
      <c r="Y14" s="29">
        <v>16.643</v>
      </c>
      <c r="Z14" s="29">
        <v>16.77</v>
      </c>
      <c r="AA14" s="29">
        <v>16.892</v>
      </c>
      <c r="AB14" s="29">
        <v>13.294</v>
      </c>
      <c r="AC14" s="29">
        <v>16.417</v>
      </c>
      <c r="AD14" s="29">
        <v>15.052</v>
      </c>
      <c r="AE14" s="29">
        <v>16.867</v>
      </c>
      <c r="AF14" s="29">
        <v>11.415</v>
      </c>
      <c r="AG14" s="29">
        <v>11.864</v>
      </c>
      <c r="AH14" s="29">
        <v>11.251</v>
      </c>
      <c r="AI14" s="30">
        <f t="shared" si="1"/>
        <v>1505.422694</v>
      </c>
      <c r="AJ14" s="30">
        <f t="shared" si="2"/>
        <v>150.5422694</v>
      </c>
      <c r="AK14" s="32">
        <f t="shared" si="3"/>
        <v>0.2826</v>
      </c>
      <c r="AL14" s="32">
        <f t="shared" si="4"/>
        <v>0.0973</v>
      </c>
      <c r="AM14" s="33">
        <f t="shared" si="5"/>
        <v>65.56970984</v>
      </c>
      <c r="AN14" s="33">
        <f t="shared" si="6"/>
        <v>0.3443029016</v>
      </c>
      <c r="AO14" s="33">
        <f>pi()*0.9*(0.5/2)^2</f>
        <v>0.1767145868</v>
      </c>
      <c r="AP14" s="29">
        <v>0.162</v>
      </c>
      <c r="AQ14" s="32">
        <f t="shared" si="7"/>
        <v>0.9167324722</v>
      </c>
      <c r="AR14" s="30">
        <f t="shared" si="8"/>
        <v>916.7324722</v>
      </c>
      <c r="AS14" s="34">
        <f t="shared" si="9"/>
        <v>14.6465</v>
      </c>
    </row>
    <row r="15">
      <c r="A15" s="29" t="s">
        <v>1243</v>
      </c>
      <c r="B15" s="29" t="s">
        <v>1238</v>
      </c>
      <c r="C15" s="29" t="s">
        <v>1227</v>
      </c>
      <c r="D15" s="29" t="s">
        <v>1244</v>
      </c>
      <c r="E15" s="29">
        <v>0.254</v>
      </c>
      <c r="F15" s="29">
        <v>0.216</v>
      </c>
      <c r="G15" s="29">
        <v>0.63</v>
      </c>
      <c r="H15" s="29">
        <v>0.227</v>
      </c>
      <c r="I15" s="29">
        <v>0.221</v>
      </c>
      <c r="J15" s="29">
        <v>0.272</v>
      </c>
      <c r="K15" s="29">
        <v>0.285</v>
      </c>
      <c r="L15" s="29">
        <v>0.468</v>
      </c>
      <c r="M15" s="29">
        <v>0.515</v>
      </c>
      <c r="N15" s="29">
        <v>0.471</v>
      </c>
      <c r="O15" s="29">
        <v>0.111</v>
      </c>
      <c r="P15" s="29">
        <v>0.101</v>
      </c>
      <c r="Q15" s="29">
        <v>0.301</v>
      </c>
      <c r="R15" s="29">
        <v>0.109</v>
      </c>
      <c r="S15" s="29">
        <v>0.107</v>
      </c>
      <c r="T15" s="29">
        <v>0.13</v>
      </c>
      <c r="U15" s="29">
        <v>0.128</v>
      </c>
      <c r="V15" s="29">
        <v>0.211</v>
      </c>
      <c r="W15" s="29">
        <v>0.244</v>
      </c>
      <c r="X15" s="29">
        <v>0.224</v>
      </c>
      <c r="Y15" s="29">
        <v>20.142</v>
      </c>
      <c r="Z15" s="29">
        <v>13.191</v>
      </c>
      <c r="AA15" s="29">
        <v>41.612</v>
      </c>
      <c r="AB15" s="29">
        <v>19.131</v>
      </c>
      <c r="AC15" s="29">
        <v>18.822</v>
      </c>
      <c r="AD15" s="29">
        <v>27.302</v>
      </c>
      <c r="AE15" s="29">
        <v>22.46</v>
      </c>
      <c r="AF15" s="29">
        <v>38.99</v>
      </c>
      <c r="AG15" s="29">
        <v>47.123</v>
      </c>
      <c r="AH15" s="29">
        <v>35.079</v>
      </c>
      <c r="AI15" s="30">
        <f t="shared" si="1"/>
        <v>1721.730163</v>
      </c>
      <c r="AJ15" s="30">
        <f t="shared" si="2"/>
        <v>172.1730163</v>
      </c>
      <c r="AK15" s="32">
        <f t="shared" si="3"/>
        <v>0.3559</v>
      </c>
      <c r="AL15" s="32">
        <f t="shared" si="4"/>
        <v>0.1666</v>
      </c>
      <c r="AM15" s="33">
        <f t="shared" si="5"/>
        <v>53.18909806</v>
      </c>
      <c r="AN15" s="33">
        <f t="shared" si="6"/>
        <v>0.4681090194</v>
      </c>
      <c r="AO15" s="33">
        <f>pi()*0.7*(0.5/2)^2</f>
        <v>0.1374446786</v>
      </c>
      <c r="AP15" s="29">
        <v>0.103</v>
      </c>
      <c r="AQ15" s="32">
        <f t="shared" si="7"/>
        <v>0.7493924178</v>
      </c>
      <c r="AR15" s="30">
        <f t="shared" si="8"/>
        <v>749.3924178</v>
      </c>
      <c r="AS15" s="34">
        <f t="shared" si="9"/>
        <v>28.3852</v>
      </c>
    </row>
    <row r="16">
      <c r="A16" s="29" t="s">
        <v>1245</v>
      </c>
      <c r="B16" s="29" t="s">
        <v>1238</v>
      </c>
      <c r="C16" s="29" t="s">
        <v>1227</v>
      </c>
      <c r="D16" s="29" t="s">
        <v>78</v>
      </c>
      <c r="E16" s="29">
        <v>0.294</v>
      </c>
      <c r="F16" s="29">
        <v>0.368</v>
      </c>
      <c r="G16" s="29">
        <v>0.345</v>
      </c>
      <c r="H16" s="29">
        <v>0.3</v>
      </c>
      <c r="I16" s="29">
        <v>0.359</v>
      </c>
      <c r="J16" s="29">
        <v>0.326</v>
      </c>
      <c r="K16" s="29">
        <v>0.261</v>
      </c>
      <c r="L16" s="29">
        <v>0.227</v>
      </c>
      <c r="M16" s="29">
        <v>0.287</v>
      </c>
      <c r="N16" s="29">
        <v>0.348</v>
      </c>
      <c r="O16" s="29">
        <v>0.103</v>
      </c>
      <c r="P16" s="29">
        <v>0.142</v>
      </c>
      <c r="Q16" s="29">
        <v>0.153</v>
      </c>
      <c r="R16" s="29">
        <v>0.134</v>
      </c>
      <c r="S16" s="29">
        <v>0.166</v>
      </c>
      <c r="T16" s="29">
        <v>0.149</v>
      </c>
      <c r="U16" s="29">
        <v>0.116</v>
      </c>
      <c r="V16" s="29">
        <v>0.08</v>
      </c>
      <c r="W16" s="29">
        <v>0.134</v>
      </c>
      <c r="X16" s="29">
        <v>0.158</v>
      </c>
      <c r="Y16" s="29">
        <v>13.51</v>
      </c>
      <c r="Z16" s="29">
        <v>14.53</v>
      </c>
      <c r="AA16" s="29">
        <v>11.96</v>
      </c>
      <c r="AB16" s="29">
        <v>10.83</v>
      </c>
      <c r="AC16" s="29">
        <v>12.021</v>
      </c>
      <c r="AD16" s="29">
        <v>11.293</v>
      </c>
      <c r="AE16" s="29">
        <v>9.577</v>
      </c>
      <c r="AF16" s="29">
        <v>10.106</v>
      </c>
      <c r="AG16" s="29">
        <v>9.743</v>
      </c>
      <c r="AH16" s="29">
        <v>11.705</v>
      </c>
      <c r="AI16" s="30">
        <f t="shared" si="1"/>
        <v>896.3640099</v>
      </c>
      <c r="AJ16" s="30">
        <f t="shared" si="2"/>
        <v>89.63640099</v>
      </c>
      <c r="AK16" s="32">
        <f t="shared" si="3"/>
        <v>0.3115</v>
      </c>
      <c r="AL16" s="32">
        <f t="shared" si="4"/>
        <v>0.1335</v>
      </c>
      <c r="AM16" s="33">
        <f t="shared" si="5"/>
        <v>57.14285714</v>
      </c>
      <c r="AN16" s="33">
        <f t="shared" si="6"/>
        <v>0.4285714286</v>
      </c>
      <c r="AO16" s="33">
        <f>pi()*1.1*(0.45/2)^2</f>
        <v>0.1749474409</v>
      </c>
      <c r="AP16" s="29">
        <v>0.134</v>
      </c>
      <c r="AQ16" s="32">
        <f t="shared" si="7"/>
        <v>0.7659443277</v>
      </c>
      <c r="AR16" s="30">
        <f t="shared" si="8"/>
        <v>765.9443277</v>
      </c>
      <c r="AS16" s="34">
        <f t="shared" si="9"/>
        <v>11.5275</v>
      </c>
    </row>
    <row r="17">
      <c r="A17" s="29" t="s">
        <v>1246</v>
      </c>
      <c r="B17" s="29" t="s">
        <v>1238</v>
      </c>
      <c r="C17" s="29" t="s">
        <v>1227</v>
      </c>
      <c r="D17" s="29" t="s">
        <v>323</v>
      </c>
      <c r="E17" s="29">
        <v>0.11</v>
      </c>
      <c r="F17" s="29">
        <v>0.104</v>
      </c>
      <c r="G17" s="29">
        <v>0.089</v>
      </c>
      <c r="H17" s="29">
        <v>0.096</v>
      </c>
      <c r="I17" s="29">
        <v>0.078</v>
      </c>
      <c r="J17" s="29">
        <v>0.088</v>
      </c>
      <c r="K17" s="29">
        <v>0.08</v>
      </c>
      <c r="L17" s="29">
        <v>0.092</v>
      </c>
      <c r="M17" s="29">
        <v>0.109</v>
      </c>
      <c r="N17" s="29">
        <v>0.074</v>
      </c>
      <c r="O17" s="29">
        <v>0.057</v>
      </c>
      <c r="P17" s="29">
        <v>0.054</v>
      </c>
      <c r="Q17" s="29">
        <v>0.042</v>
      </c>
      <c r="R17" s="29">
        <v>0.047</v>
      </c>
      <c r="S17" s="29">
        <v>0.041</v>
      </c>
      <c r="T17" s="29">
        <v>0.047</v>
      </c>
      <c r="U17" s="29">
        <v>0.041</v>
      </c>
      <c r="V17" s="29">
        <v>0.046</v>
      </c>
      <c r="W17" s="29">
        <v>0.052</v>
      </c>
      <c r="X17" s="29">
        <v>0.037</v>
      </c>
      <c r="Y17" s="29">
        <v>5.823</v>
      </c>
      <c r="Z17" s="29">
        <v>5.584</v>
      </c>
      <c r="AA17" s="29">
        <v>4.807</v>
      </c>
      <c r="AB17" s="29">
        <v>5.258</v>
      </c>
      <c r="AC17" s="29">
        <v>3.987</v>
      </c>
      <c r="AD17" s="29">
        <v>4.516</v>
      </c>
      <c r="AE17" s="29">
        <v>4.169</v>
      </c>
      <c r="AF17" s="29">
        <v>5.403</v>
      </c>
      <c r="AG17" s="29">
        <v>5.519</v>
      </c>
      <c r="AH17" s="29">
        <v>3.584</v>
      </c>
      <c r="AI17" s="30">
        <f t="shared" si="1"/>
        <v>1047.357961</v>
      </c>
      <c r="AJ17" s="30">
        <f t="shared" si="2"/>
        <v>104.7357961</v>
      </c>
      <c r="AK17" s="32">
        <f t="shared" si="3"/>
        <v>0.092</v>
      </c>
      <c r="AL17" s="32">
        <f t="shared" si="4"/>
        <v>0.0464</v>
      </c>
      <c r="AM17" s="33">
        <f t="shared" si="5"/>
        <v>49.56521739</v>
      </c>
      <c r="AN17" s="33">
        <f t="shared" si="6"/>
        <v>0.5043478261</v>
      </c>
      <c r="AO17" s="33">
        <f>pi()*1.4*(0.45/2)^2</f>
        <v>0.2226603793</v>
      </c>
      <c r="AP17" s="29">
        <v>0.201</v>
      </c>
      <c r="AQ17" s="32">
        <f t="shared" si="7"/>
        <v>0.9027201005</v>
      </c>
      <c r="AR17" s="30">
        <f t="shared" si="8"/>
        <v>902.7201005</v>
      </c>
      <c r="AS17" s="34">
        <f t="shared" si="9"/>
        <v>4.865</v>
      </c>
    </row>
    <row r="18">
      <c r="A18" s="29" t="s">
        <v>1247</v>
      </c>
      <c r="B18" s="29" t="s">
        <v>1238</v>
      </c>
      <c r="C18" s="29" t="s">
        <v>1235</v>
      </c>
      <c r="D18" s="29" t="s">
        <v>1096</v>
      </c>
      <c r="E18" s="29">
        <v>2.203</v>
      </c>
      <c r="F18" s="29">
        <v>2.07</v>
      </c>
      <c r="G18" s="29">
        <v>2.064</v>
      </c>
      <c r="H18" s="29">
        <v>2.764</v>
      </c>
      <c r="I18" s="29">
        <v>1.809</v>
      </c>
      <c r="J18" s="29">
        <v>1.692</v>
      </c>
      <c r="K18" s="29">
        <v>1.527</v>
      </c>
      <c r="L18" s="29">
        <v>2.04</v>
      </c>
      <c r="M18" s="29">
        <v>1.928</v>
      </c>
      <c r="N18" s="29">
        <v>1.85</v>
      </c>
      <c r="O18" s="29">
        <v>0.678</v>
      </c>
      <c r="P18" s="29">
        <v>0.653</v>
      </c>
      <c r="Q18" s="29">
        <v>0.608</v>
      </c>
      <c r="R18" s="29">
        <v>0.833</v>
      </c>
      <c r="S18" s="29">
        <v>0.529</v>
      </c>
      <c r="T18" s="29">
        <v>0.505</v>
      </c>
      <c r="U18" s="29">
        <v>0.498</v>
      </c>
      <c r="V18" s="29">
        <v>0.607</v>
      </c>
      <c r="W18" s="29">
        <v>0.573</v>
      </c>
      <c r="X18" s="29">
        <v>0.602</v>
      </c>
      <c r="Y18" s="29">
        <v>53.006</v>
      </c>
      <c r="Z18" s="29">
        <v>52.093</v>
      </c>
      <c r="AA18" s="29">
        <v>51.344</v>
      </c>
      <c r="AB18" s="29">
        <v>65.223</v>
      </c>
      <c r="AC18" s="29">
        <v>45.66</v>
      </c>
      <c r="AD18" s="36">
        <v>42.055</v>
      </c>
      <c r="AE18" s="29">
        <v>38.869</v>
      </c>
      <c r="AF18" s="29">
        <v>50.049</v>
      </c>
      <c r="AG18" s="29">
        <v>46.717</v>
      </c>
      <c r="AH18" s="29">
        <v>47.665</v>
      </c>
      <c r="AI18" s="30">
        <f t="shared" si="1"/>
        <v>811.5036719</v>
      </c>
      <c r="AJ18" s="30">
        <f t="shared" si="2"/>
        <v>81.15036719</v>
      </c>
      <c r="AK18" s="32">
        <f t="shared" si="3"/>
        <v>1.9947</v>
      </c>
      <c r="AL18" s="32">
        <f t="shared" si="4"/>
        <v>0.6086</v>
      </c>
      <c r="AM18" s="33">
        <f t="shared" si="5"/>
        <v>69.48914624</v>
      </c>
      <c r="AN18" s="33">
        <f t="shared" si="6"/>
        <v>0.3051085376</v>
      </c>
      <c r="AO18" s="33">
        <f>pi()*1.2*(0.45/2)^2</f>
        <v>0.1908517537</v>
      </c>
      <c r="AP18" s="29">
        <v>0.215</v>
      </c>
      <c r="AQ18" s="32">
        <f t="shared" si="7"/>
        <v>1.126528815</v>
      </c>
      <c r="AR18" s="30">
        <f t="shared" si="8"/>
        <v>1126.528815</v>
      </c>
      <c r="AS18" s="34">
        <f t="shared" si="9"/>
        <v>49.2681</v>
      </c>
    </row>
    <row r="19">
      <c r="A19" s="29" t="s">
        <v>1248</v>
      </c>
      <c r="B19" s="29" t="s">
        <v>1238</v>
      </c>
      <c r="C19" s="29" t="s">
        <v>1235</v>
      </c>
      <c r="D19" s="29" t="s">
        <v>86</v>
      </c>
      <c r="E19" s="29">
        <v>1.35</v>
      </c>
      <c r="F19" s="29">
        <v>1.538</v>
      </c>
      <c r="G19" s="29">
        <v>1.017</v>
      </c>
      <c r="H19" s="29">
        <v>0.925</v>
      </c>
      <c r="I19" s="29">
        <v>1.465</v>
      </c>
      <c r="J19" s="29">
        <v>1.202</v>
      </c>
      <c r="K19" s="29">
        <v>2.074</v>
      </c>
      <c r="L19" s="29">
        <v>1.69</v>
      </c>
      <c r="M19" s="29">
        <v>1.404</v>
      </c>
      <c r="N19" s="29">
        <v>0.81</v>
      </c>
      <c r="O19" s="29">
        <v>0.525</v>
      </c>
      <c r="P19" s="29">
        <v>0.595</v>
      </c>
      <c r="Q19" s="29">
        <v>0.379</v>
      </c>
      <c r="R19" s="29">
        <v>0.354</v>
      </c>
      <c r="S19" s="29">
        <v>0.56</v>
      </c>
      <c r="T19" s="29">
        <v>0.442</v>
      </c>
      <c r="U19" s="29">
        <v>0.825</v>
      </c>
      <c r="V19" s="29">
        <v>0.668</v>
      </c>
      <c r="W19" s="29">
        <v>0.539</v>
      </c>
      <c r="X19" s="29">
        <v>0.302</v>
      </c>
      <c r="Y19" s="29">
        <v>98.22</v>
      </c>
      <c r="Z19" s="29">
        <v>109.805</v>
      </c>
      <c r="AA19" s="29">
        <v>75.736</v>
      </c>
      <c r="AB19" s="29">
        <v>69.127</v>
      </c>
      <c r="AC19" s="29">
        <v>93.378</v>
      </c>
      <c r="AD19" s="29">
        <v>89.763</v>
      </c>
      <c r="AE19" s="29">
        <v>136.581</v>
      </c>
      <c r="AF19" s="29">
        <v>118.061</v>
      </c>
      <c r="AG19" s="29">
        <v>97.748</v>
      </c>
      <c r="AH19" s="29">
        <v>55.702</v>
      </c>
      <c r="AI19" s="30">
        <f t="shared" si="1"/>
        <v>1844.652327</v>
      </c>
      <c r="AJ19" s="30">
        <f t="shared" si="2"/>
        <v>184.4652327</v>
      </c>
      <c r="AK19" s="32">
        <f t="shared" si="3"/>
        <v>1.3475</v>
      </c>
      <c r="AL19" s="32">
        <f t="shared" si="4"/>
        <v>0.5189</v>
      </c>
      <c r="AM19" s="33">
        <f t="shared" si="5"/>
        <v>61.49165121</v>
      </c>
      <c r="AN19" s="33">
        <f t="shared" si="6"/>
        <v>0.3850834879</v>
      </c>
      <c r="AO19" s="33">
        <f>pi()*1.9*(0.5/2)^2</f>
        <v>0.3730641276</v>
      </c>
      <c r="AP19" s="29">
        <v>0.201</v>
      </c>
      <c r="AQ19" s="32">
        <f t="shared" si="7"/>
        <v>0.5387813652</v>
      </c>
      <c r="AR19" s="30">
        <f t="shared" si="8"/>
        <v>538.7813652</v>
      </c>
      <c r="AS19" s="34">
        <f t="shared" si="9"/>
        <v>94.4121</v>
      </c>
    </row>
    <row r="20">
      <c r="A20" s="29" t="s">
        <v>1249</v>
      </c>
      <c r="B20" s="29" t="s">
        <v>1238</v>
      </c>
      <c r="C20" s="29" t="s">
        <v>1235</v>
      </c>
      <c r="D20" s="29" t="s">
        <v>85</v>
      </c>
      <c r="E20" s="29">
        <v>0.882</v>
      </c>
      <c r="F20" s="29">
        <v>1.497</v>
      </c>
      <c r="G20" s="29">
        <v>1.152</v>
      </c>
      <c r="H20" s="29">
        <v>1.79</v>
      </c>
      <c r="I20" s="29">
        <v>1.439</v>
      </c>
      <c r="J20" s="29">
        <v>1.37</v>
      </c>
      <c r="K20" s="29">
        <v>0.881</v>
      </c>
      <c r="L20" s="29">
        <v>1.116</v>
      </c>
      <c r="M20" s="29">
        <v>1.698</v>
      </c>
      <c r="N20" s="29">
        <v>1.462</v>
      </c>
      <c r="O20" s="29">
        <v>0.446</v>
      </c>
      <c r="P20" s="29">
        <v>0.491</v>
      </c>
      <c r="Q20" s="29">
        <v>0.38</v>
      </c>
      <c r="R20" s="29">
        <v>0.612</v>
      </c>
      <c r="S20" s="29">
        <v>0.499</v>
      </c>
      <c r="T20" s="29">
        <v>0.499</v>
      </c>
      <c r="U20" s="29">
        <v>0.32</v>
      </c>
      <c r="V20" s="29">
        <v>0.377</v>
      </c>
      <c r="W20" s="29">
        <v>0.538</v>
      </c>
      <c r="X20" s="29">
        <v>0.569</v>
      </c>
      <c r="Y20" s="29">
        <v>73.898</v>
      </c>
      <c r="Z20" s="29">
        <v>82.586</v>
      </c>
      <c r="AA20" s="29">
        <v>56.794</v>
      </c>
      <c r="AB20" s="29">
        <v>88.438</v>
      </c>
      <c r="AC20" s="29">
        <v>77.921</v>
      </c>
      <c r="AD20" s="29">
        <v>69.736</v>
      </c>
      <c r="AE20" s="29">
        <v>49.661</v>
      </c>
      <c r="AF20" s="29">
        <v>62.528</v>
      </c>
      <c r="AG20" s="29">
        <v>95.437</v>
      </c>
      <c r="AH20" s="29">
        <v>77.423</v>
      </c>
      <c r="AI20" s="30">
        <f t="shared" si="1"/>
        <v>1558.268541</v>
      </c>
      <c r="AJ20" s="30">
        <f t="shared" si="2"/>
        <v>155.8268541</v>
      </c>
      <c r="AK20" s="32">
        <f t="shared" si="3"/>
        <v>1.3287</v>
      </c>
      <c r="AL20" s="32">
        <f t="shared" si="4"/>
        <v>0.4731</v>
      </c>
      <c r="AM20" s="33">
        <f t="shared" si="5"/>
        <v>64.39376834</v>
      </c>
      <c r="AN20" s="33">
        <f t="shared" si="6"/>
        <v>0.3560623166</v>
      </c>
      <c r="AO20" s="33">
        <f>pi()*1.7*(0.5/2)^2</f>
        <v>0.3337942194</v>
      </c>
      <c r="AP20" s="29">
        <v>0.114</v>
      </c>
      <c r="AQ20" s="32">
        <f t="shared" si="7"/>
        <v>0.3415277838</v>
      </c>
      <c r="AR20" s="30">
        <f t="shared" si="8"/>
        <v>341.5277838</v>
      </c>
      <c r="AS20" s="34">
        <f t="shared" si="9"/>
        <v>73.4422</v>
      </c>
    </row>
    <row r="21">
      <c r="A21" s="29" t="s">
        <v>1250</v>
      </c>
      <c r="B21" s="29" t="s">
        <v>1238</v>
      </c>
      <c r="C21" s="29" t="s">
        <v>1235</v>
      </c>
      <c r="D21" s="29" t="s">
        <v>117</v>
      </c>
      <c r="E21" s="29">
        <v>1.075</v>
      </c>
      <c r="F21" s="29">
        <v>1.223</v>
      </c>
      <c r="G21" s="29">
        <v>0.744</v>
      </c>
      <c r="H21" s="29">
        <v>0.705</v>
      </c>
      <c r="I21" s="29">
        <v>0.731</v>
      </c>
      <c r="J21" s="29">
        <v>0.846</v>
      </c>
      <c r="K21" s="29">
        <v>0.911</v>
      </c>
      <c r="L21" s="29">
        <v>1.128</v>
      </c>
      <c r="M21" s="29">
        <v>1.527</v>
      </c>
      <c r="N21" s="29">
        <v>1.171</v>
      </c>
      <c r="O21" s="29">
        <v>0.35</v>
      </c>
      <c r="P21" s="29">
        <v>0.4</v>
      </c>
      <c r="Q21" s="29">
        <v>0.24</v>
      </c>
      <c r="R21" s="29">
        <v>0.229</v>
      </c>
      <c r="S21" s="29">
        <v>0.23</v>
      </c>
      <c r="T21" s="29">
        <v>0.255</v>
      </c>
      <c r="U21" s="29">
        <v>0.298</v>
      </c>
      <c r="V21" s="29">
        <v>0.374</v>
      </c>
      <c r="W21" s="29">
        <v>0.497</v>
      </c>
      <c r="X21" s="29">
        <v>0.394</v>
      </c>
      <c r="Y21" s="29">
        <v>46.271</v>
      </c>
      <c r="Z21" s="29">
        <v>52.662</v>
      </c>
      <c r="AA21" s="29">
        <v>32.009</v>
      </c>
      <c r="AB21" s="29">
        <v>31.207</v>
      </c>
      <c r="AC21" s="29">
        <v>32.925</v>
      </c>
      <c r="AD21" s="29">
        <v>38.875</v>
      </c>
      <c r="AE21" s="29">
        <v>39.722</v>
      </c>
      <c r="AF21" s="29">
        <v>48.109</v>
      </c>
      <c r="AG21" s="29">
        <v>62.917</v>
      </c>
      <c r="AH21" s="29">
        <v>46.591</v>
      </c>
      <c r="AI21" s="30">
        <f t="shared" si="1"/>
        <v>1335.880776</v>
      </c>
      <c r="AJ21" s="30">
        <f t="shared" si="2"/>
        <v>133.5880776</v>
      </c>
      <c r="AK21" s="32">
        <f t="shared" si="3"/>
        <v>1.0061</v>
      </c>
      <c r="AL21" s="32">
        <f t="shared" si="4"/>
        <v>0.3267</v>
      </c>
      <c r="AM21" s="33">
        <f t="shared" si="5"/>
        <v>67.52807872</v>
      </c>
      <c r="AN21" s="33">
        <f t="shared" si="6"/>
        <v>0.3247192128</v>
      </c>
      <c r="AO21" s="33">
        <f>pi()*1.2*(0.5/2)^2</f>
        <v>0.235619449</v>
      </c>
      <c r="AP21" s="29">
        <v>0.182</v>
      </c>
      <c r="AQ21" s="32">
        <f t="shared" si="7"/>
        <v>0.7724319905</v>
      </c>
      <c r="AR21" s="30">
        <f t="shared" si="8"/>
        <v>772.4319905</v>
      </c>
      <c r="AS21" s="34">
        <f t="shared" si="9"/>
        <v>43.1288</v>
      </c>
    </row>
    <row r="22">
      <c r="A22" s="29" t="s">
        <v>1251</v>
      </c>
      <c r="B22" s="29" t="s">
        <v>1238</v>
      </c>
      <c r="C22" s="29" t="s">
        <v>1235</v>
      </c>
      <c r="D22" s="29" t="s">
        <v>55</v>
      </c>
      <c r="E22" s="29">
        <v>0.626</v>
      </c>
      <c r="F22" s="29">
        <v>0.784</v>
      </c>
      <c r="G22" s="29">
        <v>0.534</v>
      </c>
      <c r="H22" s="29">
        <v>0.729</v>
      </c>
      <c r="I22" s="29">
        <v>0.732</v>
      </c>
      <c r="J22" s="29">
        <v>0.722</v>
      </c>
      <c r="K22" s="29">
        <v>0.728</v>
      </c>
      <c r="L22" s="29">
        <v>0.59</v>
      </c>
      <c r="M22" s="29">
        <v>0.667</v>
      </c>
      <c r="N22" s="29">
        <v>0.559</v>
      </c>
      <c r="O22" s="29">
        <v>0.239</v>
      </c>
      <c r="P22" s="29">
        <v>0.309</v>
      </c>
      <c r="Q22" s="29">
        <v>0.196</v>
      </c>
      <c r="R22" s="29">
        <v>0.287</v>
      </c>
      <c r="S22" s="29">
        <v>0.295</v>
      </c>
      <c r="T22" s="29">
        <v>0.297</v>
      </c>
      <c r="U22" s="29">
        <v>0.286</v>
      </c>
      <c r="V22" s="29">
        <v>0.22</v>
      </c>
      <c r="W22" s="29">
        <v>0.267</v>
      </c>
      <c r="X22" s="29">
        <v>0.216</v>
      </c>
      <c r="Y22" s="29">
        <v>32.998</v>
      </c>
      <c r="Z22" s="29">
        <v>41.15</v>
      </c>
      <c r="AA22" s="29">
        <v>29.53</v>
      </c>
      <c r="AB22" s="29">
        <v>35.267</v>
      </c>
      <c r="AC22" s="29">
        <v>37.335</v>
      </c>
      <c r="AD22" s="29">
        <v>36.212</v>
      </c>
      <c r="AE22" s="29">
        <v>37.641</v>
      </c>
      <c r="AF22" s="29">
        <v>32.362</v>
      </c>
      <c r="AG22" s="29">
        <v>33.358</v>
      </c>
      <c r="AH22" s="29">
        <v>29.301</v>
      </c>
      <c r="AI22" s="30">
        <f t="shared" si="1"/>
        <v>1332.569508</v>
      </c>
      <c r="AJ22" s="30">
        <f t="shared" si="2"/>
        <v>133.2569508</v>
      </c>
      <c r="AK22" s="32">
        <f t="shared" si="3"/>
        <v>0.6671</v>
      </c>
      <c r="AL22" s="32">
        <f t="shared" si="4"/>
        <v>0.2612</v>
      </c>
      <c r="AM22" s="33">
        <f t="shared" si="5"/>
        <v>60.84545046</v>
      </c>
      <c r="AN22" s="33">
        <f t="shared" si="6"/>
        <v>0.3915454954</v>
      </c>
      <c r="AO22" s="33">
        <f>pi()*1.1*(0.5/2)^2</f>
        <v>0.2159844949</v>
      </c>
      <c r="AP22" s="29">
        <v>0.158</v>
      </c>
      <c r="AQ22" s="32">
        <f t="shared" si="7"/>
        <v>0.731533993</v>
      </c>
      <c r="AR22" s="30">
        <f t="shared" si="8"/>
        <v>731.533993</v>
      </c>
      <c r="AS22" s="34">
        <f t="shared" si="9"/>
        <v>34.5154</v>
      </c>
    </row>
    <row r="23">
      <c r="A23" s="29" t="s">
        <v>1252</v>
      </c>
      <c r="B23" s="29" t="s">
        <v>1238</v>
      </c>
      <c r="C23" s="29" t="s">
        <v>1235</v>
      </c>
      <c r="D23" s="29" t="s">
        <v>565</v>
      </c>
      <c r="E23" s="29">
        <v>2.804</v>
      </c>
      <c r="F23" s="29">
        <v>2.315</v>
      </c>
      <c r="G23" s="35">
        <f>2.124+1.066</f>
        <v>3.19</v>
      </c>
      <c r="H23" s="29">
        <v>1.747</v>
      </c>
      <c r="I23" s="29">
        <v>1.929</v>
      </c>
      <c r="J23" s="29">
        <v>2.146</v>
      </c>
      <c r="K23" s="29">
        <v>2.51</v>
      </c>
      <c r="L23" s="29">
        <v>1.683</v>
      </c>
      <c r="M23" s="29">
        <v>2.185</v>
      </c>
      <c r="N23" s="29">
        <v>1.793</v>
      </c>
      <c r="O23" s="29">
        <v>1.16</v>
      </c>
      <c r="P23" s="29">
        <v>0.974</v>
      </c>
      <c r="Q23" s="29">
        <v>1.335</v>
      </c>
      <c r="R23" s="29">
        <v>0.715</v>
      </c>
      <c r="S23" s="29">
        <v>0.81</v>
      </c>
      <c r="T23" s="29">
        <v>0.835</v>
      </c>
      <c r="U23" s="29">
        <v>1.063</v>
      </c>
      <c r="V23" s="29">
        <v>0.698</v>
      </c>
      <c r="W23" s="29">
        <v>0.942</v>
      </c>
      <c r="X23" s="29">
        <v>0.785</v>
      </c>
      <c r="Y23" s="35">
        <f>SUM(51.871+136.356)</f>
        <v>188.227</v>
      </c>
      <c r="Z23" s="29">
        <v>149.087</v>
      </c>
      <c r="AA23" s="35">
        <f>SUM(68.182+156.286)</f>
        <v>224.468</v>
      </c>
      <c r="AB23" s="29">
        <v>121.354</v>
      </c>
      <c r="AC23" s="29">
        <v>141.607</v>
      </c>
      <c r="AD23" s="29">
        <v>138.874</v>
      </c>
      <c r="AE23" s="29">
        <v>171.085</v>
      </c>
      <c r="AF23" s="29">
        <v>106.247</v>
      </c>
      <c r="AG23" s="29">
        <v>142.557</v>
      </c>
      <c r="AH23" s="29">
        <v>118.841</v>
      </c>
      <c r="AI23" s="30">
        <f t="shared" si="1"/>
        <v>1610.223686</v>
      </c>
      <c r="AJ23" s="30">
        <f t="shared" si="2"/>
        <v>161.0223686</v>
      </c>
      <c r="AK23" s="32">
        <f t="shared" si="3"/>
        <v>2.2302</v>
      </c>
      <c r="AL23" s="32">
        <f t="shared" si="4"/>
        <v>0.9317</v>
      </c>
      <c r="AM23" s="33">
        <f t="shared" si="5"/>
        <v>58.22347772</v>
      </c>
      <c r="AN23" s="33">
        <f t="shared" si="6"/>
        <v>0.4177652228</v>
      </c>
      <c r="AO23" s="33">
        <f>pi()*1.7*(0.5/2)^2</f>
        <v>0.3337942194</v>
      </c>
      <c r="AP23" s="29">
        <v>0.234</v>
      </c>
      <c r="AQ23" s="32">
        <f t="shared" si="7"/>
        <v>0.701030714</v>
      </c>
      <c r="AR23" s="30">
        <f t="shared" si="8"/>
        <v>701.030714</v>
      </c>
      <c r="AS23" s="34">
        <f t="shared" si="9"/>
        <v>150.2347</v>
      </c>
    </row>
    <row r="24">
      <c r="A24" s="29" t="s">
        <v>1253</v>
      </c>
      <c r="B24" s="29" t="s">
        <v>1226</v>
      </c>
      <c r="C24" s="29" t="s">
        <v>1227</v>
      </c>
      <c r="D24" s="29" t="s">
        <v>56</v>
      </c>
      <c r="E24" s="29">
        <v>0.426</v>
      </c>
      <c r="F24" s="29">
        <v>0.443</v>
      </c>
      <c r="G24" s="29">
        <v>0.526</v>
      </c>
      <c r="H24" s="29">
        <v>0.337</v>
      </c>
      <c r="I24" s="29">
        <v>0.417</v>
      </c>
      <c r="J24" s="29">
        <v>0.419</v>
      </c>
      <c r="K24" s="29">
        <v>0.248</v>
      </c>
      <c r="L24" s="29">
        <v>0.384</v>
      </c>
      <c r="M24" s="29">
        <v>0.442</v>
      </c>
      <c r="N24" s="29">
        <v>0.417</v>
      </c>
      <c r="O24" s="29">
        <v>0.128</v>
      </c>
      <c r="P24" s="29">
        <v>0.13</v>
      </c>
      <c r="Q24" s="29">
        <v>0.162</v>
      </c>
      <c r="R24" s="29">
        <v>0.104</v>
      </c>
      <c r="S24" s="29">
        <v>0.121</v>
      </c>
      <c r="T24" s="29">
        <v>0.134</v>
      </c>
      <c r="U24" s="29">
        <v>0.08</v>
      </c>
      <c r="V24" s="29">
        <v>0.122</v>
      </c>
      <c r="W24" s="29">
        <v>0.132</v>
      </c>
      <c r="X24" s="29">
        <v>0.123</v>
      </c>
      <c r="Y24" s="29">
        <v>24.203</v>
      </c>
      <c r="Z24" s="29">
        <v>24.752</v>
      </c>
      <c r="AA24" s="29">
        <v>30.813</v>
      </c>
      <c r="AB24" s="29">
        <v>19.539</v>
      </c>
      <c r="AC24" s="29">
        <v>24.225</v>
      </c>
      <c r="AD24" s="29">
        <v>24.577</v>
      </c>
      <c r="AE24" s="29">
        <v>14.409</v>
      </c>
      <c r="AF24" s="29">
        <v>21.235</v>
      </c>
      <c r="AG24" s="29">
        <v>25.698</v>
      </c>
      <c r="AH24" s="29">
        <v>24.213</v>
      </c>
      <c r="AI24" s="30">
        <f t="shared" si="1"/>
        <v>1886.887054</v>
      </c>
      <c r="AJ24" s="30">
        <f t="shared" si="2"/>
        <v>188.6887054</v>
      </c>
      <c r="AK24" s="32">
        <f t="shared" si="3"/>
        <v>0.4059</v>
      </c>
      <c r="AL24" s="32">
        <f t="shared" si="4"/>
        <v>0.1236</v>
      </c>
      <c r="AM24" s="33">
        <f t="shared" si="5"/>
        <v>69.54915004</v>
      </c>
      <c r="AN24" s="33">
        <f t="shared" si="6"/>
        <v>0.3045084996</v>
      </c>
      <c r="AO24" s="33">
        <f>pi()*1.25*(0.45/2)^2</f>
        <v>0.1988039101</v>
      </c>
      <c r="AP24" s="29">
        <v>0.172</v>
      </c>
      <c r="AQ24" s="32">
        <f t="shared" si="7"/>
        <v>0.8651741302</v>
      </c>
      <c r="AR24" s="30">
        <f t="shared" si="8"/>
        <v>865.1741302</v>
      </c>
      <c r="AS24" s="34">
        <f t="shared" si="9"/>
        <v>23.3664</v>
      </c>
    </row>
    <row r="25">
      <c r="A25" s="29" t="s">
        <v>1254</v>
      </c>
      <c r="B25" s="29" t="s">
        <v>1226</v>
      </c>
      <c r="C25" s="29" t="s">
        <v>1227</v>
      </c>
      <c r="D25" s="29" t="s">
        <v>153</v>
      </c>
      <c r="E25" s="29">
        <v>1.508</v>
      </c>
      <c r="F25" s="29">
        <v>0.988</v>
      </c>
      <c r="G25" s="29">
        <v>1.512</v>
      </c>
      <c r="H25" s="29">
        <v>0.929</v>
      </c>
      <c r="I25" s="29">
        <v>1.302</v>
      </c>
      <c r="J25" s="29">
        <v>1.043</v>
      </c>
      <c r="K25" s="29">
        <v>0.855</v>
      </c>
      <c r="L25" s="29">
        <v>0.739</v>
      </c>
      <c r="M25" s="29">
        <v>0.548</v>
      </c>
      <c r="N25" s="29">
        <v>0.747</v>
      </c>
      <c r="O25" s="29">
        <v>0.326</v>
      </c>
      <c r="P25" s="29">
        <v>0.219</v>
      </c>
      <c r="Q25" s="29">
        <v>0.341</v>
      </c>
      <c r="R25" s="29">
        <v>0.208</v>
      </c>
      <c r="S25" s="29">
        <v>0.291</v>
      </c>
      <c r="T25" s="29">
        <v>0.215</v>
      </c>
      <c r="U25" s="29">
        <v>0.191</v>
      </c>
      <c r="V25" s="29">
        <v>0.164</v>
      </c>
      <c r="W25" s="29">
        <v>0.131</v>
      </c>
      <c r="X25" s="29">
        <v>0.165</v>
      </c>
      <c r="Y25" s="29">
        <v>48.349</v>
      </c>
      <c r="Z25" s="29">
        <v>32.768</v>
      </c>
      <c r="AA25" s="29">
        <v>47.377</v>
      </c>
      <c r="AB25" s="29">
        <v>29.191</v>
      </c>
      <c r="AC25" s="29">
        <v>40.134</v>
      </c>
      <c r="AD25" s="29">
        <v>35.587</v>
      </c>
      <c r="AE25" s="29">
        <v>27.016</v>
      </c>
      <c r="AF25" s="29">
        <v>23.955</v>
      </c>
      <c r="AG25" s="29">
        <v>19.223</v>
      </c>
      <c r="AH25" s="29">
        <v>20.052</v>
      </c>
      <c r="AI25" s="30">
        <f t="shared" si="1"/>
        <v>1436.430503</v>
      </c>
      <c r="AJ25" s="30">
        <f t="shared" si="2"/>
        <v>143.6430503</v>
      </c>
      <c r="AK25" s="32">
        <f t="shared" si="3"/>
        <v>1.0171</v>
      </c>
      <c r="AL25" s="32">
        <f t="shared" si="4"/>
        <v>0.2251</v>
      </c>
      <c r="AM25" s="33">
        <f t="shared" si="5"/>
        <v>77.86844951</v>
      </c>
      <c r="AN25" s="33">
        <f t="shared" si="6"/>
        <v>0.2213155049</v>
      </c>
      <c r="AO25" s="33">
        <f>pi()*1.65*(0.45/2)^2</f>
        <v>0.2624211613</v>
      </c>
      <c r="AP25" s="29">
        <v>0.191</v>
      </c>
      <c r="AQ25" s="32">
        <f t="shared" si="7"/>
        <v>0.7278376447</v>
      </c>
      <c r="AR25" s="30">
        <f t="shared" si="8"/>
        <v>727.8376447</v>
      </c>
      <c r="AS25" s="34">
        <f t="shared" si="9"/>
        <v>32.3652</v>
      </c>
    </row>
    <row r="26">
      <c r="A26" s="29" t="s">
        <v>1255</v>
      </c>
      <c r="B26" s="29" t="s">
        <v>1226</v>
      </c>
      <c r="C26" s="29" t="s">
        <v>1227</v>
      </c>
      <c r="D26" s="29" t="s">
        <v>31</v>
      </c>
      <c r="E26" s="29">
        <v>0.487</v>
      </c>
      <c r="F26" s="29">
        <v>0.445</v>
      </c>
      <c r="G26" s="29">
        <v>0.418</v>
      </c>
      <c r="H26" s="29">
        <v>0.447</v>
      </c>
      <c r="I26" s="29">
        <v>0.37</v>
      </c>
      <c r="J26" s="29">
        <v>0.413</v>
      </c>
      <c r="K26" s="29">
        <v>0.373</v>
      </c>
      <c r="L26" s="29">
        <v>0.395</v>
      </c>
      <c r="M26" s="29">
        <v>0.29</v>
      </c>
      <c r="N26" s="29">
        <v>0.5</v>
      </c>
      <c r="O26" s="29">
        <v>0.201</v>
      </c>
      <c r="P26" s="29">
        <v>0.192</v>
      </c>
      <c r="Q26" s="29">
        <v>0.18</v>
      </c>
      <c r="R26" s="29">
        <v>0.207</v>
      </c>
      <c r="S26" s="29">
        <v>0.176</v>
      </c>
      <c r="T26" s="29">
        <v>0.175</v>
      </c>
      <c r="U26" s="29">
        <v>0.173</v>
      </c>
      <c r="V26" s="29">
        <v>0.173</v>
      </c>
      <c r="W26" s="29">
        <v>0.133</v>
      </c>
      <c r="X26" s="29">
        <v>0.213</v>
      </c>
      <c r="Y26" s="29">
        <v>26.03</v>
      </c>
      <c r="Z26" s="29">
        <v>23.293</v>
      </c>
      <c r="AA26" s="29">
        <v>21.739</v>
      </c>
      <c r="AB26" s="29">
        <v>22.115</v>
      </c>
      <c r="AC26" s="29">
        <v>17.277</v>
      </c>
      <c r="AD26" s="29">
        <v>24.306</v>
      </c>
      <c r="AE26" s="29">
        <v>18.321</v>
      </c>
      <c r="AF26" s="36">
        <v>21.411</v>
      </c>
      <c r="AG26" s="29">
        <v>14.782</v>
      </c>
      <c r="AH26" s="29">
        <v>26.89</v>
      </c>
      <c r="AI26" s="30">
        <f t="shared" si="1"/>
        <v>1182.536097</v>
      </c>
      <c r="AJ26" s="30">
        <f t="shared" si="2"/>
        <v>118.2536097</v>
      </c>
      <c r="AK26" s="32">
        <f t="shared" si="3"/>
        <v>0.4138</v>
      </c>
      <c r="AL26" s="32">
        <f t="shared" si="4"/>
        <v>0.1823</v>
      </c>
      <c r="AM26" s="33">
        <f t="shared" si="5"/>
        <v>55.94490092</v>
      </c>
      <c r="AN26" s="33">
        <f t="shared" si="6"/>
        <v>0.4405509908</v>
      </c>
      <c r="AO26" s="33">
        <f>pi()*1.6*(0.45/2)^2</f>
        <v>0.2544690049</v>
      </c>
      <c r="AP26" s="29">
        <v>0.266</v>
      </c>
      <c r="AQ26" s="32">
        <f t="shared" si="7"/>
        <v>1.045313947</v>
      </c>
      <c r="AR26" s="30">
        <f t="shared" si="8"/>
        <v>1045.313947</v>
      </c>
      <c r="AS26" s="34">
        <f t="shared" si="9"/>
        <v>21.6164</v>
      </c>
    </row>
    <row r="27">
      <c r="A27" s="29" t="s">
        <v>1256</v>
      </c>
      <c r="B27" s="29" t="s">
        <v>1226</v>
      </c>
      <c r="C27" s="29" t="s">
        <v>1227</v>
      </c>
      <c r="D27" s="29" t="s">
        <v>104</v>
      </c>
      <c r="E27" s="29">
        <v>0.506</v>
      </c>
      <c r="F27" s="29">
        <v>0.404</v>
      </c>
      <c r="G27" s="29">
        <v>0.29</v>
      </c>
      <c r="H27" s="29">
        <v>0.33</v>
      </c>
      <c r="I27" s="29">
        <v>0.488</v>
      </c>
      <c r="J27" s="29">
        <v>0.576</v>
      </c>
      <c r="K27" s="29">
        <v>0.33</v>
      </c>
      <c r="L27" s="29">
        <v>0.289</v>
      </c>
      <c r="M27" s="29">
        <v>0.401</v>
      </c>
      <c r="N27" s="29">
        <v>0.307</v>
      </c>
      <c r="O27" s="29">
        <v>0.23</v>
      </c>
      <c r="P27" s="29">
        <v>0.179</v>
      </c>
      <c r="Q27" s="29">
        <v>0.133</v>
      </c>
      <c r="R27" s="29">
        <v>0.15</v>
      </c>
      <c r="S27" s="29">
        <v>0.226</v>
      </c>
      <c r="T27" s="29">
        <v>0.283</v>
      </c>
      <c r="U27" s="29">
        <v>0.153</v>
      </c>
      <c r="V27" s="29">
        <v>0.152</v>
      </c>
      <c r="W27" s="29">
        <v>0.195</v>
      </c>
      <c r="X27" s="29">
        <v>0.144</v>
      </c>
      <c r="Y27" s="29">
        <v>24.848</v>
      </c>
      <c r="Z27" s="29">
        <v>20.813</v>
      </c>
      <c r="AA27" s="29">
        <v>14.314</v>
      </c>
      <c r="AB27" s="29">
        <v>18.147</v>
      </c>
      <c r="AC27" s="29">
        <v>23.433</v>
      </c>
      <c r="AD27" s="29">
        <v>29.391</v>
      </c>
      <c r="AE27" s="29">
        <v>17.154</v>
      </c>
      <c r="AF27" s="29">
        <v>13.667</v>
      </c>
      <c r="AG27" s="29">
        <v>20.403</v>
      </c>
      <c r="AH27" s="29">
        <v>16.302</v>
      </c>
      <c r="AI27" s="30">
        <f t="shared" si="1"/>
        <v>1080.324773</v>
      </c>
      <c r="AJ27" s="30">
        <f t="shared" si="2"/>
        <v>108.0324773</v>
      </c>
      <c r="AK27" s="32">
        <f t="shared" si="3"/>
        <v>0.3921</v>
      </c>
      <c r="AL27" s="32">
        <f t="shared" si="4"/>
        <v>0.1845</v>
      </c>
      <c r="AM27" s="33">
        <f t="shared" si="5"/>
        <v>52.94567712</v>
      </c>
      <c r="AN27" s="33">
        <f t="shared" si="6"/>
        <v>0.4705432288</v>
      </c>
      <c r="AO27" s="33">
        <f>pi()*1.1*(0.4/2)^2</f>
        <v>0.1382300768</v>
      </c>
      <c r="AP27" s="29">
        <v>0.234</v>
      </c>
      <c r="AQ27" s="32">
        <f t="shared" si="7"/>
        <v>1.692829849</v>
      </c>
      <c r="AR27" s="30">
        <f t="shared" si="8"/>
        <v>1692.829849</v>
      </c>
      <c r="AS27" s="34">
        <f t="shared" si="9"/>
        <v>19.8472</v>
      </c>
    </row>
    <row r="28">
      <c r="A28" s="29" t="s">
        <v>1257</v>
      </c>
      <c r="B28" s="29" t="s">
        <v>1226</v>
      </c>
      <c r="C28" s="29" t="s">
        <v>1227</v>
      </c>
      <c r="D28" s="29" t="s">
        <v>27</v>
      </c>
      <c r="E28" s="29">
        <v>0.863</v>
      </c>
      <c r="F28" s="29">
        <v>0.879</v>
      </c>
      <c r="G28" s="29">
        <v>1.17</v>
      </c>
      <c r="H28" s="29">
        <v>0.909</v>
      </c>
      <c r="I28" s="29">
        <v>0.929</v>
      </c>
      <c r="J28" s="29">
        <v>1.027</v>
      </c>
      <c r="K28" s="29">
        <v>0.595</v>
      </c>
      <c r="L28" s="29">
        <v>0.68</v>
      </c>
      <c r="M28" s="29">
        <v>0.459</v>
      </c>
      <c r="N28" s="29">
        <v>0.451</v>
      </c>
      <c r="O28" s="29">
        <v>0.355</v>
      </c>
      <c r="P28" s="29">
        <v>0.326</v>
      </c>
      <c r="Q28" s="29">
        <v>0.442</v>
      </c>
      <c r="R28" s="29">
        <v>0.365</v>
      </c>
      <c r="S28" s="29">
        <v>0.401</v>
      </c>
      <c r="T28" s="29">
        <v>0.447</v>
      </c>
      <c r="U28" s="29">
        <v>0.246</v>
      </c>
      <c r="V28" s="29">
        <v>0.263</v>
      </c>
      <c r="W28" s="29">
        <v>0.179</v>
      </c>
      <c r="X28" s="29">
        <v>0.181</v>
      </c>
      <c r="Y28" s="29">
        <v>49.763</v>
      </c>
      <c r="Z28" s="29">
        <v>51.541</v>
      </c>
      <c r="AA28" s="29">
        <v>71.597</v>
      </c>
      <c r="AB28" s="29">
        <v>58.998</v>
      </c>
      <c r="AC28" s="29">
        <v>55.594</v>
      </c>
      <c r="AD28" s="29">
        <v>58.423</v>
      </c>
      <c r="AE28" s="29">
        <v>38.632</v>
      </c>
      <c r="AF28" s="29">
        <v>43.842</v>
      </c>
      <c r="AG28" s="29">
        <v>27.865</v>
      </c>
      <c r="AH28" s="29">
        <v>26.418</v>
      </c>
      <c r="AI28" s="30">
        <f t="shared" si="1"/>
        <v>1516.606301</v>
      </c>
      <c r="AJ28" s="30">
        <f t="shared" si="2"/>
        <v>151.6606301</v>
      </c>
      <c r="AK28" s="32">
        <f t="shared" si="3"/>
        <v>0.7962</v>
      </c>
      <c r="AL28" s="32">
        <f t="shared" si="4"/>
        <v>0.3205</v>
      </c>
      <c r="AM28" s="33">
        <f t="shared" si="5"/>
        <v>59.7462949</v>
      </c>
      <c r="AN28" s="33">
        <f t="shared" si="6"/>
        <v>0.402537051</v>
      </c>
      <c r="AO28" s="33">
        <f>pi()*1.5*(0.5/2)^2</f>
        <v>0.2945243113</v>
      </c>
      <c r="AP28" s="29">
        <v>0.14</v>
      </c>
      <c r="AQ28" s="32">
        <f t="shared" si="7"/>
        <v>0.4753427634</v>
      </c>
      <c r="AR28" s="30">
        <f t="shared" si="8"/>
        <v>475.3427634</v>
      </c>
      <c r="AS28" s="34">
        <f t="shared" si="9"/>
        <v>48.2673</v>
      </c>
    </row>
    <row r="29">
      <c r="A29" s="29" t="s">
        <v>1258</v>
      </c>
      <c r="B29" s="29" t="s">
        <v>1226</v>
      </c>
      <c r="C29" s="29" t="s">
        <v>1227</v>
      </c>
      <c r="D29" s="29" t="s">
        <v>41</v>
      </c>
      <c r="E29" s="29">
        <v>1.217</v>
      </c>
      <c r="F29" s="29">
        <v>0.691</v>
      </c>
      <c r="G29" s="29">
        <v>1.283</v>
      </c>
      <c r="H29" s="29">
        <v>0.895</v>
      </c>
      <c r="I29" s="29">
        <v>0.911</v>
      </c>
      <c r="J29" s="29">
        <v>0.816</v>
      </c>
      <c r="K29" s="29">
        <v>0.449</v>
      </c>
      <c r="L29" s="29">
        <v>0.505</v>
      </c>
      <c r="M29" s="29">
        <v>0.827</v>
      </c>
      <c r="N29" s="29">
        <v>1.21</v>
      </c>
      <c r="O29" s="29">
        <v>0.342</v>
      </c>
      <c r="P29" s="29">
        <v>0.183</v>
      </c>
      <c r="Q29" s="29">
        <v>0.349</v>
      </c>
      <c r="R29" s="29">
        <v>0.234</v>
      </c>
      <c r="S29" s="29">
        <v>0.261</v>
      </c>
      <c r="T29" s="29">
        <v>0.239</v>
      </c>
      <c r="U29" s="29">
        <v>0.129</v>
      </c>
      <c r="V29" s="29">
        <v>0.128</v>
      </c>
      <c r="W29" s="29">
        <v>0.223</v>
      </c>
      <c r="X29" s="29">
        <v>0.319</v>
      </c>
      <c r="Y29" s="29">
        <v>58.917</v>
      </c>
      <c r="Z29" s="29">
        <v>33.3</v>
      </c>
      <c r="AA29" s="29">
        <v>64.367</v>
      </c>
      <c r="AB29" s="29">
        <v>43.837</v>
      </c>
      <c r="AC29" s="29">
        <v>43.305</v>
      </c>
      <c r="AD29" s="29">
        <v>38.14</v>
      </c>
      <c r="AE29" s="29">
        <v>20.389</v>
      </c>
      <c r="AF29" s="29">
        <v>26.284</v>
      </c>
      <c r="AG29" s="29">
        <v>43.005</v>
      </c>
      <c r="AH29" s="29">
        <v>59.345</v>
      </c>
      <c r="AI29" s="30">
        <f t="shared" si="1"/>
        <v>1793.790575</v>
      </c>
      <c r="AJ29" s="30">
        <f t="shared" si="2"/>
        <v>179.3790575</v>
      </c>
      <c r="AK29" s="32">
        <f t="shared" si="3"/>
        <v>0.8804</v>
      </c>
      <c r="AL29" s="32">
        <f t="shared" si="4"/>
        <v>0.2407</v>
      </c>
      <c r="AM29" s="33">
        <f t="shared" si="5"/>
        <v>72.66015448</v>
      </c>
      <c r="AN29" s="33">
        <f t="shared" si="6"/>
        <v>0.2733984552</v>
      </c>
      <c r="AO29" s="33">
        <f>pi()*1.25*(0.4/2)^2</f>
        <v>0.1570796327</v>
      </c>
      <c r="AP29" s="29">
        <v>0.172</v>
      </c>
      <c r="AQ29" s="32">
        <f t="shared" si="7"/>
        <v>1.094986008</v>
      </c>
      <c r="AR29" s="30">
        <f t="shared" si="8"/>
        <v>1094.986008</v>
      </c>
      <c r="AS29" s="34">
        <f t="shared" si="9"/>
        <v>43.0889</v>
      </c>
    </row>
    <row r="30">
      <c r="A30" s="29" t="s">
        <v>1259</v>
      </c>
      <c r="B30" s="29" t="s">
        <v>1226</v>
      </c>
      <c r="C30" s="29" t="s">
        <v>1227</v>
      </c>
      <c r="D30" s="29" t="s">
        <v>104</v>
      </c>
      <c r="E30" s="29">
        <v>0.703</v>
      </c>
      <c r="F30" s="29">
        <v>0.413</v>
      </c>
      <c r="G30" s="29">
        <v>0.509</v>
      </c>
      <c r="H30" s="29">
        <v>0.309</v>
      </c>
      <c r="I30" s="29">
        <v>0.457</v>
      </c>
      <c r="J30" s="29">
        <v>0.405</v>
      </c>
      <c r="K30" s="29">
        <v>0.325</v>
      </c>
      <c r="L30" s="29">
        <v>0.256</v>
      </c>
      <c r="M30" s="29">
        <v>0.278</v>
      </c>
      <c r="N30" s="29">
        <v>0.287</v>
      </c>
      <c r="O30" s="29">
        <v>0.368</v>
      </c>
      <c r="P30" s="29">
        <v>0.205</v>
      </c>
      <c r="Q30" s="29">
        <v>0.254</v>
      </c>
      <c r="R30" s="29">
        <v>0.162</v>
      </c>
      <c r="S30" s="29">
        <v>0.223</v>
      </c>
      <c r="T30" s="29">
        <v>0.188</v>
      </c>
      <c r="U30" s="29">
        <v>0.165</v>
      </c>
      <c r="V30" s="29">
        <v>0.126</v>
      </c>
      <c r="W30" s="29">
        <v>0.141</v>
      </c>
      <c r="X30" s="29">
        <v>0.138</v>
      </c>
      <c r="Y30" s="29">
        <v>31.466</v>
      </c>
      <c r="Z30" s="29">
        <v>19.879</v>
      </c>
      <c r="AA30" s="29">
        <v>23.816</v>
      </c>
      <c r="AB30" s="29">
        <v>15.273</v>
      </c>
      <c r="AC30" s="29">
        <v>22.171</v>
      </c>
      <c r="AD30" s="29">
        <v>19.796</v>
      </c>
      <c r="AE30" s="29">
        <v>16.5</v>
      </c>
      <c r="AF30" s="29">
        <v>12.802</v>
      </c>
      <c r="AG30" s="29">
        <v>13.244</v>
      </c>
      <c r="AH30" s="29">
        <v>13.82</v>
      </c>
      <c r="AI30" s="30">
        <f t="shared" si="1"/>
        <v>970.914301</v>
      </c>
      <c r="AJ30" s="30">
        <f t="shared" si="2"/>
        <v>97.0914301</v>
      </c>
      <c r="AK30" s="32">
        <f t="shared" si="3"/>
        <v>0.3942</v>
      </c>
      <c r="AL30" s="32">
        <f t="shared" si="4"/>
        <v>0.197</v>
      </c>
      <c r="AM30" s="33">
        <f t="shared" si="5"/>
        <v>50.02536783</v>
      </c>
      <c r="AN30" s="33">
        <f t="shared" si="6"/>
        <v>0.4997463217</v>
      </c>
      <c r="AO30" s="33">
        <f>pi()*1.2*(0.4/2)^2</f>
        <v>0.1507964474</v>
      </c>
      <c r="AP30" s="29">
        <v>0.233</v>
      </c>
      <c r="AQ30" s="32">
        <f t="shared" si="7"/>
        <v>1.545129239</v>
      </c>
      <c r="AR30" s="30">
        <f t="shared" si="8"/>
        <v>1545.129239</v>
      </c>
      <c r="AS30" s="34">
        <f t="shared" si="9"/>
        <v>18.8767</v>
      </c>
    </row>
    <row r="31">
      <c r="A31" s="29" t="s">
        <v>1260</v>
      </c>
      <c r="B31" s="29" t="s">
        <v>1226</v>
      </c>
      <c r="C31" s="29" t="s">
        <v>1227</v>
      </c>
      <c r="D31" s="29" t="s">
        <v>164</v>
      </c>
      <c r="E31" s="29">
        <v>6.252</v>
      </c>
      <c r="F31" s="29">
        <v>4.23</v>
      </c>
      <c r="G31" s="29">
        <v>5.318</v>
      </c>
      <c r="H31" s="29">
        <v>8.749</v>
      </c>
      <c r="I31" s="29">
        <v>8.122</v>
      </c>
      <c r="J31" s="29">
        <v>7.004</v>
      </c>
      <c r="K31" s="29">
        <v>7.97</v>
      </c>
      <c r="L31" s="29">
        <v>4.938</v>
      </c>
      <c r="M31" s="29">
        <v>10.289</v>
      </c>
      <c r="N31" s="29">
        <v>7.278</v>
      </c>
      <c r="O31" s="29">
        <v>2.326</v>
      </c>
      <c r="P31" s="29">
        <v>1.517</v>
      </c>
      <c r="Q31" s="29">
        <v>1.866</v>
      </c>
      <c r="R31" s="29">
        <v>3.257</v>
      </c>
      <c r="S31" s="29">
        <v>2.67</v>
      </c>
      <c r="T31" s="29">
        <v>2.62</v>
      </c>
      <c r="U31" s="29">
        <v>2.93</v>
      </c>
      <c r="V31" s="29">
        <v>1.804</v>
      </c>
      <c r="W31" s="29">
        <v>3.782</v>
      </c>
      <c r="X31" s="29">
        <v>2.641</v>
      </c>
      <c r="Y31" s="29">
        <v>217.203</v>
      </c>
      <c r="Z31" s="29">
        <v>149.145</v>
      </c>
      <c r="AA31" s="29">
        <v>196.194</v>
      </c>
      <c r="AB31" s="35">
        <f>144.143+140.165</f>
        <v>284.308</v>
      </c>
      <c r="AC31" s="35">
        <f>150.209+131.643</f>
        <v>281.852</v>
      </c>
      <c r="AD31" s="35">
        <f>107.774+103.971</f>
        <v>211.745</v>
      </c>
      <c r="AE31" s="35">
        <f>149.754+124.329</f>
        <v>274.083</v>
      </c>
      <c r="AF31" s="35">
        <f>79.323+98.404</f>
        <v>177.727</v>
      </c>
      <c r="AG31" s="35">
        <f>142.23+177.085</f>
        <v>319.315</v>
      </c>
      <c r="AH31" s="35">
        <f>130.491+118.303</f>
        <v>248.794</v>
      </c>
      <c r="AI31" s="30">
        <f t="shared" si="1"/>
        <v>941.2069793</v>
      </c>
      <c r="AJ31" s="30">
        <f t="shared" si="2"/>
        <v>94.12069793</v>
      </c>
      <c r="AK31" s="32">
        <f t="shared" si="3"/>
        <v>7.015</v>
      </c>
      <c r="AL31" s="32">
        <f t="shared" si="4"/>
        <v>2.5413</v>
      </c>
      <c r="AM31" s="33">
        <f t="shared" si="5"/>
        <v>63.77334284</v>
      </c>
      <c r="AN31" s="33">
        <f t="shared" si="6"/>
        <v>0.3622665716</v>
      </c>
      <c r="AO31" s="33">
        <f>pi()*1.25*(0.4/2)^2</f>
        <v>0.1570796327</v>
      </c>
      <c r="AP31" s="29">
        <v>0.196</v>
      </c>
      <c r="AQ31" s="32">
        <f t="shared" si="7"/>
        <v>1.247774754</v>
      </c>
      <c r="AR31" s="30">
        <f t="shared" si="8"/>
        <v>1247.774754</v>
      </c>
      <c r="AS31" s="34">
        <f t="shared" si="9"/>
        <v>236.0366</v>
      </c>
    </row>
    <row r="32">
      <c r="A32" s="29" t="s">
        <v>1261</v>
      </c>
      <c r="B32" s="29" t="s">
        <v>1226</v>
      </c>
      <c r="C32" s="29" t="s">
        <v>1227</v>
      </c>
      <c r="D32" s="29" t="s">
        <v>117</v>
      </c>
      <c r="E32" s="29">
        <v>0.582</v>
      </c>
      <c r="F32" s="29">
        <v>1.079</v>
      </c>
      <c r="G32" s="29">
        <v>1.17</v>
      </c>
      <c r="H32" s="29">
        <v>0.966</v>
      </c>
      <c r="I32" s="29">
        <v>0.52</v>
      </c>
      <c r="J32" s="29">
        <v>1.352</v>
      </c>
      <c r="K32" s="29">
        <v>0.679</v>
      </c>
      <c r="L32" s="29">
        <v>0.809</v>
      </c>
      <c r="M32" s="29">
        <v>1.49</v>
      </c>
      <c r="N32" s="29">
        <v>0.535</v>
      </c>
      <c r="O32" s="29">
        <v>0.175</v>
      </c>
      <c r="P32" s="29">
        <v>0.35</v>
      </c>
      <c r="Q32" s="29">
        <v>0.367</v>
      </c>
      <c r="R32" s="29">
        <v>0.283</v>
      </c>
      <c r="S32" s="29">
        <v>0.159</v>
      </c>
      <c r="T32" s="29">
        <v>0.432</v>
      </c>
      <c r="U32" s="29">
        <v>0.205</v>
      </c>
      <c r="V32" s="29">
        <v>0.254</v>
      </c>
      <c r="W32" s="29">
        <v>0.476</v>
      </c>
      <c r="X32" s="29">
        <v>0.157</v>
      </c>
      <c r="Y32" s="29">
        <v>26.336</v>
      </c>
      <c r="Z32" s="29">
        <v>47.351</v>
      </c>
      <c r="AA32" s="29">
        <v>51.155</v>
      </c>
      <c r="AB32" s="29">
        <v>43.921</v>
      </c>
      <c r="AC32" s="29">
        <v>23.233</v>
      </c>
      <c r="AD32" s="29">
        <v>60.631</v>
      </c>
      <c r="AE32" s="29">
        <v>30.611</v>
      </c>
      <c r="AF32" s="29">
        <v>35.886</v>
      </c>
      <c r="AG32" s="29">
        <v>60.89</v>
      </c>
      <c r="AH32" s="29">
        <v>26.096</v>
      </c>
      <c r="AI32" s="30">
        <f t="shared" si="1"/>
        <v>1451.575979</v>
      </c>
      <c r="AJ32" s="30">
        <f t="shared" si="2"/>
        <v>145.1575979</v>
      </c>
      <c r="AK32" s="32">
        <f t="shared" si="3"/>
        <v>0.9182</v>
      </c>
      <c r="AL32" s="32">
        <f t="shared" si="4"/>
        <v>0.2858</v>
      </c>
      <c r="AM32" s="33">
        <f t="shared" si="5"/>
        <v>68.87388369</v>
      </c>
      <c r="AN32" s="33">
        <f t="shared" si="6"/>
        <v>0.3112611631</v>
      </c>
      <c r="AO32" s="33">
        <f>pi()*1.7*(0.4/2)^2</f>
        <v>0.2136283004</v>
      </c>
      <c r="AP32" s="29">
        <v>0.248</v>
      </c>
      <c r="AQ32" s="32">
        <f t="shared" si="7"/>
        <v>1.160894879</v>
      </c>
      <c r="AR32" s="30">
        <f t="shared" si="8"/>
        <v>1160.894879</v>
      </c>
      <c r="AS32" s="34">
        <f t="shared" si="9"/>
        <v>40.611</v>
      </c>
    </row>
    <row r="33">
      <c r="A33" s="29" t="s">
        <v>1262</v>
      </c>
      <c r="B33" s="29" t="s">
        <v>1226</v>
      </c>
      <c r="C33" s="29" t="s">
        <v>1227</v>
      </c>
      <c r="D33" s="29" t="s">
        <v>30</v>
      </c>
      <c r="E33" s="29">
        <v>0.081</v>
      </c>
      <c r="F33" s="29">
        <v>0.064</v>
      </c>
      <c r="G33" s="29">
        <v>0.06</v>
      </c>
      <c r="H33" s="29">
        <v>0.078</v>
      </c>
      <c r="I33" s="29">
        <v>0.08</v>
      </c>
      <c r="J33" s="29">
        <v>0.04</v>
      </c>
      <c r="K33" s="29">
        <v>0.08</v>
      </c>
      <c r="L33" s="29">
        <v>0.077</v>
      </c>
      <c r="M33" s="29">
        <v>0.058</v>
      </c>
      <c r="N33" s="29">
        <v>0.057</v>
      </c>
      <c r="O33" s="29">
        <v>0.035</v>
      </c>
      <c r="P33" s="29">
        <v>0.028</v>
      </c>
      <c r="Q33" s="29">
        <v>0.027</v>
      </c>
      <c r="R33" s="29">
        <v>0.034</v>
      </c>
      <c r="S33" s="29">
        <v>0.038</v>
      </c>
      <c r="T33" s="29">
        <v>0.017</v>
      </c>
      <c r="U33" s="29">
        <v>0.033</v>
      </c>
      <c r="V33" s="29">
        <v>0.035</v>
      </c>
      <c r="W33" s="29">
        <v>0.025</v>
      </c>
      <c r="X33" s="29">
        <v>0.022</v>
      </c>
      <c r="Y33" s="29">
        <v>8.204</v>
      </c>
      <c r="Z33" s="29">
        <v>6.367</v>
      </c>
      <c r="AA33" s="29">
        <v>5.463</v>
      </c>
      <c r="AB33" s="29">
        <v>6.928</v>
      </c>
      <c r="AC33" s="29">
        <v>7.643</v>
      </c>
      <c r="AD33" s="29">
        <v>3.954</v>
      </c>
      <c r="AE33" s="29">
        <v>7.292</v>
      </c>
      <c r="AF33" s="29">
        <v>7.053</v>
      </c>
      <c r="AG33" s="29">
        <v>5.247</v>
      </c>
      <c r="AH33" s="29">
        <v>5.228</v>
      </c>
      <c r="AI33" s="30">
        <f t="shared" si="1"/>
        <v>2171.611057</v>
      </c>
      <c r="AJ33" s="30">
        <f t="shared" si="2"/>
        <v>217.1611057</v>
      </c>
      <c r="AK33" s="32">
        <f t="shared" si="3"/>
        <v>0.0675</v>
      </c>
      <c r="AL33" s="32">
        <f t="shared" si="4"/>
        <v>0.0294</v>
      </c>
      <c r="AM33" s="33">
        <f t="shared" si="5"/>
        <v>56.44444444</v>
      </c>
      <c r="AN33" s="33">
        <f t="shared" si="6"/>
        <v>0.4355555556</v>
      </c>
      <c r="AO33" s="33">
        <f>pi()*1.5*(0.4/2)^2</f>
        <v>0.1884955592</v>
      </c>
      <c r="AP33" s="29">
        <v>0.268</v>
      </c>
      <c r="AQ33" s="32">
        <f t="shared" si="7"/>
        <v>1.421784158</v>
      </c>
      <c r="AR33" s="30">
        <f t="shared" si="8"/>
        <v>1421.784158</v>
      </c>
      <c r="AS33" s="34">
        <f t="shared" si="9"/>
        <v>6.3379</v>
      </c>
    </row>
    <row r="34">
      <c r="A34" s="29" t="s">
        <v>1263</v>
      </c>
      <c r="B34" s="29" t="s">
        <v>1226</v>
      </c>
      <c r="C34" s="29" t="s">
        <v>1227</v>
      </c>
      <c r="D34" s="29" t="s">
        <v>1154</v>
      </c>
      <c r="E34" s="29">
        <v>0.445</v>
      </c>
      <c r="F34" s="29">
        <v>0.307</v>
      </c>
      <c r="G34" s="29">
        <v>0.341</v>
      </c>
      <c r="H34" s="29">
        <v>0.362</v>
      </c>
      <c r="I34" s="29">
        <v>0.409</v>
      </c>
      <c r="J34" s="29">
        <v>0.297</v>
      </c>
      <c r="K34" s="29">
        <v>0.249</v>
      </c>
      <c r="L34" s="29">
        <v>0.199</v>
      </c>
      <c r="M34" s="29">
        <v>0.357</v>
      </c>
      <c r="N34" s="29">
        <v>0.334</v>
      </c>
      <c r="O34" s="29">
        <v>0.102</v>
      </c>
      <c r="P34" s="29">
        <v>0.066</v>
      </c>
      <c r="Q34" s="29">
        <v>0.075</v>
      </c>
      <c r="R34" s="29">
        <v>0.089</v>
      </c>
      <c r="S34" s="29">
        <v>0.093</v>
      </c>
      <c r="T34" s="29">
        <v>0.075</v>
      </c>
      <c r="U34" s="29">
        <v>0.072</v>
      </c>
      <c r="V34" s="29">
        <v>0.046</v>
      </c>
      <c r="W34" s="29">
        <v>0.079</v>
      </c>
      <c r="X34" s="29">
        <v>0.102</v>
      </c>
      <c r="Y34" s="29">
        <v>23.255</v>
      </c>
      <c r="Z34" s="29">
        <v>17.84</v>
      </c>
      <c r="AA34" s="29">
        <v>20.689</v>
      </c>
      <c r="AB34" s="29">
        <v>21.6</v>
      </c>
      <c r="AC34" s="29">
        <v>22.926</v>
      </c>
      <c r="AD34" s="29">
        <v>16.73</v>
      </c>
      <c r="AE34" s="29">
        <v>13.971</v>
      </c>
      <c r="AF34" s="29">
        <v>12.116</v>
      </c>
      <c r="AG34" s="29">
        <v>20.72</v>
      </c>
      <c r="AH34" s="29">
        <v>18.258</v>
      </c>
      <c r="AI34" s="30">
        <f t="shared" si="1"/>
        <v>2385.137437</v>
      </c>
      <c r="AJ34" s="30">
        <f t="shared" si="2"/>
        <v>238.5137437</v>
      </c>
      <c r="AK34" s="32">
        <f t="shared" si="3"/>
        <v>0.33</v>
      </c>
      <c r="AL34" s="32">
        <f t="shared" si="4"/>
        <v>0.0799</v>
      </c>
      <c r="AM34" s="33">
        <f t="shared" si="5"/>
        <v>75.78787879</v>
      </c>
      <c r="AN34" s="33">
        <f t="shared" si="6"/>
        <v>0.2421212121</v>
      </c>
      <c r="AO34" s="33">
        <f>pi()*1.6*(0.45/2)^2</f>
        <v>0.2544690049</v>
      </c>
      <c r="AP34" s="29">
        <v>0.126</v>
      </c>
      <c r="AQ34" s="32">
        <f t="shared" si="7"/>
        <v>0.4951487118</v>
      </c>
      <c r="AR34" s="30">
        <f t="shared" si="8"/>
        <v>495.1487118</v>
      </c>
      <c r="AS34" s="34">
        <f t="shared" si="9"/>
        <v>18.8105</v>
      </c>
    </row>
    <row r="35">
      <c r="A35" s="29" t="s">
        <v>1264</v>
      </c>
      <c r="B35" s="29" t="s">
        <v>1226</v>
      </c>
      <c r="C35" s="29" t="s">
        <v>1227</v>
      </c>
      <c r="D35" s="29" t="s">
        <v>202</v>
      </c>
      <c r="E35" s="29">
        <v>0.912</v>
      </c>
      <c r="F35" s="29">
        <v>0.716</v>
      </c>
      <c r="G35" s="29">
        <v>0.679</v>
      </c>
      <c r="H35" s="29">
        <v>0.57</v>
      </c>
      <c r="I35" s="29">
        <v>0.609</v>
      </c>
      <c r="J35" s="29">
        <v>0.694</v>
      </c>
      <c r="K35" s="29">
        <v>0.44</v>
      </c>
      <c r="L35" s="29">
        <v>0.53</v>
      </c>
      <c r="M35" s="29">
        <v>0.542</v>
      </c>
      <c r="N35" s="29">
        <v>0.583</v>
      </c>
      <c r="O35" s="29">
        <v>0.239</v>
      </c>
      <c r="P35" s="29">
        <v>0.177</v>
      </c>
      <c r="Q35" s="29">
        <v>0.225</v>
      </c>
      <c r="R35" s="29">
        <v>0.147</v>
      </c>
      <c r="S35" s="29">
        <v>0.158</v>
      </c>
      <c r="T35" s="29">
        <v>0.172</v>
      </c>
      <c r="U35" s="29">
        <v>0.114</v>
      </c>
      <c r="V35" s="29">
        <v>0.19</v>
      </c>
      <c r="W35" s="29">
        <v>0.143</v>
      </c>
      <c r="X35" s="29">
        <v>0.21</v>
      </c>
      <c r="Y35" s="29">
        <v>55.288</v>
      </c>
      <c r="Z35" s="29">
        <v>41.225</v>
      </c>
      <c r="AA35" s="29">
        <v>38.565</v>
      </c>
      <c r="AB35" s="29">
        <v>35.68</v>
      </c>
      <c r="AC35" s="29">
        <v>35.472</v>
      </c>
      <c r="AD35" s="29">
        <v>42.832</v>
      </c>
      <c r="AE35" s="29">
        <v>26.73</v>
      </c>
      <c r="AF35" s="29">
        <v>30.915</v>
      </c>
      <c r="AG35" s="29">
        <v>30.125</v>
      </c>
      <c r="AH35" s="29">
        <v>33.914</v>
      </c>
      <c r="AI35" s="30">
        <f t="shared" si="1"/>
        <v>2121.234606</v>
      </c>
      <c r="AJ35" s="30">
        <f t="shared" si="2"/>
        <v>212.1234606</v>
      </c>
      <c r="AK35" s="32">
        <f t="shared" si="3"/>
        <v>0.6275</v>
      </c>
      <c r="AL35" s="32">
        <f t="shared" si="4"/>
        <v>0.1775</v>
      </c>
      <c r="AM35" s="33">
        <f t="shared" si="5"/>
        <v>71.71314741</v>
      </c>
      <c r="AN35" s="33">
        <f t="shared" si="6"/>
        <v>0.2828685259</v>
      </c>
      <c r="AO35" s="33">
        <f>pi()*2.2*(0.4/2)^2</f>
        <v>0.2764601535</v>
      </c>
      <c r="AP35" s="29">
        <v>0.308</v>
      </c>
      <c r="AQ35" s="32">
        <f t="shared" si="7"/>
        <v>1.114084602</v>
      </c>
      <c r="AR35" s="30">
        <f t="shared" si="8"/>
        <v>1114.084602</v>
      </c>
      <c r="AS35" s="34">
        <f t="shared" si="9"/>
        <v>37.0746</v>
      </c>
    </row>
    <row r="36">
      <c r="A36" s="29" t="s">
        <v>1265</v>
      </c>
      <c r="B36" s="29" t="s">
        <v>1226</v>
      </c>
      <c r="C36" s="29" t="s">
        <v>1227</v>
      </c>
      <c r="D36" s="29" t="s">
        <v>56</v>
      </c>
      <c r="E36" s="29">
        <v>0.297</v>
      </c>
      <c r="F36" s="29">
        <v>0.252</v>
      </c>
      <c r="G36" s="29">
        <v>0.239</v>
      </c>
      <c r="H36" s="29">
        <v>0.25</v>
      </c>
      <c r="I36" s="29">
        <v>0.164</v>
      </c>
      <c r="J36" s="29">
        <v>0.234</v>
      </c>
      <c r="K36" s="29">
        <v>0.167</v>
      </c>
      <c r="L36" s="29">
        <v>0.188</v>
      </c>
      <c r="M36" s="29">
        <v>0.271</v>
      </c>
      <c r="N36" s="29">
        <v>0.216</v>
      </c>
      <c r="O36" s="29">
        <v>0.113</v>
      </c>
      <c r="P36" s="29">
        <v>0.089</v>
      </c>
      <c r="Q36" s="29">
        <v>0.089</v>
      </c>
      <c r="R36" s="29">
        <v>0.091</v>
      </c>
      <c r="S36" s="29">
        <v>0.055</v>
      </c>
      <c r="T36" s="29">
        <v>0.084</v>
      </c>
      <c r="U36" s="29">
        <v>0.059</v>
      </c>
      <c r="V36" s="29">
        <v>0.067</v>
      </c>
      <c r="W36" s="29">
        <v>0.1</v>
      </c>
      <c r="X36" s="29">
        <v>0.075</v>
      </c>
      <c r="Y36" s="29">
        <v>15.846</v>
      </c>
      <c r="Z36" s="29">
        <v>13.608</v>
      </c>
      <c r="AA36" s="29">
        <v>12.62</v>
      </c>
      <c r="AB36" s="29">
        <v>13.562</v>
      </c>
      <c r="AC36" s="29">
        <v>8.907</v>
      </c>
      <c r="AD36" s="29">
        <v>12.363</v>
      </c>
      <c r="AE36" s="29">
        <v>9.49</v>
      </c>
      <c r="AF36" s="29">
        <v>9.619</v>
      </c>
      <c r="AG36" s="29">
        <v>14.175</v>
      </c>
      <c r="AH36" s="29">
        <v>11.735</v>
      </c>
      <c r="AI36" s="30">
        <f t="shared" si="1"/>
        <v>1495.714999</v>
      </c>
      <c r="AJ36" s="30">
        <f t="shared" si="2"/>
        <v>149.5714999</v>
      </c>
      <c r="AK36" s="32">
        <f t="shared" si="3"/>
        <v>0.2278</v>
      </c>
      <c r="AL36" s="32">
        <f t="shared" si="4"/>
        <v>0.0822</v>
      </c>
      <c r="AM36" s="33">
        <f t="shared" si="5"/>
        <v>63.91571554</v>
      </c>
      <c r="AN36" s="33">
        <f t="shared" si="6"/>
        <v>0.3608428446</v>
      </c>
      <c r="AO36" s="33">
        <f>pi()*1.5*(0.45/2)^2</f>
        <v>0.2385646921</v>
      </c>
      <c r="AP36" s="29">
        <v>0.191</v>
      </c>
      <c r="AQ36" s="32">
        <f t="shared" si="7"/>
        <v>0.8006214092</v>
      </c>
      <c r="AR36" s="30">
        <f t="shared" si="8"/>
        <v>800.6214092</v>
      </c>
      <c r="AS36" s="34">
        <f t="shared" si="9"/>
        <v>12.1925</v>
      </c>
    </row>
    <row r="37">
      <c r="A37" s="29" t="s">
        <v>1266</v>
      </c>
      <c r="B37" s="29" t="s">
        <v>1226</v>
      </c>
      <c r="C37" s="29" t="s">
        <v>1227</v>
      </c>
      <c r="D37" s="29" t="s">
        <v>153</v>
      </c>
      <c r="E37" s="29">
        <v>1.319</v>
      </c>
      <c r="F37" s="29">
        <v>1.689</v>
      </c>
      <c r="G37" s="29">
        <v>0.798</v>
      </c>
      <c r="H37" s="29">
        <v>1.392</v>
      </c>
      <c r="I37" s="29">
        <v>0.611</v>
      </c>
      <c r="J37" s="29">
        <v>0.969</v>
      </c>
      <c r="K37" s="29">
        <v>1.592</v>
      </c>
      <c r="L37" s="29">
        <v>1.106</v>
      </c>
      <c r="M37" s="29">
        <v>1.06</v>
      </c>
      <c r="N37" s="29">
        <v>1.109</v>
      </c>
      <c r="O37" s="29">
        <v>0.276</v>
      </c>
      <c r="P37" s="29">
        <v>0.355</v>
      </c>
      <c r="Q37" s="29">
        <v>0.19</v>
      </c>
      <c r="R37" s="29">
        <v>0.278</v>
      </c>
      <c r="S37" s="29">
        <v>0.152</v>
      </c>
      <c r="T37" s="29">
        <v>0.186</v>
      </c>
      <c r="U37" s="29">
        <v>0.343</v>
      </c>
      <c r="V37" s="29">
        <v>0.236</v>
      </c>
      <c r="W37" s="29">
        <v>0.23</v>
      </c>
      <c r="X37" s="29">
        <v>0.237</v>
      </c>
      <c r="Y37" s="29">
        <v>38.765</v>
      </c>
      <c r="Z37" s="29">
        <v>48.302</v>
      </c>
      <c r="AA37" s="29">
        <v>25.132</v>
      </c>
      <c r="AB37" s="29">
        <v>41.013</v>
      </c>
      <c r="AC37" s="29">
        <v>19.205</v>
      </c>
      <c r="AD37" s="29">
        <v>29.635</v>
      </c>
      <c r="AE37" s="29">
        <v>42.93</v>
      </c>
      <c r="AF37" s="29">
        <v>31.448</v>
      </c>
      <c r="AG37" s="29">
        <v>31.593</v>
      </c>
      <c r="AH37" s="29">
        <v>29.381</v>
      </c>
      <c r="AI37" s="30">
        <f t="shared" si="1"/>
        <v>1361.739894</v>
      </c>
      <c r="AJ37" s="30">
        <f t="shared" si="2"/>
        <v>136.1739894</v>
      </c>
      <c r="AK37" s="32">
        <f t="shared" si="3"/>
        <v>1.1645</v>
      </c>
      <c r="AL37" s="32">
        <f t="shared" si="4"/>
        <v>0.2483</v>
      </c>
      <c r="AM37" s="33">
        <f t="shared" si="5"/>
        <v>78.67754401</v>
      </c>
      <c r="AN37" s="33">
        <f t="shared" si="6"/>
        <v>0.2132245599</v>
      </c>
      <c r="AO37" s="33">
        <f>pi()*2.5*(0.5/2)^2</f>
        <v>0.4908738521</v>
      </c>
      <c r="AP37" s="29">
        <v>0.186</v>
      </c>
      <c r="AQ37" s="32">
        <f t="shared" si="7"/>
        <v>0.3789160885</v>
      </c>
      <c r="AR37" s="30">
        <f t="shared" si="8"/>
        <v>378.9160885</v>
      </c>
      <c r="AS37" s="34">
        <f t="shared" si="9"/>
        <v>33.7404</v>
      </c>
    </row>
    <row r="38">
      <c r="A38" s="29" t="s">
        <v>1267</v>
      </c>
      <c r="B38" s="29" t="s">
        <v>1226</v>
      </c>
      <c r="C38" s="29" t="s">
        <v>1227</v>
      </c>
      <c r="D38" s="29" t="s">
        <v>1154</v>
      </c>
      <c r="E38" s="29">
        <v>0.392</v>
      </c>
      <c r="F38" s="29">
        <v>0.383</v>
      </c>
      <c r="G38" s="29">
        <v>0.322</v>
      </c>
      <c r="H38" s="29">
        <v>0.198</v>
      </c>
      <c r="I38" s="29">
        <v>0.313</v>
      </c>
      <c r="J38" s="29">
        <v>0.418</v>
      </c>
      <c r="K38" s="29">
        <v>0.447</v>
      </c>
      <c r="L38" s="29">
        <v>0.342</v>
      </c>
      <c r="M38" s="29">
        <v>0.263</v>
      </c>
      <c r="N38" s="29">
        <v>0.308</v>
      </c>
      <c r="O38" s="29">
        <v>0.094</v>
      </c>
      <c r="P38" s="29">
        <v>0.092</v>
      </c>
      <c r="Q38" s="29">
        <v>0.079</v>
      </c>
      <c r="R38" s="29">
        <v>0.049</v>
      </c>
      <c r="S38" s="29">
        <v>0.074</v>
      </c>
      <c r="T38" s="29">
        <v>0.104</v>
      </c>
      <c r="U38" s="29">
        <v>0.12</v>
      </c>
      <c r="V38" s="29">
        <v>0.082</v>
      </c>
      <c r="W38" s="29">
        <v>0.074</v>
      </c>
      <c r="X38" s="29">
        <v>0.07</v>
      </c>
      <c r="Y38" s="29">
        <v>22.304</v>
      </c>
      <c r="Z38" s="29">
        <v>22.23</v>
      </c>
      <c r="AA38" s="29">
        <v>19.308</v>
      </c>
      <c r="AB38" s="29">
        <v>11.125</v>
      </c>
      <c r="AC38" s="29">
        <v>18.171</v>
      </c>
      <c r="AD38" s="29">
        <v>23.813</v>
      </c>
      <c r="AE38" s="29">
        <v>24.396</v>
      </c>
      <c r="AF38" s="29">
        <v>21.577</v>
      </c>
      <c r="AG38" s="29">
        <v>15.283</v>
      </c>
      <c r="AH38" s="29">
        <v>19.377</v>
      </c>
      <c r="AI38" s="30">
        <f t="shared" si="1"/>
        <v>2374.653577</v>
      </c>
      <c r="AJ38" s="30">
        <f t="shared" si="2"/>
        <v>237.4653577</v>
      </c>
      <c r="AK38" s="32">
        <f t="shared" si="3"/>
        <v>0.3386</v>
      </c>
      <c r="AL38" s="32">
        <f t="shared" si="4"/>
        <v>0.0838</v>
      </c>
      <c r="AM38" s="33">
        <f t="shared" si="5"/>
        <v>75.25103367</v>
      </c>
      <c r="AN38" s="33">
        <f t="shared" si="6"/>
        <v>0.2474896633</v>
      </c>
      <c r="AO38" s="33">
        <f>pi()*2.1*(0.45/2)^2</f>
        <v>0.333990569</v>
      </c>
      <c r="AP38" s="29">
        <v>0.141</v>
      </c>
      <c r="AQ38" s="32">
        <f t="shared" si="7"/>
        <v>0.4221676092</v>
      </c>
      <c r="AR38" s="30">
        <f t="shared" si="8"/>
        <v>422.1676092</v>
      </c>
      <c r="AS38" s="34">
        <f t="shared" si="9"/>
        <v>19.7584</v>
      </c>
    </row>
    <row r="39">
      <c r="A39" s="29" t="s">
        <v>1268</v>
      </c>
      <c r="B39" s="29" t="s">
        <v>1226</v>
      </c>
      <c r="C39" s="29" t="s">
        <v>1227</v>
      </c>
      <c r="D39" s="29" t="s">
        <v>56</v>
      </c>
      <c r="E39" s="29">
        <v>0.495</v>
      </c>
      <c r="F39" s="29">
        <v>0.289</v>
      </c>
      <c r="G39" s="29">
        <v>0.297</v>
      </c>
      <c r="H39" s="29">
        <v>0.385</v>
      </c>
      <c r="I39" s="29">
        <v>0.365</v>
      </c>
      <c r="J39" s="29">
        <v>0.364</v>
      </c>
      <c r="K39" s="29">
        <v>0.349</v>
      </c>
      <c r="L39" s="29">
        <v>0.466</v>
      </c>
      <c r="M39" s="29">
        <v>0.399</v>
      </c>
      <c r="N39" s="29">
        <v>0.259</v>
      </c>
      <c r="O39" s="29">
        <v>0.157</v>
      </c>
      <c r="P39" s="29">
        <v>0.089</v>
      </c>
      <c r="Q39" s="29">
        <v>0.097</v>
      </c>
      <c r="R39" s="29">
        <v>0.119</v>
      </c>
      <c r="S39" s="29">
        <v>0.114</v>
      </c>
      <c r="T39" s="29">
        <v>0.118</v>
      </c>
      <c r="U39" s="29">
        <v>0.114</v>
      </c>
      <c r="V39" s="29">
        <v>0.154</v>
      </c>
      <c r="W39" s="29">
        <v>0.13</v>
      </c>
      <c r="X39" s="29">
        <v>0.085</v>
      </c>
      <c r="Y39" s="29">
        <v>27.425</v>
      </c>
      <c r="Z39" s="29">
        <v>16.44</v>
      </c>
      <c r="AA39" s="29">
        <v>16.324</v>
      </c>
      <c r="AB39" s="29">
        <v>22.109</v>
      </c>
      <c r="AC39" s="29">
        <v>20.615</v>
      </c>
      <c r="AD39" s="29">
        <v>20.306</v>
      </c>
      <c r="AE39" s="29">
        <v>19.67</v>
      </c>
      <c r="AF39" s="29">
        <v>24.981</v>
      </c>
      <c r="AG39" s="29">
        <v>21.366</v>
      </c>
      <c r="AH39" s="29">
        <v>14.281</v>
      </c>
      <c r="AI39" s="30">
        <f t="shared" si="1"/>
        <v>1733.521041</v>
      </c>
      <c r="AJ39" s="30">
        <f t="shared" si="2"/>
        <v>173.3521041</v>
      </c>
      <c r="AK39" s="32">
        <f t="shared" si="3"/>
        <v>0.3668</v>
      </c>
      <c r="AL39" s="32">
        <f t="shared" si="4"/>
        <v>0.1177</v>
      </c>
      <c r="AM39" s="33">
        <f t="shared" si="5"/>
        <v>67.91166848</v>
      </c>
      <c r="AN39" s="33">
        <f t="shared" si="6"/>
        <v>0.3208833152</v>
      </c>
      <c r="AO39" s="33">
        <f>pi()*1.1*(0.4/2)^2</f>
        <v>0.1382300768</v>
      </c>
      <c r="AP39" s="29">
        <v>0.167</v>
      </c>
      <c r="AQ39" s="32">
        <f t="shared" si="7"/>
        <v>1.208130704</v>
      </c>
      <c r="AR39" s="30">
        <f t="shared" si="8"/>
        <v>1208.130704</v>
      </c>
      <c r="AS39" s="34">
        <f t="shared" si="9"/>
        <v>20.3517</v>
      </c>
    </row>
    <row r="40">
      <c r="A40" s="29" t="s">
        <v>1269</v>
      </c>
      <c r="B40" s="29" t="s">
        <v>1226</v>
      </c>
      <c r="C40" s="29" t="s">
        <v>1227</v>
      </c>
      <c r="D40" s="29" t="s">
        <v>164</v>
      </c>
      <c r="E40" s="29">
        <v>6.607</v>
      </c>
      <c r="F40" s="29">
        <v>7.645</v>
      </c>
      <c r="G40" s="29">
        <v>5.878</v>
      </c>
      <c r="H40" s="29">
        <v>4.979</v>
      </c>
      <c r="I40" s="29">
        <v>4.985</v>
      </c>
      <c r="J40" s="29">
        <v>6.485</v>
      </c>
      <c r="K40" s="29">
        <v>6.755</v>
      </c>
      <c r="L40" s="29">
        <v>4.635</v>
      </c>
      <c r="M40" s="29">
        <v>4.393</v>
      </c>
      <c r="N40" s="29">
        <v>1.908</v>
      </c>
      <c r="O40" s="29">
        <v>2.8</v>
      </c>
      <c r="P40" s="29">
        <v>2.97</v>
      </c>
      <c r="Q40" s="29">
        <v>2.481</v>
      </c>
      <c r="R40" s="29">
        <v>2.117</v>
      </c>
      <c r="S40" s="29">
        <v>2.136</v>
      </c>
      <c r="T40" s="29">
        <v>2.671</v>
      </c>
      <c r="U40" s="29">
        <v>2.757</v>
      </c>
      <c r="V40" s="29">
        <v>1.864</v>
      </c>
      <c r="W40" s="29">
        <v>1.858</v>
      </c>
      <c r="X40" s="29">
        <v>0.835</v>
      </c>
      <c r="Y40" s="35">
        <f>118.048+96.751</f>
        <v>214.799</v>
      </c>
      <c r="Z40" s="35">
        <f>137.699+112.127</f>
        <v>249.826</v>
      </c>
      <c r="AA40" s="35">
        <f>116.382+103.677</f>
        <v>220.059</v>
      </c>
      <c r="AB40" s="35">
        <f>76.228+83.936</f>
        <v>160.164</v>
      </c>
      <c r="AC40" s="35">
        <f>93.057+78.019</f>
        <v>171.076</v>
      </c>
      <c r="AD40" s="35">
        <f>118.277+103.676</f>
        <v>221.953</v>
      </c>
      <c r="AE40" s="35">
        <f>111.484+116.146</f>
        <v>227.63</v>
      </c>
      <c r="AF40" s="35">
        <f>90.274+76.63</f>
        <v>166.904</v>
      </c>
      <c r="AG40" s="35">
        <f>84.758+70.357</f>
        <v>155.115</v>
      </c>
      <c r="AH40" s="35">
        <f>32.07+39.294</f>
        <v>71.364</v>
      </c>
      <c r="AI40" s="30">
        <f t="shared" si="1"/>
        <v>829.4293011</v>
      </c>
      <c r="AJ40" s="30">
        <f t="shared" si="2"/>
        <v>82.94293011</v>
      </c>
      <c r="AK40" s="32">
        <f t="shared" si="3"/>
        <v>5.427</v>
      </c>
      <c r="AL40" s="32">
        <f t="shared" si="4"/>
        <v>2.2489</v>
      </c>
      <c r="AM40" s="33">
        <f t="shared" si="5"/>
        <v>58.56089921</v>
      </c>
      <c r="AN40" s="33">
        <f t="shared" si="6"/>
        <v>0.4143910079</v>
      </c>
      <c r="AO40" s="33">
        <f>pi()*1.3*(0.45/2)^2</f>
        <v>0.2067560665</v>
      </c>
      <c r="AP40" s="29">
        <v>0.18</v>
      </c>
      <c r="AQ40" s="32">
        <f t="shared" si="7"/>
        <v>0.8705911417</v>
      </c>
      <c r="AR40" s="30">
        <f t="shared" si="8"/>
        <v>870.5911417</v>
      </c>
      <c r="AS40" s="34">
        <f t="shared" si="9"/>
        <v>185.889</v>
      </c>
    </row>
    <row r="41">
      <c r="A41" s="29" t="s">
        <v>1270</v>
      </c>
      <c r="B41" s="29" t="s">
        <v>1226</v>
      </c>
      <c r="C41" s="29" t="s">
        <v>1227</v>
      </c>
      <c r="D41" s="29" t="s">
        <v>104</v>
      </c>
      <c r="E41" s="29">
        <v>0.535</v>
      </c>
      <c r="F41" s="29">
        <v>0.535</v>
      </c>
      <c r="G41" s="29">
        <v>0.268</v>
      </c>
      <c r="H41" s="29">
        <v>0.48</v>
      </c>
      <c r="I41" s="29">
        <v>0.345</v>
      </c>
      <c r="J41" s="29">
        <v>0.336</v>
      </c>
      <c r="K41" s="29">
        <v>0.563</v>
      </c>
      <c r="L41" s="29">
        <v>0.445</v>
      </c>
      <c r="M41" s="29">
        <v>0.229</v>
      </c>
      <c r="N41" s="29">
        <v>0.307</v>
      </c>
      <c r="O41" s="29">
        <v>0.258</v>
      </c>
      <c r="P41" s="29">
        <v>0.252</v>
      </c>
      <c r="Q41" s="29">
        <v>0.141</v>
      </c>
      <c r="R41" s="29">
        <v>0.234</v>
      </c>
      <c r="S41" s="29">
        <v>0.163</v>
      </c>
      <c r="T41" s="29">
        <v>0.157</v>
      </c>
      <c r="U41" s="29">
        <v>0.279</v>
      </c>
      <c r="V41" s="29">
        <v>0.215</v>
      </c>
      <c r="W41" s="29">
        <v>0.108</v>
      </c>
      <c r="X41" s="29">
        <v>0.14</v>
      </c>
      <c r="Y41" s="29">
        <v>29.884</v>
      </c>
      <c r="Z41" s="29">
        <v>29.68</v>
      </c>
      <c r="AA41" s="29">
        <v>17.182</v>
      </c>
      <c r="AB41" s="29">
        <v>26.376</v>
      </c>
      <c r="AC41" s="29">
        <v>20.429</v>
      </c>
      <c r="AD41" s="29">
        <v>19.206</v>
      </c>
      <c r="AE41" s="29">
        <v>32.696</v>
      </c>
      <c r="AF41" s="29">
        <v>25.43</v>
      </c>
      <c r="AG41" s="29">
        <v>14.319</v>
      </c>
      <c r="AH41" s="29">
        <v>18.661</v>
      </c>
      <c r="AI41" s="30">
        <f t="shared" si="1"/>
        <v>1217.191063</v>
      </c>
      <c r="AJ41" s="30">
        <f t="shared" si="2"/>
        <v>121.7191063</v>
      </c>
      <c r="AK41" s="32">
        <f t="shared" si="3"/>
        <v>0.4043</v>
      </c>
      <c r="AL41" s="32">
        <f t="shared" si="4"/>
        <v>0.1947</v>
      </c>
      <c r="AM41" s="33">
        <f t="shared" si="5"/>
        <v>51.84269107</v>
      </c>
      <c r="AN41" s="33">
        <f t="shared" si="6"/>
        <v>0.4815730893</v>
      </c>
      <c r="AO41" s="33">
        <f>pi()*1.7*(0.45/2)^2</f>
        <v>0.2703733177</v>
      </c>
      <c r="AP41" s="29">
        <v>0.307</v>
      </c>
      <c r="AQ41" s="32">
        <f t="shared" si="7"/>
        <v>1.135467074</v>
      </c>
      <c r="AR41" s="30">
        <f t="shared" si="8"/>
        <v>1135.467074</v>
      </c>
      <c r="AS41" s="34">
        <f t="shared" si="9"/>
        <v>23.3863</v>
      </c>
    </row>
    <row r="42">
      <c r="A42" s="29" t="s">
        <v>1271</v>
      </c>
      <c r="B42" s="29" t="s">
        <v>1226</v>
      </c>
      <c r="C42" s="29" t="s">
        <v>1227</v>
      </c>
      <c r="D42" s="29" t="s">
        <v>24</v>
      </c>
      <c r="E42" s="29">
        <v>0.611</v>
      </c>
      <c r="F42" s="29">
        <v>0.389</v>
      </c>
      <c r="G42" s="29">
        <v>0.323</v>
      </c>
      <c r="H42" s="29">
        <v>0.495</v>
      </c>
      <c r="I42" s="29">
        <v>0.393</v>
      </c>
      <c r="J42" s="29">
        <v>0.454</v>
      </c>
      <c r="K42" s="29">
        <v>0.44</v>
      </c>
      <c r="L42" s="29">
        <v>0.435</v>
      </c>
      <c r="M42" s="29">
        <v>0.266</v>
      </c>
      <c r="N42" s="29">
        <v>0.281</v>
      </c>
      <c r="O42" s="29">
        <v>0.256</v>
      </c>
      <c r="P42" s="29">
        <v>0.161</v>
      </c>
      <c r="Q42" s="29">
        <v>0.131</v>
      </c>
      <c r="R42" s="29">
        <v>0.197</v>
      </c>
      <c r="S42" s="29">
        <v>0.158</v>
      </c>
      <c r="T42" s="29">
        <v>0.187</v>
      </c>
      <c r="U42" s="29">
        <v>0.176</v>
      </c>
      <c r="V42" s="29">
        <v>0.184</v>
      </c>
      <c r="W42" s="29">
        <v>0.111</v>
      </c>
      <c r="X42" s="29">
        <v>0.114</v>
      </c>
      <c r="Y42" s="29">
        <v>28.615</v>
      </c>
      <c r="Z42" s="29">
        <v>21.13</v>
      </c>
      <c r="AA42" s="29">
        <v>17.505</v>
      </c>
      <c r="AB42" s="29">
        <v>25.943</v>
      </c>
      <c r="AC42" s="29">
        <v>21.758</v>
      </c>
      <c r="AD42" s="29">
        <v>24.568</v>
      </c>
      <c r="AE42" s="29">
        <v>23.768</v>
      </c>
      <c r="AF42" s="29">
        <v>22.214</v>
      </c>
      <c r="AG42" s="29">
        <v>13.821</v>
      </c>
      <c r="AH42" s="29">
        <v>13.834</v>
      </c>
      <c r="AI42" s="30">
        <f t="shared" si="1"/>
        <v>1279.062535</v>
      </c>
      <c r="AJ42" s="30">
        <f t="shared" si="2"/>
        <v>127.9062535</v>
      </c>
      <c r="AK42" s="32">
        <f t="shared" si="3"/>
        <v>0.4087</v>
      </c>
      <c r="AL42" s="32">
        <f t="shared" si="4"/>
        <v>0.1675</v>
      </c>
      <c r="AM42" s="33">
        <f t="shared" si="5"/>
        <v>59.01639344</v>
      </c>
      <c r="AN42" s="33">
        <f t="shared" si="6"/>
        <v>0.4098360656</v>
      </c>
      <c r="AO42" s="33">
        <f>pi()*1.7*(0.4/2)^2</f>
        <v>0.2136283004</v>
      </c>
      <c r="AP42" s="29">
        <v>0.249</v>
      </c>
      <c r="AQ42" s="32">
        <f t="shared" si="7"/>
        <v>1.165575907</v>
      </c>
      <c r="AR42" s="30">
        <f t="shared" si="8"/>
        <v>1165.575907</v>
      </c>
      <c r="AS42" s="34">
        <f t="shared" si="9"/>
        <v>21.3156</v>
      </c>
    </row>
    <row r="43">
      <c r="A43" s="29" t="s">
        <v>1272</v>
      </c>
      <c r="B43" s="29" t="s">
        <v>1226</v>
      </c>
      <c r="C43" s="29" t="s">
        <v>1227</v>
      </c>
      <c r="D43" s="29" t="s">
        <v>1096</v>
      </c>
      <c r="E43" s="29">
        <v>1.049</v>
      </c>
      <c r="F43" s="29">
        <v>1.138</v>
      </c>
      <c r="G43" s="29">
        <v>0.503</v>
      </c>
      <c r="H43" s="29">
        <v>1.123</v>
      </c>
      <c r="I43" s="29">
        <v>1.145</v>
      </c>
      <c r="J43" s="29">
        <v>1.51</v>
      </c>
      <c r="K43" s="29">
        <v>0.95</v>
      </c>
      <c r="L43" s="29">
        <v>1.09</v>
      </c>
      <c r="M43" s="29">
        <v>1.274</v>
      </c>
      <c r="N43" s="29">
        <v>0.852</v>
      </c>
      <c r="O43" s="29">
        <v>0.403</v>
      </c>
      <c r="P43" s="29">
        <v>0.426</v>
      </c>
      <c r="Q43" s="29">
        <v>0.183</v>
      </c>
      <c r="R43" s="29">
        <v>0.442</v>
      </c>
      <c r="S43" s="29">
        <v>0.46</v>
      </c>
      <c r="T43" s="29">
        <v>0.597</v>
      </c>
      <c r="U43" s="29">
        <v>0.352</v>
      </c>
      <c r="V43" s="29">
        <v>0.415</v>
      </c>
      <c r="W43" s="29">
        <v>0.506</v>
      </c>
      <c r="X43" s="29">
        <v>0.352</v>
      </c>
      <c r="Y43" s="29">
        <v>28.344</v>
      </c>
      <c r="Z43" s="29">
        <v>31.591</v>
      </c>
      <c r="AA43" s="29">
        <v>13.83</v>
      </c>
      <c r="AB43" s="29">
        <v>26.995</v>
      </c>
      <c r="AC43" s="29">
        <v>27.34</v>
      </c>
      <c r="AD43" s="29">
        <v>38.226</v>
      </c>
      <c r="AE43" s="29">
        <v>26.49</v>
      </c>
      <c r="AF43" s="29">
        <v>28.846</v>
      </c>
      <c r="AG43" s="29">
        <v>28.662</v>
      </c>
      <c r="AH43" s="29">
        <v>18.742</v>
      </c>
      <c r="AI43" s="30">
        <f t="shared" si="1"/>
        <v>659.2558502</v>
      </c>
      <c r="AJ43" s="30">
        <f t="shared" si="2"/>
        <v>65.92558502</v>
      </c>
      <c r="AK43" s="32">
        <f t="shared" si="3"/>
        <v>1.0634</v>
      </c>
      <c r="AL43" s="32">
        <f t="shared" si="4"/>
        <v>0.4136</v>
      </c>
      <c r="AM43" s="33">
        <f t="shared" si="5"/>
        <v>61.10588678</v>
      </c>
      <c r="AN43" s="33">
        <f t="shared" si="6"/>
        <v>0.3889411322</v>
      </c>
      <c r="AO43" s="33">
        <f>pi()*1.75*(0.45/2)^2</f>
        <v>0.2783254742</v>
      </c>
      <c r="AP43" s="29">
        <v>0.283</v>
      </c>
      <c r="AQ43" s="32">
        <f t="shared" si="7"/>
        <v>1.016795178</v>
      </c>
      <c r="AR43" s="30">
        <f t="shared" si="8"/>
        <v>1016.795178</v>
      </c>
      <c r="AS43" s="34">
        <f t="shared" si="9"/>
        <v>26.9066</v>
      </c>
    </row>
    <row r="44">
      <c r="A44" s="29" t="s">
        <v>1273</v>
      </c>
      <c r="B44" s="29" t="s">
        <v>1238</v>
      </c>
      <c r="C44" s="29" t="s">
        <v>1227</v>
      </c>
      <c r="D44" s="29" t="s">
        <v>24</v>
      </c>
      <c r="E44" s="29">
        <v>0.249</v>
      </c>
      <c r="F44" s="29">
        <v>0.228</v>
      </c>
      <c r="G44" s="29">
        <v>0.355</v>
      </c>
      <c r="H44" s="29">
        <v>0.233</v>
      </c>
      <c r="I44" s="29">
        <v>0.252</v>
      </c>
      <c r="J44" s="29">
        <v>0.258</v>
      </c>
      <c r="K44" s="29">
        <v>0.214</v>
      </c>
      <c r="L44" s="29">
        <v>0.218</v>
      </c>
      <c r="M44" s="29">
        <v>0.273</v>
      </c>
      <c r="N44" s="29">
        <v>0.231</v>
      </c>
      <c r="O44" s="29">
        <v>0.093</v>
      </c>
      <c r="P44" s="29">
        <v>0.085</v>
      </c>
      <c r="Q44" s="29">
        <v>0.132</v>
      </c>
      <c r="R44" s="29">
        <v>0.083</v>
      </c>
      <c r="S44" s="29">
        <v>0.089</v>
      </c>
      <c r="T44" s="29">
        <v>0.095</v>
      </c>
      <c r="U44" s="29">
        <v>0.078</v>
      </c>
      <c r="V44" s="29">
        <v>0.077</v>
      </c>
      <c r="W44" s="29">
        <v>0.102</v>
      </c>
      <c r="X44" s="29">
        <v>0.089</v>
      </c>
      <c r="Y44" s="29">
        <v>14.0</v>
      </c>
      <c r="Z44" s="29">
        <v>12.495</v>
      </c>
      <c r="AA44" s="29">
        <v>19.019</v>
      </c>
      <c r="AB44" s="29">
        <v>12.114</v>
      </c>
      <c r="AC44" s="29">
        <v>12.87</v>
      </c>
      <c r="AD44" s="29">
        <v>13.142</v>
      </c>
      <c r="AE44" s="29">
        <v>11.402</v>
      </c>
      <c r="AF44" s="29">
        <v>11.352</v>
      </c>
      <c r="AG44" s="29">
        <v>14.772</v>
      </c>
      <c r="AH44" s="29">
        <v>13.171</v>
      </c>
      <c r="AI44" s="30">
        <f t="shared" si="1"/>
        <v>1456.936711</v>
      </c>
      <c r="AJ44" s="30">
        <f t="shared" si="2"/>
        <v>145.6936711</v>
      </c>
      <c r="AK44" s="32">
        <f t="shared" si="3"/>
        <v>0.2511</v>
      </c>
      <c r="AL44" s="32">
        <f t="shared" si="4"/>
        <v>0.0923</v>
      </c>
      <c r="AM44" s="33">
        <f t="shared" si="5"/>
        <v>63.24173636</v>
      </c>
      <c r="AN44" s="33">
        <f t="shared" si="6"/>
        <v>0.3675826364</v>
      </c>
      <c r="AO44" s="33">
        <f>pi()*1.15*(0.4/2)^2</f>
        <v>0.1445132621</v>
      </c>
      <c r="AP44" s="29">
        <v>0.191</v>
      </c>
      <c r="AQ44" s="32">
        <f t="shared" si="7"/>
        <v>1.321678006</v>
      </c>
      <c r="AR44" s="30">
        <f t="shared" si="8"/>
        <v>1321.678006</v>
      </c>
      <c r="AS44" s="34">
        <f t="shared" si="9"/>
        <v>13.4337</v>
      </c>
    </row>
    <row r="45">
      <c r="A45" s="29" t="s">
        <v>1274</v>
      </c>
      <c r="B45" s="29" t="s">
        <v>1238</v>
      </c>
      <c r="C45" s="29" t="s">
        <v>1227</v>
      </c>
      <c r="D45" s="29" t="s">
        <v>95</v>
      </c>
      <c r="E45" s="29">
        <v>0.166</v>
      </c>
      <c r="F45" s="29">
        <v>0.151</v>
      </c>
      <c r="G45" s="29">
        <v>0.161</v>
      </c>
      <c r="H45" s="29">
        <v>0.179</v>
      </c>
      <c r="I45" s="29">
        <v>0.162</v>
      </c>
      <c r="J45" s="29">
        <v>0.184</v>
      </c>
      <c r="K45" s="29">
        <v>0.192</v>
      </c>
      <c r="L45" s="29">
        <v>0.191</v>
      </c>
      <c r="M45" s="29">
        <v>0.167</v>
      </c>
      <c r="N45" s="29">
        <v>0.162</v>
      </c>
      <c r="O45" s="29">
        <v>0.07</v>
      </c>
      <c r="P45" s="29">
        <v>0.063</v>
      </c>
      <c r="Q45" s="29">
        <v>0.069</v>
      </c>
      <c r="R45" s="29">
        <v>0.074</v>
      </c>
      <c r="S45" s="29">
        <v>0.062</v>
      </c>
      <c r="T45" s="29">
        <v>0.073</v>
      </c>
      <c r="U45" s="29">
        <v>0.08</v>
      </c>
      <c r="V45" s="29">
        <v>0.063</v>
      </c>
      <c r="W45" s="29">
        <v>0.07</v>
      </c>
      <c r="X45" s="29">
        <v>0.065</v>
      </c>
      <c r="Y45" s="29">
        <v>10.215</v>
      </c>
      <c r="Z45" s="29">
        <v>9.648</v>
      </c>
      <c r="AA45" s="29">
        <v>9.811</v>
      </c>
      <c r="AB45" s="29">
        <v>11.429</v>
      </c>
      <c r="AC45" s="29">
        <v>9.53</v>
      </c>
      <c r="AD45" s="29">
        <v>10.818</v>
      </c>
      <c r="AE45" s="29">
        <v>12.236</v>
      </c>
      <c r="AF45" s="29">
        <v>11.022</v>
      </c>
      <c r="AG45" s="29">
        <v>10.955</v>
      </c>
      <c r="AH45" s="29">
        <v>10.471</v>
      </c>
      <c r="AI45" s="30">
        <f t="shared" si="1"/>
        <v>1543.101927</v>
      </c>
      <c r="AJ45" s="30">
        <f t="shared" si="2"/>
        <v>154.3101927</v>
      </c>
      <c r="AK45" s="32">
        <f t="shared" si="3"/>
        <v>0.1715</v>
      </c>
      <c r="AL45" s="32">
        <f t="shared" si="4"/>
        <v>0.0689</v>
      </c>
      <c r="AM45" s="33">
        <f t="shared" si="5"/>
        <v>59.82507289</v>
      </c>
      <c r="AN45" s="33">
        <f t="shared" si="6"/>
        <v>0.4017492711</v>
      </c>
      <c r="AO45" s="33">
        <f>pi()*1.4*(0.4/2)^2</f>
        <v>0.1759291886</v>
      </c>
      <c r="AP45" s="29">
        <v>0.289</v>
      </c>
      <c r="AQ45" s="32">
        <f t="shared" si="7"/>
        <v>1.642706377</v>
      </c>
      <c r="AR45" s="30">
        <f t="shared" si="8"/>
        <v>1642.706377</v>
      </c>
      <c r="AS45" s="34">
        <f t="shared" si="9"/>
        <v>10.6135</v>
      </c>
    </row>
    <row r="46">
      <c r="A46" s="29" t="s">
        <v>1275</v>
      </c>
      <c r="B46" s="29" t="s">
        <v>1238</v>
      </c>
      <c r="C46" s="29" t="s">
        <v>1227</v>
      </c>
      <c r="D46" s="29" t="s">
        <v>154</v>
      </c>
      <c r="E46" s="29">
        <v>1.206</v>
      </c>
      <c r="F46" s="29">
        <v>1.138</v>
      </c>
      <c r="G46" s="29">
        <v>1.036</v>
      </c>
      <c r="H46" s="29">
        <v>1.556</v>
      </c>
      <c r="I46" s="29">
        <v>1.011</v>
      </c>
      <c r="J46" s="29">
        <v>0.711</v>
      </c>
      <c r="K46" s="29">
        <v>1.413</v>
      </c>
      <c r="L46" s="29">
        <v>1.234</v>
      </c>
      <c r="M46" s="29">
        <v>0.94</v>
      </c>
      <c r="N46" s="29">
        <v>0.921</v>
      </c>
      <c r="O46" s="29">
        <v>0.465</v>
      </c>
      <c r="P46" s="29">
        <v>0.436</v>
      </c>
      <c r="Q46" s="29">
        <v>0.377</v>
      </c>
      <c r="R46" s="29">
        <v>0.616</v>
      </c>
      <c r="S46" s="29">
        <v>0.403</v>
      </c>
      <c r="T46" s="29">
        <v>0.268</v>
      </c>
      <c r="U46" s="29">
        <v>0.517</v>
      </c>
      <c r="V46" s="29">
        <v>0.484</v>
      </c>
      <c r="W46" s="29">
        <v>0.362</v>
      </c>
      <c r="X46" s="29">
        <v>0.363</v>
      </c>
      <c r="Y46" s="29">
        <v>45.757</v>
      </c>
      <c r="Z46" s="29">
        <v>39.941</v>
      </c>
      <c r="AA46" s="29">
        <v>42.354</v>
      </c>
      <c r="AB46" s="29">
        <v>52.328</v>
      </c>
      <c r="AC46" s="29">
        <v>37.807</v>
      </c>
      <c r="AD46" s="29">
        <v>26.537</v>
      </c>
      <c r="AE46" s="29">
        <v>52.948</v>
      </c>
      <c r="AF46" s="29">
        <v>42.417</v>
      </c>
      <c r="AG46" s="29">
        <v>38.356</v>
      </c>
      <c r="AH46" s="29">
        <v>36.024</v>
      </c>
      <c r="AI46" s="30">
        <f t="shared" si="1"/>
        <v>975.3832075</v>
      </c>
      <c r="AJ46" s="30">
        <f t="shared" si="2"/>
        <v>97.53832075</v>
      </c>
      <c r="AK46" s="32">
        <f t="shared" si="3"/>
        <v>1.1166</v>
      </c>
      <c r="AL46" s="32">
        <f t="shared" si="4"/>
        <v>0.4291</v>
      </c>
      <c r="AM46" s="33">
        <f t="shared" si="5"/>
        <v>61.57084005</v>
      </c>
      <c r="AN46" s="33">
        <f t="shared" si="6"/>
        <v>0.3842915995</v>
      </c>
      <c r="AO46" s="33">
        <f>pi()*1.3*(0.45/2)^2</f>
        <v>0.2067560665</v>
      </c>
      <c r="AP46" s="29">
        <v>0.181</v>
      </c>
      <c r="AQ46" s="32">
        <f t="shared" si="7"/>
        <v>0.8754277592</v>
      </c>
      <c r="AR46" s="30">
        <f t="shared" si="8"/>
        <v>875.4277592</v>
      </c>
      <c r="AS46" s="34">
        <f t="shared" si="9"/>
        <v>41.4469</v>
      </c>
    </row>
    <row r="47">
      <c r="A47" s="29" t="s">
        <v>1276</v>
      </c>
      <c r="B47" s="29" t="s">
        <v>1238</v>
      </c>
      <c r="C47" s="29" t="s">
        <v>1227</v>
      </c>
      <c r="D47" s="29" t="s">
        <v>55</v>
      </c>
      <c r="E47" s="29">
        <v>0.321</v>
      </c>
      <c r="F47" s="29">
        <v>0.84</v>
      </c>
      <c r="G47" s="29">
        <v>0.344</v>
      </c>
      <c r="H47" s="29">
        <v>0.355</v>
      </c>
      <c r="I47" s="29">
        <v>0.787</v>
      </c>
      <c r="J47" s="29">
        <v>0.814</v>
      </c>
      <c r="K47" s="29">
        <v>0.971</v>
      </c>
      <c r="L47" s="29">
        <v>0.583</v>
      </c>
      <c r="M47" s="29">
        <v>0.79</v>
      </c>
      <c r="N47" s="29">
        <v>0.75</v>
      </c>
      <c r="O47" s="29">
        <v>0.127</v>
      </c>
      <c r="P47" s="29">
        <v>0.326</v>
      </c>
      <c r="Q47" s="29">
        <v>0.156</v>
      </c>
      <c r="R47" s="29">
        <v>0.142</v>
      </c>
      <c r="S47" s="29">
        <v>0.306</v>
      </c>
      <c r="T47" s="29">
        <v>0.34</v>
      </c>
      <c r="U47" s="29">
        <v>0.471</v>
      </c>
      <c r="V47" s="29">
        <v>0.256</v>
      </c>
      <c r="W47" s="29">
        <v>0.374</v>
      </c>
      <c r="X47" s="29">
        <v>0.293</v>
      </c>
      <c r="Y47" s="29">
        <v>17.978</v>
      </c>
      <c r="Z47" s="29">
        <v>43.691</v>
      </c>
      <c r="AA47" s="29">
        <v>21.443</v>
      </c>
      <c r="AB47" s="29">
        <v>22.558</v>
      </c>
      <c r="AC47" s="29">
        <v>39.732</v>
      </c>
      <c r="AD47" s="29">
        <v>46.618</v>
      </c>
      <c r="AE47" s="29">
        <v>52.157</v>
      </c>
      <c r="AF47" s="29">
        <v>33.301</v>
      </c>
      <c r="AG47" s="29">
        <v>47.427</v>
      </c>
      <c r="AH47" s="29">
        <v>42.474</v>
      </c>
      <c r="AI47" s="30">
        <f t="shared" si="1"/>
        <v>1351.441092</v>
      </c>
      <c r="AJ47" s="30">
        <f t="shared" si="2"/>
        <v>135.1441092</v>
      </c>
      <c r="AK47" s="32">
        <f t="shared" si="3"/>
        <v>0.6555</v>
      </c>
      <c r="AL47" s="32">
        <f t="shared" si="4"/>
        <v>0.2791</v>
      </c>
      <c r="AM47" s="33">
        <f t="shared" si="5"/>
        <v>57.42181541</v>
      </c>
      <c r="AN47" s="33">
        <f t="shared" si="6"/>
        <v>0.4257818459</v>
      </c>
      <c r="AO47" s="33">
        <f>pi()*2*(0.4/2)^2</f>
        <v>0.2513274123</v>
      </c>
      <c r="AP47" s="29">
        <v>0.272</v>
      </c>
      <c r="AQ47" s="32">
        <f t="shared" si="7"/>
        <v>1.082253613</v>
      </c>
      <c r="AR47" s="30">
        <f t="shared" si="8"/>
        <v>1082.253613</v>
      </c>
      <c r="AS47" s="34">
        <f t="shared" si="9"/>
        <v>36.7379</v>
      </c>
    </row>
    <row r="48">
      <c r="A48" s="29" t="s">
        <v>1277</v>
      </c>
      <c r="B48" s="29" t="s">
        <v>1238</v>
      </c>
      <c r="C48" s="29" t="s">
        <v>1227</v>
      </c>
      <c r="D48" s="29" t="s">
        <v>421</v>
      </c>
      <c r="E48" s="29">
        <v>0.009</v>
      </c>
      <c r="F48" s="29">
        <v>0.007</v>
      </c>
      <c r="G48" s="29">
        <v>0.011</v>
      </c>
      <c r="H48" s="29">
        <v>0.012</v>
      </c>
      <c r="I48" s="29">
        <v>0.009</v>
      </c>
      <c r="J48" s="29">
        <v>0.01</v>
      </c>
      <c r="K48" s="29">
        <v>0.014</v>
      </c>
      <c r="L48" s="29">
        <v>0.014</v>
      </c>
      <c r="M48" s="29">
        <v>0.009</v>
      </c>
      <c r="N48" s="29">
        <v>0.01</v>
      </c>
      <c r="O48" s="29">
        <v>0.003</v>
      </c>
      <c r="P48" s="29">
        <v>0.001</v>
      </c>
      <c r="Q48" s="29">
        <v>0.003</v>
      </c>
      <c r="R48" s="29">
        <v>0.002</v>
      </c>
      <c r="S48" s="29">
        <v>0.003</v>
      </c>
      <c r="T48" s="29">
        <v>0.004</v>
      </c>
      <c r="U48" s="29">
        <v>0.004</v>
      </c>
      <c r="V48" s="29">
        <v>0.003</v>
      </c>
      <c r="W48" s="29">
        <v>0.003</v>
      </c>
      <c r="X48" s="29">
        <v>0.003</v>
      </c>
      <c r="Y48" s="29">
        <v>0.983</v>
      </c>
      <c r="Z48" s="29">
        <v>0.988</v>
      </c>
      <c r="AA48" s="29">
        <v>0.853</v>
      </c>
      <c r="AB48" s="29">
        <v>0.972</v>
      </c>
      <c r="AC48" s="29">
        <v>0.976</v>
      </c>
      <c r="AD48" s="29">
        <v>0.897</v>
      </c>
      <c r="AE48" s="29">
        <v>1.052</v>
      </c>
      <c r="AF48" s="29">
        <v>1.077</v>
      </c>
      <c r="AG48" s="29">
        <v>0.98</v>
      </c>
      <c r="AH48" s="29">
        <v>1.032</v>
      </c>
      <c r="AI48" s="30">
        <f t="shared" si="1"/>
        <v>3928.25</v>
      </c>
      <c r="AJ48" s="30">
        <f t="shared" si="2"/>
        <v>392.825</v>
      </c>
      <c r="AK48" s="32">
        <f t="shared" si="3"/>
        <v>0.0105</v>
      </c>
      <c r="AL48" s="32">
        <f t="shared" si="4"/>
        <v>0.0029</v>
      </c>
      <c r="AM48" s="33">
        <f t="shared" si="5"/>
        <v>72.38095238</v>
      </c>
      <c r="AN48" s="33">
        <f t="shared" si="6"/>
        <v>0.2761904762</v>
      </c>
      <c r="AO48" s="33">
        <f>pi()*0.6*(0.4/2)^2</f>
        <v>0.07539822369</v>
      </c>
      <c r="AP48" s="29">
        <v>0.076</v>
      </c>
      <c r="AQ48" s="32">
        <f t="shared" si="7"/>
        <v>1.007981306</v>
      </c>
      <c r="AR48" s="30">
        <f t="shared" si="8"/>
        <v>1007.981306</v>
      </c>
      <c r="AS48" s="34">
        <f t="shared" si="9"/>
        <v>0.981</v>
      </c>
    </row>
    <row r="49">
      <c r="A49" s="29" t="s">
        <v>1278</v>
      </c>
      <c r="B49" s="29" t="s">
        <v>1238</v>
      </c>
      <c r="C49" s="29" t="s">
        <v>1227</v>
      </c>
      <c r="D49" s="29" t="s">
        <v>86</v>
      </c>
      <c r="E49" s="29">
        <v>2.732</v>
      </c>
      <c r="F49" s="36">
        <v>2.394</v>
      </c>
      <c r="G49" s="29">
        <v>2.051</v>
      </c>
      <c r="H49" s="29">
        <v>1.874</v>
      </c>
      <c r="I49" s="29">
        <v>1.563</v>
      </c>
      <c r="J49" s="29">
        <v>1.969</v>
      </c>
      <c r="K49" s="29">
        <v>1.567</v>
      </c>
      <c r="L49" s="29">
        <v>1.26</v>
      </c>
      <c r="M49" s="29">
        <v>1.067</v>
      </c>
      <c r="N49" s="29">
        <v>0.829</v>
      </c>
      <c r="O49" s="29">
        <v>1.162</v>
      </c>
      <c r="P49" s="29">
        <v>0.985</v>
      </c>
      <c r="Q49" s="29">
        <v>0.872</v>
      </c>
      <c r="R49" s="29">
        <v>0.828</v>
      </c>
      <c r="S49" s="29">
        <v>0.67</v>
      </c>
      <c r="T49" s="29">
        <v>0.818</v>
      </c>
      <c r="U49" s="29">
        <v>0.677</v>
      </c>
      <c r="V49" s="29">
        <v>0.542</v>
      </c>
      <c r="W49" s="29">
        <v>0.426</v>
      </c>
      <c r="X49" s="29">
        <v>0.341</v>
      </c>
      <c r="Y49" s="29">
        <v>173.222</v>
      </c>
      <c r="Z49" s="29">
        <v>146.506</v>
      </c>
      <c r="AA49" s="29">
        <v>124.446</v>
      </c>
      <c r="AB49" s="29">
        <v>112.279</v>
      </c>
      <c r="AC49" s="29">
        <v>93.843</v>
      </c>
      <c r="AD49" s="29">
        <v>127.173</v>
      </c>
      <c r="AE49" s="29">
        <v>94.708</v>
      </c>
      <c r="AF49" s="29">
        <v>79.521</v>
      </c>
      <c r="AG49" s="29">
        <v>74.765</v>
      </c>
      <c r="AH49" s="29">
        <v>57.712</v>
      </c>
      <c r="AI49" s="30">
        <f t="shared" si="1"/>
        <v>1503.017156</v>
      </c>
      <c r="AJ49" s="30">
        <f t="shared" si="2"/>
        <v>150.3017156</v>
      </c>
      <c r="AK49" s="32">
        <f t="shared" si="3"/>
        <v>1.7306</v>
      </c>
      <c r="AL49" s="32">
        <f t="shared" si="4"/>
        <v>0.7321</v>
      </c>
      <c r="AM49" s="33">
        <f t="shared" si="5"/>
        <v>57.69675257</v>
      </c>
      <c r="AN49" s="33">
        <f t="shared" si="6"/>
        <v>0.4230324743</v>
      </c>
      <c r="AO49" s="33">
        <f>pi()*1*(0.4/2)^2</f>
        <v>0.1256637061</v>
      </c>
      <c r="AP49" s="29">
        <v>0.121</v>
      </c>
      <c r="AQ49" s="32">
        <f t="shared" si="7"/>
        <v>0.9628874057</v>
      </c>
      <c r="AR49" s="30">
        <f t="shared" si="8"/>
        <v>962.8874057</v>
      </c>
      <c r="AS49" s="34">
        <f t="shared" si="9"/>
        <v>108.4175</v>
      </c>
    </row>
    <row r="50">
      <c r="A50" s="29" t="s">
        <v>1279</v>
      </c>
      <c r="B50" s="29" t="s">
        <v>1238</v>
      </c>
      <c r="C50" s="29" t="s">
        <v>1227</v>
      </c>
      <c r="D50" s="29" t="s">
        <v>323</v>
      </c>
      <c r="E50" s="29">
        <v>0.084</v>
      </c>
      <c r="F50" s="29">
        <v>0.081</v>
      </c>
      <c r="G50" s="29">
        <v>0.057</v>
      </c>
      <c r="H50" s="29">
        <v>0.07</v>
      </c>
      <c r="I50" s="29">
        <v>0.094</v>
      </c>
      <c r="J50" s="29">
        <v>0.082</v>
      </c>
      <c r="K50" s="29">
        <v>0.065</v>
      </c>
      <c r="L50" s="29">
        <v>0.09</v>
      </c>
      <c r="M50" s="29">
        <v>0.095</v>
      </c>
      <c r="N50" s="29">
        <v>0.07</v>
      </c>
      <c r="O50" s="29">
        <v>0.046</v>
      </c>
      <c r="P50" s="29">
        <v>0.044</v>
      </c>
      <c r="Q50" s="29">
        <v>0.031</v>
      </c>
      <c r="R50" s="29">
        <v>0.037</v>
      </c>
      <c r="S50" s="29">
        <v>0.05</v>
      </c>
      <c r="T50" s="29">
        <v>0.044</v>
      </c>
      <c r="U50" s="29">
        <v>0.034</v>
      </c>
      <c r="V50" s="29">
        <v>0.044</v>
      </c>
      <c r="W50" s="29">
        <v>0.053</v>
      </c>
      <c r="X50" s="29">
        <v>0.036</v>
      </c>
      <c r="Y50" s="29">
        <v>4.274</v>
      </c>
      <c r="Z50" s="29">
        <v>4.216</v>
      </c>
      <c r="AA50" s="29">
        <v>2.843</v>
      </c>
      <c r="AB50" s="29">
        <v>3.625</v>
      </c>
      <c r="AC50" s="29">
        <v>4.748</v>
      </c>
      <c r="AD50" s="29">
        <v>4.425</v>
      </c>
      <c r="AE50" s="29">
        <v>3.163</v>
      </c>
      <c r="AF50" s="29">
        <v>4.873</v>
      </c>
      <c r="AG50" s="29">
        <v>5.104</v>
      </c>
      <c r="AH50" s="29">
        <v>3.628</v>
      </c>
      <c r="AI50" s="30">
        <f t="shared" si="1"/>
        <v>974.8011338</v>
      </c>
      <c r="AJ50" s="30">
        <f t="shared" si="2"/>
        <v>97.48011338</v>
      </c>
      <c r="AK50" s="32">
        <f t="shared" si="3"/>
        <v>0.0788</v>
      </c>
      <c r="AL50" s="32">
        <f t="shared" si="4"/>
        <v>0.0419</v>
      </c>
      <c r="AM50" s="33">
        <f t="shared" si="5"/>
        <v>46.82741117</v>
      </c>
      <c r="AN50" s="33">
        <f t="shared" si="6"/>
        <v>0.5317258883</v>
      </c>
      <c r="AO50" s="33">
        <f>pi()*0.5*(0.4/2)^2</f>
        <v>0.06283185307</v>
      </c>
      <c r="AP50" s="29">
        <v>0.091</v>
      </c>
      <c r="AQ50" s="32">
        <f t="shared" si="7"/>
        <v>1.448309982</v>
      </c>
      <c r="AR50" s="30">
        <f t="shared" si="8"/>
        <v>1448.309982</v>
      </c>
      <c r="AS50" s="34">
        <f t="shared" si="9"/>
        <v>4.0899</v>
      </c>
    </row>
    <row r="51">
      <c r="A51" s="29" t="s">
        <v>1280</v>
      </c>
      <c r="B51" s="29" t="s">
        <v>1238</v>
      </c>
      <c r="C51" s="29" t="s">
        <v>1227</v>
      </c>
      <c r="D51" s="29" t="s">
        <v>324</v>
      </c>
      <c r="E51" s="29">
        <v>0.169</v>
      </c>
      <c r="F51" s="29">
        <v>0.15</v>
      </c>
      <c r="G51" s="29">
        <v>0.199</v>
      </c>
      <c r="H51" s="29">
        <v>0.209</v>
      </c>
      <c r="I51" s="29">
        <v>0.268</v>
      </c>
      <c r="J51" s="29">
        <v>0.336</v>
      </c>
      <c r="K51" s="29">
        <v>0.327</v>
      </c>
      <c r="L51" s="29">
        <v>0.25</v>
      </c>
      <c r="M51" s="29">
        <v>0.277</v>
      </c>
      <c r="N51" s="29">
        <v>0.226</v>
      </c>
      <c r="O51" s="29">
        <v>0.073</v>
      </c>
      <c r="P51" s="29">
        <v>0.061</v>
      </c>
      <c r="Q51" s="29">
        <v>0.08</v>
      </c>
      <c r="R51" s="29">
        <v>0.09</v>
      </c>
      <c r="S51" s="29">
        <v>0.11</v>
      </c>
      <c r="T51" s="29">
        <v>0.143</v>
      </c>
      <c r="U51" s="29">
        <v>0.142</v>
      </c>
      <c r="V51" s="29">
        <v>0.114</v>
      </c>
      <c r="W51" s="29">
        <v>0.121</v>
      </c>
      <c r="X51" s="29">
        <v>0.097</v>
      </c>
      <c r="Y51" s="29">
        <v>10.418</v>
      </c>
      <c r="Z51" s="29">
        <v>7.984</v>
      </c>
      <c r="AA51" s="29">
        <v>12.358</v>
      </c>
      <c r="AB51" s="29">
        <v>12.669</v>
      </c>
      <c r="AC51" s="29">
        <v>15.596</v>
      </c>
      <c r="AD51" s="29">
        <v>19.452</v>
      </c>
      <c r="AE51" s="29">
        <v>17.956</v>
      </c>
      <c r="AF51" s="29">
        <v>13.729</v>
      </c>
      <c r="AG51" s="29">
        <v>16.314</v>
      </c>
      <c r="AH51" s="29">
        <v>13.335</v>
      </c>
      <c r="AI51" s="30">
        <f t="shared" si="1"/>
        <v>1365.830233</v>
      </c>
      <c r="AJ51" s="30">
        <f t="shared" si="2"/>
        <v>136.5830233</v>
      </c>
      <c r="AK51" s="32">
        <f t="shared" si="3"/>
        <v>0.2411</v>
      </c>
      <c r="AL51" s="32">
        <f t="shared" si="4"/>
        <v>0.1031</v>
      </c>
      <c r="AM51" s="33">
        <f t="shared" si="5"/>
        <v>57.23766072</v>
      </c>
      <c r="AN51" s="33">
        <f t="shared" si="6"/>
        <v>0.4276233928</v>
      </c>
      <c r="AO51" s="33">
        <f>pi()*1.6*(0.45/2)^2</f>
        <v>0.2544690049</v>
      </c>
      <c r="AP51" s="29">
        <v>0.254</v>
      </c>
      <c r="AQ51" s="32">
        <f t="shared" si="7"/>
        <v>0.998156927</v>
      </c>
      <c r="AR51" s="30">
        <f t="shared" si="8"/>
        <v>998.156927</v>
      </c>
      <c r="AS51" s="34">
        <f t="shared" si="9"/>
        <v>13.9811</v>
      </c>
    </row>
    <row r="52">
      <c r="A52" s="29" t="s">
        <v>1281</v>
      </c>
      <c r="B52" s="29" t="s">
        <v>1238</v>
      </c>
      <c r="C52" s="29" t="s">
        <v>1227</v>
      </c>
      <c r="D52" s="29" t="s">
        <v>98</v>
      </c>
      <c r="E52" s="29">
        <v>0.612</v>
      </c>
      <c r="F52" s="29">
        <v>0.433</v>
      </c>
      <c r="G52" s="29">
        <v>0.487</v>
      </c>
      <c r="H52" s="29">
        <v>0.365</v>
      </c>
      <c r="I52" s="29">
        <v>0.25</v>
      </c>
      <c r="J52" s="29">
        <v>0.452</v>
      </c>
      <c r="K52" s="29">
        <v>0.487</v>
      </c>
      <c r="L52" s="29">
        <v>0.244</v>
      </c>
      <c r="M52" s="29">
        <v>0.377</v>
      </c>
      <c r="N52" s="29">
        <v>0.443</v>
      </c>
      <c r="O52" s="29">
        <v>0.235</v>
      </c>
      <c r="P52" s="29">
        <v>0.176</v>
      </c>
      <c r="Q52" s="29">
        <v>0.186</v>
      </c>
      <c r="R52" s="29">
        <v>0.141</v>
      </c>
      <c r="S52" s="29">
        <v>0.094</v>
      </c>
      <c r="T52" s="29">
        <v>0.174</v>
      </c>
      <c r="U52" s="29">
        <v>0.187</v>
      </c>
      <c r="V52" s="29">
        <v>0.088</v>
      </c>
      <c r="W52" s="29">
        <v>0.139</v>
      </c>
      <c r="X52" s="29">
        <v>0.181</v>
      </c>
      <c r="Y52" s="29">
        <v>27.216</v>
      </c>
      <c r="Z52" s="29">
        <v>19.492</v>
      </c>
      <c r="AA52" s="29">
        <v>21.626</v>
      </c>
      <c r="AB52" s="29">
        <v>18.086</v>
      </c>
      <c r="AC52" s="29">
        <v>12.806</v>
      </c>
      <c r="AD52" s="29">
        <v>19.707</v>
      </c>
      <c r="AE52" s="29">
        <v>20.634</v>
      </c>
      <c r="AF52" s="29">
        <v>12.349</v>
      </c>
      <c r="AG52" s="29">
        <v>18.385</v>
      </c>
      <c r="AH52" s="29">
        <v>20.778</v>
      </c>
      <c r="AI52" s="30">
        <f t="shared" si="1"/>
        <v>1218.327309</v>
      </c>
      <c r="AJ52" s="30">
        <f t="shared" si="2"/>
        <v>121.8327309</v>
      </c>
      <c r="AK52" s="32">
        <f t="shared" si="3"/>
        <v>0.415</v>
      </c>
      <c r="AL52" s="32">
        <f t="shared" si="4"/>
        <v>0.1601</v>
      </c>
      <c r="AM52" s="33">
        <f t="shared" si="5"/>
        <v>61.42168675</v>
      </c>
      <c r="AN52" s="33">
        <f t="shared" si="6"/>
        <v>0.3857831325</v>
      </c>
      <c r="AO52" s="33">
        <f>pi()*1.75*(0.45/2)^2</f>
        <v>0.2783254742</v>
      </c>
      <c r="AP52" s="29">
        <v>0.288</v>
      </c>
      <c r="AQ52" s="32">
        <f t="shared" si="7"/>
        <v>1.034759757</v>
      </c>
      <c r="AR52" s="30">
        <f t="shared" si="8"/>
        <v>1034.759757</v>
      </c>
      <c r="AS52" s="34">
        <f t="shared" si="9"/>
        <v>19.1079</v>
      </c>
    </row>
    <row r="53">
      <c r="A53" s="29" t="s">
        <v>1282</v>
      </c>
      <c r="B53" s="29" t="s">
        <v>1238</v>
      </c>
      <c r="C53" s="29" t="s">
        <v>1227</v>
      </c>
      <c r="D53" s="29" t="s">
        <v>324</v>
      </c>
      <c r="E53" s="29">
        <v>0.329</v>
      </c>
      <c r="F53" s="29">
        <v>0.302</v>
      </c>
      <c r="G53" s="29">
        <v>0.166</v>
      </c>
      <c r="H53" s="29">
        <v>0.296</v>
      </c>
      <c r="I53" s="29">
        <v>0.294</v>
      </c>
      <c r="J53" s="29">
        <v>0.258</v>
      </c>
      <c r="K53" s="29">
        <v>0.273</v>
      </c>
      <c r="L53" s="29">
        <v>0.162</v>
      </c>
      <c r="M53" s="29">
        <v>0.303</v>
      </c>
      <c r="N53" s="29">
        <v>0.274</v>
      </c>
      <c r="O53" s="29">
        <v>0.156</v>
      </c>
      <c r="P53" s="29">
        <v>0.143</v>
      </c>
      <c r="Q53" s="29">
        <v>0.078</v>
      </c>
      <c r="R53" s="29">
        <v>0.139</v>
      </c>
      <c r="S53" s="29">
        <v>0.136</v>
      </c>
      <c r="T53" s="29">
        <v>0.125</v>
      </c>
      <c r="U53" s="29">
        <v>0.13</v>
      </c>
      <c r="V53" s="29">
        <v>0.081</v>
      </c>
      <c r="W53" s="29">
        <v>0.143</v>
      </c>
      <c r="X53" s="29">
        <v>0.128</v>
      </c>
      <c r="Y53" s="29">
        <v>17.972</v>
      </c>
      <c r="Z53" s="29">
        <v>16.798</v>
      </c>
      <c r="AA53" s="29">
        <v>8.918</v>
      </c>
      <c r="AB53" s="29">
        <v>15.653</v>
      </c>
      <c r="AC53" s="29">
        <v>15.385</v>
      </c>
      <c r="AD53" s="29">
        <v>14.369</v>
      </c>
      <c r="AE53" s="29">
        <v>15.016</v>
      </c>
      <c r="AF53" s="29">
        <v>9.44</v>
      </c>
      <c r="AG53" s="29">
        <v>16.832</v>
      </c>
      <c r="AH53" s="29">
        <v>14.304</v>
      </c>
      <c r="AI53" s="30">
        <f t="shared" si="1"/>
        <v>1149.2027</v>
      </c>
      <c r="AJ53" s="30">
        <f t="shared" si="2"/>
        <v>114.92027</v>
      </c>
      <c r="AK53" s="32">
        <f t="shared" si="3"/>
        <v>0.2657</v>
      </c>
      <c r="AL53" s="32">
        <f t="shared" si="4"/>
        <v>0.1259</v>
      </c>
      <c r="AM53" s="33">
        <f t="shared" si="5"/>
        <v>52.61573203</v>
      </c>
      <c r="AN53" s="33">
        <f t="shared" si="6"/>
        <v>0.4738426797</v>
      </c>
      <c r="AO53" s="33">
        <f>pi()*2*(0.4/2)^2</f>
        <v>0.2513274123</v>
      </c>
      <c r="AP53" s="29">
        <v>0.355</v>
      </c>
      <c r="AQ53" s="32">
        <f t="shared" si="7"/>
        <v>1.41250012</v>
      </c>
      <c r="AR53" s="30">
        <f t="shared" si="8"/>
        <v>1412.50012</v>
      </c>
      <c r="AS53" s="34">
        <f t="shared" si="9"/>
        <v>14.4687</v>
      </c>
    </row>
    <row r="54">
      <c r="A54" s="29" t="s">
        <v>1283</v>
      </c>
      <c r="B54" s="29" t="s">
        <v>1238</v>
      </c>
      <c r="C54" s="29" t="s">
        <v>1227</v>
      </c>
      <c r="D54" s="29" t="s">
        <v>565</v>
      </c>
      <c r="E54" s="29">
        <v>2.604</v>
      </c>
      <c r="F54" s="29">
        <v>2.064</v>
      </c>
      <c r="G54" s="29">
        <v>2.009</v>
      </c>
      <c r="H54" s="29">
        <v>1.583</v>
      </c>
      <c r="I54" s="29">
        <v>2.08</v>
      </c>
      <c r="J54" s="29">
        <v>3.636</v>
      </c>
      <c r="K54" s="29">
        <v>2.475</v>
      </c>
      <c r="L54" s="29">
        <v>1.478</v>
      </c>
      <c r="M54" s="29">
        <v>1.451</v>
      </c>
      <c r="N54" s="29">
        <v>0.848</v>
      </c>
      <c r="O54" s="29">
        <v>1.052</v>
      </c>
      <c r="P54" s="29">
        <v>0.819</v>
      </c>
      <c r="Q54" s="29">
        <v>0.829</v>
      </c>
      <c r="R54" s="29">
        <v>0.684</v>
      </c>
      <c r="S54" s="29">
        <v>0.87</v>
      </c>
      <c r="T54" s="29">
        <v>1.644</v>
      </c>
      <c r="U54" s="29">
        <v>1.105</v>
      </c>
      <c r="V54" s="29">
        <v>0.471</v>
      </c>
      <c r="W54" s="29">
        <v>0.679</v>
      </c>
      <c r="X54" s="29">
        <v>0.469</v>
      </c>
      <c r="Y54" s="35">
        <f>26.78+15.764+23.838+25.063+26.093+23.868+17.946</f>
        <v>159.352</v>
      </c>
      <c r="Z54" s="35">
        <f>16.109+20.85+24.874+61.398</f>
        <v>123.231</v>
      </c>
      <c r="AA54" s="35">
        <f>58.4+29.604+32.155</f>
        <v>120.159</v>
      </c>
      <c r="AB54" s="29">
        <v>86.662</v>
      </c>
      <c r="AC54" s="29">
        <v>120.183</v>
      </c>
      <c r="AD54" s="35">
        <f>33.054+24.772+36.521+93.721</f>
        <v>188.068</v>
      </c>
      <c r="AE54" s="35">
        <f>20.921+21.626+36.95+33.708+19.629</f>
        <v>132.834</v>
      </c>
      <c r="AF54" s="35">
        <f>23.181+77.112</f>
        <v>100.293</v>
      </c>
      <c r="AG54" s="29">
        <v>76.147</v>
      </c>
      <c r="AH54" s="29">
        <v>56.03</v>
      </c>
      <c r="AI54" s="30">
        <f t="shared" si="1"/>
        <v>1390.882626</v>
      </c>
      <c r="AJ54" s="30">
        <f t="shared" si="2"/>
        <v>139.0882626</v>
      </c>
      <c r="AK54" s="32">
        <f t="shared" si="3"/>
        <v>2.0228</v>
      </c>
      <c r="AL54" s="32">
        <f t="shared" si="4"/>
        <v>0.8622</v>
      </c>
      <c r="AM54" s="33">
        <f t="shared" si="5"/>
        <v>57.37591457</v>
      </c>
      <c r="AN54" s="33">
        <f t="shared" si="6"/>
        <v>0.4262408543</v>
      </c>
      <c r="AO54" s="33">
        <f>pi()*1.8*(0.4/2)^2</f>
        <v>0.2261946711</v>
      </c>
      <c r="AP54" s="29">
        <v>0.258</v>
      </c>
      <c r="AQ54" s="32">
        <f t="shared" si="7"/>
        <v>1.140610425</v>
      </c>
      <c r="AR54" s="30">
        <f t="shared" si="8"/>
        <v>1140.610425</v>
      </c>
      <c r="AS54" s="34">
        <f t="shared" si="9"/>
        <v>116.2959</v>
      </c>
    </row>
    <row r="55">
      <c r="A55" s="29" t="s">
        <v>1284</v>
      </c>
      <c r="B55" s="29" t="s">
        <v>1021</v>
      </c>
      <c r="C55" s="29" t="s">
        <v>1227</v>
      </c>
      <c r="D55" s="29" t="s">
        <v>1025</v>
      </c>
      <c r="E55" s="29">
        <v>1.252</v>
      </c>
      <c r="F55" s="29">
        <v>0.9</v>
      </c>
      <c r="G55" s="29">
        <v>1.981</v>
      </c>
      <c r="H55" s="29">
        <v>1.529</v>
      </c>
      <c r="I55" s="29">
        <v>0.877</v>
      </c>
      <c r="J55" s="29">
        <v>0.788</v>
      </c>
      <c r="K55" s="29">
        <v>1.391</v>
      </c>
      <c r="L55" s="29">
        <v>0.639</v>
      </c>
      <c r="M55" s="29">
        <v>1.383</v>
      </c>
      <c r="N55" s="29">
        <v>1.664</v>
      </c>
      <c r="O55" s="29">
        <v>0.512</v>
      </c>
      <c r="P55" s="29">
        <v>0.331</v>
      </c>
      <c r="Q55" s="29">
        <v>0.812</v>
      </c>
      <c r="R55" s="29">
        <v>0.592</v>
      </c>
      <c r="S55" s="29">
        <v>0.304</v>
      </c>
      <c r="T55" s="29">
        <v>0.291</v>
      </c>
      <c r="U55" s="29">
        <v>0.51</v>
      </c>
      <c r="V55" s="29">
        <v>0.237</v>
      </c>
      <c r="W55" s="29">
        <v>0.505</v>
      </c>
      <c r="X55" s="29">
        <v>0.605</v>
      </c>
      <c r="Y55" s="29">
        <v>36.709</v>
      </c>
      <c r="Z55" s="29">
        <v>28.823</v>
      </c>
      <c r="AA55" s="29">
        <v>60.7</v>
      </c>
      <c r="AB55" s="29">
        <v>44.145</v>
      </c>
      <c r="AC55" s="29">
        <v>31.42</v>
      </c>
      <c r="AD55" s="29">
        <v>27.3</v>
      </c>
      <c r="AE55" s="29">
        <v>43.512</v>
      </c>
      <c r="AF55" s="29">
        <v>20.234</v>
      </c>
      <c r="AG55" s="29">
        <v>42.575</v>
      </c>
      <c r="AH55" s="29">
        <v>52.02</v>
      </c>
      <c r="AI55" s="30">
        <f t="shared" si="1"/>
        <v>846.2520392</v>
      </c>
      <c r="AJ55" s="30">
        <f t="shared" si="2"/>
        <v>84.62520392</v>
      </c>
      <c r="AK55" s="32">
        <f t="shared" si="3"/>
        <v>1.2404</v>
      </c>
      <c r="AL55" s="32">
        <f t="shared" si="4"/>
        <v>0.4699</v>
      </c>
      <c r="AM55" s="33">
        <f t="shared" si="5"/>
        <v>62.11705901</v>
      </c>
      <c r="AN55" s="33">
        <f t="shared" si="6"/>
        <v>0.3788294099</v>
      </c>
      <c r="AO55" s="33">
        <f>pi()*1.2*(0.5/2)^2</f>
        <v>0.235619449</v>
      </c>
      <c r="AP55" s="29">
        <v>0.156</v>
      </c>
      <c r="AQ55" s="32">
        <f t="shared" si="7"/>
        <v>0.6620845633</v>
      </c>
      <c r="AR55" s="30">
        <f t="shared" si="8"/>
        <v>662.0845633</v>
      </c>
      <c r="AS55" s="34">
        <f t="shared" si="9"/>
        <v>38.7438</v>
      </c>
    </row>
    <row r="56">
      <c r="A56" s="29" t="s">
        <v>1285</v>
      </c>
      <c r="B56" s="29" t="s">
        <v>1021</v>
      </c>
      <c r="C56" s="29" t="s">
        <v>1227</v>
      </c>
      <c r="D56" s="29" t="s">
        <v>767</v>
      </c>
      <c r="E56" s="29">
        <v>0.97</v>
      </c>
      <c r="F56" s="29">
        <v>0.838</v>
      </c>
      <c r="G56" s="29">
        <v>1.315</v>
      </c>
      <c r="H56" s="29">
        <v>1.16</v>
      </c>
      <c r="I56" s="29">
        <v>0.922</v>
      </c>
      <c r="J56" s="29">
        <v>0.759</v>
      </c>
      <c r="K56" s="29">
        <v>1.056</v>
      </c>
      <c r="L56" s="29">
        <v>0.595</v>
      </c>
      <c r="M56" s="29">
        <v>0.675</v>
      </c>
      <c r="N56" s="29">
        <v>0.655</v>
      </c>
      <c r="O56" s="29">
        <v>0.356</v>
      </c>
      <c r="P56" s="29">
        <v>0.292</v>
      </c>
      <c r="Q56" s="29">
        <v>0.463</v>
      </c>
      <c r="R56" s="29">
        <v>0.428</v>
      </c>
      <c r="S56" s="29">
        <v>0.334</v>
      </c>
      <c r="T56" s="29">
        <v>0.275</v>
      </c>
      <c r="U56" s="29">
        <v>0.382</v>
      </c>
      <c r="V56" s="29">
        <v>0.215</v>
      </c>
      <c r="W56" s="29">
        <v>0.254</v>
      </c>
      <c r="X56" s="29">
        <v>0.236</v>
      </c>
      <c r="Y56" s="29">
        <v>30.137</v>
      </c>
      <c r="Z56" s="29">
        <v>26.925</v>
      </c>
      <c r="AA56" s="29">
        <v>42.149</v>
      </c>
      <c r="AB56" s="29">
        <v>35.183</v>
      </c>
      <c r="AC56" s="29">
        <v>29.905</v>
      </c>
      <c r="AD56" s="29">
        <v>23.622</v>
      </c>
      <c r="AE56" s="29">
        <v>32.32</v>
      </c>
      <c r="AF56" s="29">
        <v>20.965</v>
      </c>
      <c r="AG56" s="29">
        <v>19.88</v>
      </c>
      <c r="AH56" s="29">
        <v>21.414</v>
      </c>
      <c r="AI56" s="30">
        <f t="shared" si="1"/>
        <v>876.6592991</v>
      </c>
      <c r="AJ56" s="30">
        <f t="shared" si="2"/>
        <v>87.66592991</v>
      </c>
      <c r="AK56" s="32">
        <f t="shared" si="3"/>
        <v>0.8945</v>
      </c>
      <c r="AL56" s="32">
        <f t="shared" si="4"/>
        <v>0.3235</v>
      </c>
      <c r="AM56" s="33">
        <f t="shared" si="5"/>
        <v>63.83454444</v>
      </c>
      <c r="AN56" s="33">
        <f t="shared" si="6"/>
        <v>0.3616545556</v>
      </c>
      <c r="AO56" s="33">
        <f>pi()*1.8*(0.5/2)^2</f>
        <v>0.3534291735</v>
      </c>
      <c r="AP56" s="29">
        <v>0.257</v>
      </c>
      <c r="AQ56" s="32">
        <f t="shared" si="7"/>
        <v>0.7271612511</v>
      </c>
      <c r="AR56" s="30">
        <f t="shared" si="8"/>
        <v>727.1612511</v>
      </c>
      <c r="AS56" s="34">
        <f t="shared" si="9"/>
        <v>28.25</v>
      </c>
    </row>
    <row r="57">
      <c r="A57" s="29" t="s">
        <v>1286</v>
      </c>
      <c r="B57" s="29" t="s">
        <v>1021</v>
      </c>
      <c r="C57" s="29" t="s">
        <v>1227</v>
      </c>
      <c r="D57" s="29" t="s">
        <v>1096</v>
      </c>
      <c r="E57" s="29">
        <v>0.794</v>
      </c>
      <c r="F57" s="29">
        <v>0.921</v>
      </c>
      <c r="G57" s="29">
        <v>0.727</v>
      </c>
      <c r="H57" s="29">
        <v>0.486</v>
      </c>
      <c r="I57" s="29">
        <v>0.572</v>
      </c>
      <c r="J57" s="29">
        <v>0.754</v>
      </c>
      <c r="K57" s="29">
        <v>0.878</v>
      </c>
      <c r="L57" s="29">
        <v>0.933</v>
      </c>
      <c r="M57" s="29">
        <v>1.225</v>
      </c>
      <c r="N57" s="29">
        <v>0.551</v>
      </c>
      <c r="O57" s="29">
        <v>0.323</v>
      </c>
      <c r="P57" s="29">
        <v>0.371</v>
      </c>
      <c r="Q57" s="29">
        <v>0.301</v>
      </c>
      <c r="R57" s="29">
        <v>0.189</v>
      </c>
      <c r="S57" s="29">
        <v>0.217</v>
      </c>
      <c r="T57" s="29">
        <v>0.316</v>
      </c>
      <c r="U57" s="29">
        <v>0.347</v>
      </c>
      <c r="V57" s="29">
        <v>0.395</v>
      </c>
      <c r="W57" s="29">
        <v>0.524</v>
      </c>
      <c r="X57" s="29">
        <v>0.22</v>
      </c>
      <c r="Y57" s="29">
        <v>22.453</v>
      </c>
      <c r="Z57" s="29">
        <v>25.592</v>
      </c>
      <c r="AA57" s="29">
        <v>21.639</v>
      </c>
      <c r="AB57" s="29">
        <v>14.671</v>
      </c>
      <c r="AC57" s="29">
        <v>18.049</v>
      </c>
      <c r="AD57" s="29">
        <v>19.435</v>
      </c>
      <c r="AE57" s="29">
        <v>25.585</v>
      </c>
      <c r="AF57" s="29">
        <v>26.08</v>
      </c>
      <c r="AG57" s="29">
        <v>31.439</v>
      </c>
      <c r="AH57" s="29">
        <v>16.739</v>
      </c>
      <c r="AI57" s="30">
        <f t="shared" si="1"/>
        <v>708.529808</v>
      </c>
      <c r="AJ57" s="30">
        <f t="shared" si="2"/>
        <v>70.8529808</v>
      </c>
      <c r="AK57" s="32">
        <f t="shared" si="3"/>
        <v>0.7841</v>
      </c>
      <c r="AL57" s="32">
        <f t="shared" si="4"/>
        <v>0.3203</v>
      </c>
      <c r="AM57" s="33">
        <f t="shared" si="5"/>
        <v>59.15061854</v>
      </c>
      <c r="AN57" s="33">
        <f t="shared" si="6"/>
        <v>0.4084938146</v>
      </c>
      <c r="AO57" s="33">
        <f>pi()*2.4*(0.5/2)^2</f>
        <v>0.471238898</v>
      </c>
      <c r="AP57" s="29">
        <v>0.437</v>
      </c>
      <c r="AQ57" s="32">
        <f t="shared" si="7"/>
        <v>0.9273428017</v>
      </c>
      <c r="AR57" s="30">
        <f t="shared" si="8"/>
        <v>927.3428017</v>
      </c>
      <c r="AS57" s="34">
        <f t="shared" si="9"/>
        <v>22.1682</v>
      </c>
    </row>
    <row r="58">
      <c r="A58" s="29" t="s">
        <v>1287</v>
      </c>
      <c r="B58" s="29" t="s">
        <v>1021</v>
      </c>
      <c r="C58" s="29" t="s">
        <v>1227</v>
      </c>
      <c r="D58" s="29" t="s">
        <v>98</v>
      </c>
      <c r="E58" s="29">
        <v>0.481</v>
      </c>
      <c r="F58" s="29">
        <v>0.203</v>
      </c>
      <c r="G58" s="29">
        <v>0.316</v>
      </c>
      <c r="H58" s="29">
        <v>0.294</v>
      </c>
      <c r="I58" s="29">
        <v>0.491</v>
      </c>
      <c r="J58" s="29">
        <v>0.29</v>
      </c>
      <c r="K58" s="29">
        <v>0.336</v>
      </c>
      <c r="L58" s="29">
        <v>0.273</v>
      </c>
      <c r="M58" s="29">
        <v>0.662</v>
      </c>
      <c r="N58" s="29">
        <v>0.389</v>
      </c>
      <c r="O58" s="29">
        <v>0.203</v>
      </c>
      <c r="P58" s="29">
        <v>0.088</v>
      </c>
      <c r="Q58" s="29">
        <v>0.137</v>
      </c>
      <c r="R58" s="29">
        <v>0.132</v>
      </c>
      <c r="S58" s="29">
        <v>0.215</v>
      </c>
      <c r="T58" s="29">
        <v>0.128</v>
      </c>
      <c r="U58" s="29">
        <v>0.142</v>
      </c>
      <c r="V58" s="29">
        <v>0.119</v>
      </c>
      <c r="W58" s="29">
        <v>0.289</v>
      </c>
      <c r="X58" s="29">
        <v>0.172</v>
      </c>
      <c r="Y58" s="29">
        <v>18.645</v>
      </c>
      <c r="Z58" s="29">
        <v>8.905</v>
      </c>
      <c r="AA58" s="29">
        <v>12.029</v>
      </c>
      <c r="AB58" s="29">
        <v>11.789</v>
      </c>
      <c r="AC58" s="29">
        <v>18.337</v>
      </c>
      <c r="AD58" s="29">
        <v>12.011</v>
      </c>
      <c r="AE58" s="29">
        <v>13.163</v>
      </c>
      <c r="AF58" s="29">
        <v>10.58</v>
      </c>
      <c r="AG58" s="29">
        <v>23.518</v>
      </c>
      <c r="AH58" s="29">
        <v>14.981</v>
      </c>
      <c r="AI58" s="30">
        <f t="shared" si="1"/>
        <v>899.3590538</v>
      </c>
      <c r="AJ58" s="30">
        <f t="shared" si="2"/>
        <v>89.93590538</v>
      </c>
      <c r="AK58" s="32">
        <f t="shared" si="3"/>
        <v>0.3735</v>
      </c>
      <c r="AL58" s="32">
        <f t="shared" si="4"/>
        <v>0.1625</v>
      </c>
      <c r="AM58" s="33">
        <f t="shared" si="5"/>
        <v>56.49263722</v>
      </c>
      <c r="AN58" s="33">
        <f t="shared" si="6"/>
        <v>0.4350736278</v>
      </c>
      <c r="AO58" s="33">
        <f>pi()*2.2*(0.5/2)^2</f>
        <v>0.4319689899</v>
      </c>
      <c r="AP58" s="29">
        <v>0.357</v>
      </c>
      <c r="AQ58" s="32">
        <f t="shared" si="7"/>
        <v>0.8264482136</v>
      </c>
      <c r="AR58" s="30">
        <f t="shared" si="8"/>
        <v>826.4482136</v>
      </c>
      <c r="AS58" s="34">
        <f t="shared" si="9"/>
        <v>14.3958</v>
      </c>
    </row>
    <row r="59">
      <c r="A59" s="29" t="s">
        <v>1288</v>
      </c>
      <c r="B59" s="29" t="s">
        <v>1021</v>
      </c>
      <c r="C59" s="29" t="s">
        <v>1227</v>
      </c>
      <c r="D59" s="29" t="s">
        <v>232</v>
      </c>
      <c r="E59" s="29">
        <v>0.486</v>
      </c>
      <c r="F59" s="29">
        <v>0.443</v>
      </c>
      <c r="G59" s="29">
        <v>0.611</v>
      </c>
      <c r="H59" s="29">
        <v>0.49</v>
      </c>
      <c r="I59" s="29">
        <v>0.414</v>
      </c>
      <c r="J59" s="29">
        <v>0.342</v>
      </c>
      <c r="K59" s="29">
        <v>0.38</v>
      </c>
      <c r="L59" s="29">
        <v>0.651</v>
      </c>
      <c r="M59" s="29">
        <v>0.544</v>
      </c>
      <c r="N59" s="29">
        <v>0.592</v>
      </c>
      <c r="O59" s="29">
        <v>0.235</v>
      </c>
      <c r="P59" s="29">
        <v>0.209</v>
      </c>
      <c r="Q59" s="29">
        <v>0.319</v>
      </c>
      <c r="R59" s="29">
        <v>0.253</v>
      </c>
      <c r="S59" s="29">
        <v>0.207</v>
      </c>
      <c r="T59" s="29">
        <v>0.163</v>
      </c>
      <c r="U59" s="29">
        <v>0.189</v>
      </c>
      <c r="V59" s="29">
        <v>0.335</v>
      </c>
      <c r="W59" s="29">
        <v>0.278</v>
      </c>
      <c r="X59" s="29">
        <v>0.325</v>
      </c>
      <c r="Y59" s="29">
        <v>17.234</v>
      </c>
      <c r="Z59" s="29">
        <v>17.978</v>
      </c>
      <c r="AA59" s="29">
        <v>20.61</v>
      </c>
      <c r="AB59" s="29">
        <v>16.905</v>
      </c>
      <c r="AC59" s="29">
        <v>16.719</v>
      </c>
      <c r="AD59" s="29">
        <v>13.686</v>
      </c>
      <c r="AE59" s="29">
        <v>13.427</v>
      </c>
      <c r="AF59" s="29">
        <v>21.458</v>
      </c>
      <c r="AG59" s="29">
        <v>20.923</v>
      </c>
      <c r="AH59" s="29">
        <v>20.976</v>
      </c>
      <c r="AI59" s="30">
        <f t="shared" si="1"/>
        <v>730.4131352</v>
      </c>
      <c r="AJ59" s="30">
        <f t="shared" si="2"/>
        <v>73.04131352</v>
      </c>
      <c r="AK59" s="32">
        <f t="shared" si="3"/>
        <v>0.4953</v>
      </c>
      <c r="AL59" s="32">
        <f t="shared" si="4"/>
        <v>0.2513</v>
      </c>
      <c r="AM59" s="33">
        <f t="shared" si="5"/>
        <v>49.26307289</v>
      </c>
      <c r="AN59" s="33">
        <f t="shared" si="6"/>
        <v>0.5073692711</v>
      </c>
      <c r="AO59" s="33">
        <f>pi()*1.7*(0.5/2)^2</f>
        <v>0.3337942194</v>
      </c>
      <c r="AP59" s="29">
        <v>0.252</v>
      </c>
      <c r="AQ59" s="32">
        <f t="shared" si="7"/>
        <v>0.7549561536</v>
      </c>
      <c r="AR59" s="30">
        <f t="shared" si="8"/>
        <v>754.9561536</v>
      </c>
      <c r="AS59" s="34">
        <f t="shared" si="9"/>
        <v>17.9916</v>
      </c>
    </row>
    <row r="60">
      <c r="A60" s="29" t="s">
        <v>1289</v>
      </c>
      <c r="B60" s="29" t="s">
        <v>1021</v>
      </c>
      <c r="C60" s="29" t="s">
        <v>1227</v>
      </c>
      <c r="D60" s="29" t="s">
        <v>122</v>
      </c>
      <c r="E60" s="29">
        <v>0.339</v>
      </c>
      <c r="F60" s="29">
        <v>0.312</v>
      </c>
      <c r="G60" s="29">
        <v>0.314</v>
      </c>
      <c r="H60" s="29">
        <v>0.226</v>
      </c>
      <c r="I60" s="29">
        <v>0.374</v>
      </c>
      <c r="J60" s="29">
        <v>0.297</v>
      </c>
      <c r="K60" s="29">
        <v>0.492</v>
      </c>
      <c r="L60" s="29">
        <v>0.244</v>
      </c>
      <c r="M60" s="29">
        <v>0.442</v>
      </c>
      <c r="N60" s="29">
        <v>0.35</v>
      </c>
      <c r="O60" s="29">
        <v>0.15</v>
      </c>
      <c r="P60" s="29">
        <v>0.138</v>
      </c>
      <c r="Q60" s="29">
        <v>0.141</v>
      </c>
      <c r="R60" s="29">
        <v>0.104</v>
      </c>
      <c r="S60" s="29">
        <v>0.163</v>
      </c>
      <c r="T60" s="29">
        <v>0.131</v>
      </c>
      <c r="U60" s="29">
        <v>0.232</v>
      </c>
      <c r="V60" s="29">
        <v>0.107</v>
      </c>
      <c r="W60" s="29">
        <v>0.202</v>
      </c>
      <c r="X60" s="29">
        <v>0.159</v>
      </c>
      <c r="Y60" s="29">
        <v>21.194</v>
      </c>
      <c r="Z60" s="29">
        <v>20.364</v>
      </c>
      <c r="AA60" s="29">
        <v>20.131</v>
      </c>
      <c r="AB60" s="29">
        <v>14.944</v>
      </c>
      <c r="AC60" s="29">
        <v>23.125</v>
      </c>
      <c r="AD60" s="29">
        <v>19.047</v>
      </c>
      <c r="AE60" s="29">
        <v>31.98</v>
      </c>
      <c r="AF60" s="29">
        <v>15.787</v>
      </c>
      <c r="AG60" s="29">
        <v>26.365</v>
      </c>
      <c r="AH60" s="29">
        <v>22.212</v>
      </c>
      <c r="AI60" s="30">
        <f t="shared" si="1"/>
        <v>1418.196819</v>
      </c>
      <c r="AJ60" s="30">
        <f t="shared" si="2"/>
        <v>141.8196819</v>
      </c>
      <c r="AK60" s="32">
        <f t="shared" si="3"/>
        <v>0.339</v>
      </c>
      <c r="AL60" s="32">
        <f t="shared" si="4"/>
        <v>0.1527</v>
      </c>
      <c r="AM60" s="33">
        <f t="shared" si="5"/>
        <v>54.95575221</v>
      </c>
      <c r="AN60" s="33">
        <f t="shared" si="6"/>
        <v>0.4504424779</v>
      </c>
      <c r="AO60" s="33">
        <f t="shared" ref="AO60:AO61" si="10">pi()*2.1*(0.55/2)^2</f>
        <v>0.4989241833</v>
      </c>
      <c r="AP60" s="29">
        <v>0.207</v>
      </c>
      <c r="AQ60" s="32">
        <f t="shared" si="7"/>
        <v>0.414892697</v>
      </c>
      <c r="AR60" s="30">
        <f t="shared" si="8"/>
        <v>414.892697</v>
      </c>
      <c r="AS60" s="34">
        <f t="shared" si="9"/>
        <v>21.5149</v>
      </c>
    </row>
    <row r="61">
      <c r="A61" s="29" t="s">
        <v>1290</v>
      </c>
      <c r="B61" s="29" t="s">
        <v>1021</v>
      </c>
      <c r="C61" s="29" t="s">
        <v>1227</v>
      </c>
      <c r="D61" s="29" t="s">
        <v>232</v>
      </c>
      <c r="E61" s="29">
        <v>0.623</v>
      </c>
      <c r="F61" s="29">
        <v>0.488</v>
      </c>
      <c r="G61" s="29">
        <v>0.655</v>
      </c>
      <c r="H61" s="29">
        <v>0.627</v>
      </c>
      <c r="I61" s="29">
        <v>0.721</v>
      </c>
      <c r="J61" s="29">
        <v>0.438</v>
      </c>
      <c r="K61" s="29">
        <v>0.383</v>
      </c>
      <c r="L61" s="29">
        <v>0.5</v>
      </c>
      <c r="M61" s="29">
        <v>0.628</v>
      </c>
      <c r="N61" s="29">
        <v>0.36</v>
      </c>
      <c r="O61" s="29">
        <v>0.312</v>
      </c>
      <c r="P61" s="29">
        <v>0.248</v>
      </c>
      <c r="Q61" s="29">
        <v>0.343</v>
      </c>
      <c r="R61" s="29">
        <v>0.312</v>
      </c>
      <c r="S61" s="29">
        <v>0.374</v>
      </c>
      <c r="T61" s="29">
        <v>0.225</v>
      </c>
      <c r="U61" s="29">
        <v>0.188</v>
      </c>
      <c r="V61" s="29">
        <v>0.248</v>
      </c>
      <c r="W61" s="29">
        <v>0.323</v>
      </c>
      <c r="X61" s="29">
        <v>0.199</v>
      </c>
      <c r="Y61" s="29">
        <v>22.094</v>
      </c>
      <c r="Z61" s="29">
        <v>18.298</v>
      </c>
      <c r="AA61" s="29">
        <v>20.712</v>
      </c>
      <c r="AB61" s="29">
        <v>24.637</v>
      </c>
      <c r="AC61" s="29">
        <v>25.943</v>
      </c>
      <c r="AD61" s="29">
        <v>15.778</v>
      </c>
      <c r="AE61" s="29">
        <v>13.163</v>
      </c>
      <c r="AF61" s="29">
        <v>17.667</v>
      </c>
      <c r="AG61" s="29">
        <v>21.843</v>
      </c>
      <c r="AH61" s="29">
        <v>12.305</v>
      </c>
      <c r="AI61" s="30">
        <f t="shared" si="1"/>
        <v>694.150117</v>
      </c>
      <c r="AJ61" s="30">
        <f t="shared" si="2"/>
        <v>69.4150117</v>
      </c>
      <c r="AK61" s="32">
        <f t="shared" si="3"/>
        <v>0.5423</v>
      </c>
      <c r="AL61" s="32">
        <f t="shared" si="4"/>
        <v>0.2772</v>
      </c>
      <c r="AM61" s="33">
        <f t="shared" si="5"/>
        <v>48.88438134</v>
      </c>
      <c r="AN61" s="33">
        <f t="shared" si="6"/>
        <v>0.5111561866</v>
      </c>
      <c r="AO61" s="33">
        <f t="shared" si="10"/>
        <v>0.4989241833</v>
      </c>
      <c r="AP61" s="29">
        <v>0.396</v>
      </c>
      <c r="AQ61" s="32">
        <f t="shared" si="7"/>
        <v>0.7937077681</v>
      </c>
      <c r="AR61" s="30">
        <f t="shared" si="8"/>
        <v>793.7077681</v>
      </c>
      <c r="AS61" s="34">
        <f t="shared" si="9"/>
        <v>19.244</v>
      </c>
    </row>
    <row r="62">
      <c r="A62" s="29" t="s">
        <v>1291</v>
      </c>
      <c r="B62" s="29" t="s">
        <v>1021</v>
      </c>
      <c r="C62" s="29" t="s">
        <v>1227</v>
      </c>
      <c r="D62" s="29" t="s">
        <v>98</v>
      </c>
      <c r="E62" s="29">
        <v>0.722</v>
      </c>
      <c r="F62" s="29">
        <v>0.521</v>
      </c>
      <c r="G62" s="29">
        <v>0.43</v>
      </c>
      <c r="H62" s="29">
        <v>0.889</v>
      </c>
      <c r="I62" s="29">
        <v>0.39</v>
      </c>
      <c r="J62" s="29">
        <v>0.592</v>
      </c>
      <c r="K62" s="29">
        <v>0.876</v>
      </c>
      <c r="L62" s="29">
        <v>0.719</v>
      </c>
      <c r="M62" s="29">
        <v>0.774</v>
      </c>
      <c r="N62" s="29">
        <v>0.426</v>
      </c>
      <c r="O62" s="29">
        <v>0.316</v>
      </c>
      <c r="P62" s="29">
        <v>0.23</v>
      </c>
      <c r="Q62" s="29">
        <v>0.185</v>
      </c>
      <c r="R62" s="29">
        <v>0.394</v>
      </c>
      <c r="S62" s="29">
        <v>0.171</v>
      </c>
      <c r="T62" s="29">
        <v>0.265</v>
      </c>
      <c r="U62" s="29">
        <v>0.386</v>
      </c>
      <c r="V62" s="29">
        <v>0.317</v>
      </c>
      <c r="W62" s="29">
        <v>0.347</v>
      </c>
      <c r="X62" s="29">
        <v>0.179</v>
      </c>
      <c r="Y62" s="29">
        <v>27.408</v>
      </c>
      <c r="Z62" s="29">
        <v>19.54</v>
      </c>
      <c r="AA62" s="29">
        <v>18.105</v>
      </c>
      <c r="AB62" s="29">
        <v>31.842</v>
      </c>
      <c r="AC62" s="29">
        <v>16.119</v>
      </c>
      <c r="AD62" s="29">
        <v>22.943</v>
      </c>
      <c r="AE62" s="29">
        <v>30.464</v>
      </c>
      <c r="AF62" s="29">
        <v>25.522</v>
      </c>
      <c r="AG62" s="29">
        <v>27.965</v>
      </c>
      <c r="AH62" s="29">
        <v>17.652</v>
      </c>
      <c r="AI62" s="30">
        <f t="shared" si="1"/>
        <v>869.8519631</v>
      </c>
      <c r="AJ62" s="30">
        <f t="shared" si="2"/>
        <v>86.98519631</v>
      </c>
      <c r="AK62" s="32">
        <f t="shared" si="3"/>
        <v>0.6339</v>
      </c>
      <c r="AL62" s="32">
        <f t="shared" si="4"/>
        <v>0.279</v>
      </c>
      <c r="AM62" s="33">
        <f t="shared" si="5"/>
        <v>55.9867487</v>
      </c>
      <c r="AN62" s="33">
        <f t="shared" si="6"/>
        <v>0.440132513</v>
      </c>
      <c r="AO62" s="33">
        <f>pi()*2.2*(0.5/2)^2</f>
        <v>0.4319689899</v>
      </c>
      <c r="AP62" s="29">
        <v>0.389</v>
      </c>
      <c r="AQ62" s="32">
        <f t="shared" si="7"/>
        <v>0.9005276053</v>
      </c>
      <c r="AR62" s="30">
        <f t="shared" si="8"/>
        <v>900.5276053</v>
      </c>
      <c r="AS62" s="34">
        <f t="shared" si="9"/>
        <v>23.756</v>
      </c>
    </row>
    <row r="63">
      <c r="A63" s="29" t="s">
        <v>1292</v>
      </c>
      <c r="B63" s="29" t="s">
        <v>1021</v>
      </c>
      <c r="C63" s="29" t="s">
        <v>1227</v>
      </c>
      <c r="D63" s="29" t="s">
        <v>1025</v>
      </c>
      <c r="E63" s="29">
        <v>0.805</v>
      </c>
      <c r="F63" s="29">
        <v>1.684</v>
      </c>
      <c r="G63" s="29">
        <v>0.698</v>
      </c>
      <c r="H63" s="29">
        <v>1.104</v>
      </c>
      <c r="I63" s="29">
        <v>1.745</v>
      </c>
      <c r="J63" s="29">
        <v>1.36</v>
      </c>
      <c r="K63" s="29">
        <v>0.88</v>
      </c>
      <c r="L63" s="29">
        <v>0.727</v>
      </c>
      <c r="M63" s="29">
        <v>1.406</v>
      </c>
      <c r="N63" s="29">
        <v>1.119</v>
      </c>
      <c r="O63" s="29">
        <v>0.329</v>
      </c>
      <c r="P63" s="29">
        <v>0.704</v>
      </c>
      <c r="Q63" s="29">
        <v>0.293</v>
      </c>
      <c r="R63" s="29">
        <v>0.481</v>
      </c>
      <c r="S63" s="29">
        <v>0.746</v>
      </c>
      <c r="T63" s="29">
        <v>0.606</v>
      </c>
      <c r="U63" s="29">
        <v>0.378</v>
      </c>
      <c r="V63" s="29">
        <v>0.288</v>
      </c>
      <c r="W63" s="29">
        <v>0.599</v>
      </c>
      <c r="X63" s="29">
        <v>0.463</v>
      </c>
      <c r="Y63" s="29">
        <v>26.313</v>
      </c>
      <c r="Z63" s="29">
        <v>51.826</v>
      </c>
      <c r="AA63" s="29">
        <v>23.894</v>
      </c>
      <c r="AB63" s="29">
        <v>32.949</v>
      </c>
      <c r="AC63" s="29">
        <v>49.22</v>
      </c>
      <c r="AD63" s="29">
        <v>35.771</v>
      </c>
      <c r="AE63" s="29">
        <v>27.345</v>
      </c>
      <c r="AF63" s="29">
        <v>20.79</v>
      </c>
      <c r="AG63" s="29">
        <v>39.711</v>
      </c>
      <c r="AH63" s="29">
        <v>35.607</v>
      </c>
      <c r="AI63" s="30">
        <f t="shared" si="1"/>
        <v>716.3815632</v>
      </c>
      <c r="AJ63" s="30">
        <f t="shared" si="2"/>
        <v>71.63815632</v>
      </c>
      <c r="AK63" s="32">
        <f t="shared" si="3"/>
        <v>1.1528</v>
      </c>
      <c r="AL63" s="32">
        <f t="shared" si="4"/>
        <v>0.4887</v>
      </c>
      <c r="AM63" s="33">
        <f t="shared" si="5"/>
        <v>57.60756419</v>
      </c>
      <c r="AN63" s="33">
        <f t="shared" si="6"/>
        <v>0.4239243581</v>
      </c>
      <c r="AO63" s="33">
        <f>pi()*1.3*(0.5/2)^2</f>
        <v>0.2552544031</v>
      </c>
      <c r="AP63" s="29">
        <v>0.166</v>
      </c>
      <c r="AQ63" s="32">
        <f t="shared" si="7"/>
        <v>0.6503315828</v>
      </c>
      <c r="AR63" s="30">
        <f t="shared" si="8"/>
        <v>650.3315828</v>
      </c>
      <c r="AS63" s="34">
        <f t="shared" si="9"/>
        <v>34.3426</v>
      </c>
    </row>
    <row r="64">
      <c r="A64" s="29" t="s">
        <v>1293</v>
      </c>
      <c r="B64" s="29" t="s">
        <v>1021</v>
      </c>
      <c r="C64" s="29" t="s">
        <v>1227</v>
      </c>
      <c r="D64" s="29" t="s">
        <v>1294</v>
      </c>
      <c r="E64" s="29">
        <v>1.198</v>
      </c>
      <c r="F64" s="29">
        <v>1.925</v>
      </c>
      <c r="G64" s="29">
        <v>2.54</v>
      </c>
      <c r="H64" s="29">
        <v>3.285</v>
      </c>
      <c r="I64" s="29">
        <v>2.17</v>
      </c>
      <c r="J64" s="29">
        <v>1.59</v>
      </c>
      <c r="K64" s="29">
        <v>3.48</v>
      </c>
      <c r="L64" s="29">
        <v>3.34</v>
      </c>
      <c r="M64" s="29">
        <v>2.93</v>
      </c>
      <c r="N64" s="29">
        <v>1.69</v>
      </c>
      <c r="O64" s="29">
        <v>0.307</v>
      </c>
      <c r="P64" s="29">
        <v>0.476</v>
      </c>
      <c r="Q64" s="29">
        <v>0.632</v>
      </c>
      <c r="R64" s="29">
        <v>0.772</v>
      </c>
      <c r="S64" s="29">
        <v>0.495</v>
      </c>
      <c r="T64" s="29">
        <v>0.369</v>
      </c>
      <c r="U64" s="29">
        <v>0.795</v>
      </c>
      <c r="V64" s="29">
        <v>0.789</v>
      </c>
      <c r="W64" s="29">
        <v>0.69</v>
      </c>
      <c r="X64" s="29">
        <v>0.363</v>
      </c>
      <c r="Y64" s="29">
        <v>47.465</v>
      </c>
      <c r="Z64" s="29">
        <v>75.466</v>
      </c>
      <c r="AA64" s="29">
        <v>95.323</v>
      </c>
      <c r="AB64" s="29">
        <v>129.56</v>
      </c>
      <c r="AC64" s="29">
        <v>85.138</v>
      </c>
      <c r="AD64" s="29">
        <v>63.439</v>
      </c>
      <c r="AE64" s="29">
        <v>128.83</v>
      </c>
      <c r="AF64" s="29">
        <v>130.129</v>
      </c>
      <c r="AG64" s="29">
        <v>109.606</v>
      </c>
      <c r="AH64" s="29">
        <v>66.132</v>
      </c>
      <c r="AI64" s="30">
        <f t="shared" si="1"/>
        <v>1643.730304</v>
      </c>
      <c r="AJ64" s="30">
        <f t="shared" si="2"/>
        <v>164.3730304</v>
      </c>
      <c r="AK64" s="32">
        <f t="shared" si="3"/>
        <v>2.4148</v>
      </c>
      <c r="AL64" s="32">
        <f t="shared" si="4"/>
        <v>0.5688</v>
      </c>
      <c r="AM64" s="33">
        <f t="shared" si="5"/>
        <v>76.44525427</v>
      </c>
      <c r="AN64" s="33">
        <f t="shared" si="6"/>
        <v>0.2355474573</v>
      </c>
      <c r="AO64" s="33">
        <f>pi()*3.1*(0.5/2)^2</f>
        <v>0.6086835766</v>
      </c>
      <c r="AP64" s="29">
        <v>0.386</v>
      </c>
      <c r="AQ64" s="32">
        <f t="shared" si="7"/>
        <v>0.6341554378</v>
      </c>
      <c r="AR64" s="30">
        <f t="shared" si="8"/>
        <v>634.1554378</v>
      </c>
      <c r="AS64" s="34">
        <f t="shared" si="9"/>
        <v>93.1088</v>
      </c>
    </row>
    <row r="65">
      <c r="A65" s="29" t="s">
        <v>1295</v>
      </c>
      <c r="B65" s="29" t="s">
        <v>1021</v>
      </c>
      <c r="C65" s="29" t="s">
        <v>1227</v>
      </c>
      <c r="D65" s="29" t="s">
        <v>761</v>
      </c>
      <c r="E65" s="29">
        <v>2.714</v>
      </c>
      <c r="F65" s="29">
        <v>1.628</v>
      </c>
      <c r="G65" s="29">
        <v>2.55</v>
      </c>
      <c r="H65" s="29">
        <v>3.621</v>
      </c>
      <c r="I65" s="29">
        <v>1.667</v>
      </c>
      <c r="J65" s="29">
        <v>3.33</v>
      </c>
      <c r="K65" s="29">
        <v>2.583</v>
      </c>
      <c r="L65" s="29">
        <v>3.031</v>
      </c>
      <c r="M65" s="29">
        <v>1.961</v>
      </c>
      <c r="N65" s="29">
        <v>3.079</v>
      </c>
      <c r="O65" s="29">
        <v>0.705</v>
      </c>
      <c r="P65" s="29">
        <v>0.416</v>
      </c>
      <c r="Q65" s="29">
        <v>0.637</v>
      </c>
      <c r="R65" s="29">
        <v>0.878</v>
      </c>
      <c r="S65" s="29">
        <v>0.417</v>
      </c>
      <c r="T65" s="29">
        <v>0.804</v>
      </c>
      <c r="U65" s="29">
        <v>0.617</v>
      </c>
      <c r="V65" s="29">
        <v>0.718</v>
      </c>
      <c r="W65" s="29">
        <v>0.515</v>
      </c>
      <c r="X65" s="29">
        <v>0.736</v>
      </c>
      <c r="Y65" s="29">
        <v>47.892</v>
      </c>
      <c r="Z65" s="29">
        <v>29.282</v>
      </c>
      <c r="AA65" s="29">
        <v>43.718</v>
      </c>
      <c r="AB65" s="29">
        <v>60.027</v>
      </c>
      <c r="AC65" s="29">
        <v>31.687</v>
      </c>
      <c r="AD65" s="29">
        <v>57.079</v>
      </c>
      <c r="AE65" s="29">
        <v>48.11</v>
      </c>
      <c r="AF65" s="29">
        <v>55.702</v>
      </c>
      <c r="AG65" s="29">
        <v>36.63</v>
      </c>
      <c r="AH65" s="29">
        <v>53.063</v>
      </c>
      <c r="AI65" s="30">
        <f t="shared" si="1"/>
        <v>721.0782297</v>
      </c>
      <c r="AJ65" s="30">
        <f t="shared" si="2"/>
        <v>72.10782297</v>
      </c>
      <c r="AK65" s="32">
        <f t="shared" si="3"/>
        <v>2.6164</v>
      </c>
      <c r="AL65" s="32">
        <f t="shared" si="4"/>
        <v>0.6443</v>
      </c>
      <c r="AM65" s="33">
        <f t="shared" si="5"/>
        <v>75.37456046</v>
      </c>
      <c r="AN65" s="33">
        <f t="shared" si="6"/>
        <v>0.2462543954</v>
      </c>
      <c r="AO65" s="33">
        <f>pi()*1.7*(0.5/2)^2</f>
        <v>0.3337942194</v>
      </c>
      <c r="AP65" s="29">
        <v>0.297</v>
      </c>
      <c r="AQ65" s="32">
        <f t="shared" si="7"/>
        <v>0.8897697524</v>
      </c>
      <c r="AR65" s="30">
        <f t="shared" si="8"/>
        <v>889.7697524</v>
      </c>
      <c r="AS65" s="34">
        <f t="shared" si="9"/>
        <v>46.319</v>
      </c>
    </row>
    <row r="66">
      <c r="A66" s="29" t="s">
        <v>1296</v>
      </c>
      <c r="B66" s="29" t="s">
        <v>1021</v>
      </c>
      <c r="C66" s="29" t="s">
        <v>1227</v>
      </c>
      <c r="D66" s="29" t="s">
        <v>50</v>
      </c>
      <c r="E66" s="29">
        <v>0.165</v>
      </c>
      <c r="F66" s="29">
        <v>0.278</v>
      </c>
      <c r="G66" s="29">
        <v>0.254</v>
      </c>
      <c r="H66" s="29">
        <v>0.225</v>
      </c>
      <c r="I66" s="29">
        <v>0.202</v>
      </c>
      <c r="J66" s="29">
        <v>0.236</v>
      </c>
      <c r="K66" s="29">
        <v>0.255</v>
      </c>
      <c r="L66" s="29">
        <v>0.186</v>
      </c>
      <c r="M66" s="29">
        <v>0.197</v>
      </c>
      <c r="N66" s="29">
        <v>0.14</v>
      </c>
      <c r="O66" s="29">
        <v>0.085</v>
      </c>
      <c r="P66" s="29">
        <v>0.147</v>
      </c>
      <c r="Q66" s="29">
        <v>0.144</v>
      </c>
      <c r="R66" s="29">
        <v>0.117</v>
      </c>
      <c r="S66" s="29">
        <v>0.113</v>
      </c>
      <c r="T66" s="29">
        <v>0.12</v>
      </c>
      <c r="U66" s="29">
        <v>0.136</v>
      </c>
      <c r="V66" s="29">
        <v>0.096</v>
      </c>
      <c r="W66" s="29">
        <v>0.104</v>
      </c>
      <c r="X66" s="29">
        <v>0.074</v>
      </c>
      <c r="Y66" s="29">
        <v>8.314</v>
      </c>
      <c r="Z66" s="29">
        <v>13.735</v>
      </c>
      <c r="AA66" s="29">
        <v>10.093</v>
      </c>
      <c r="AB66" s="29">
        <v>11.23</v>
      </c>
      <c r="AC66" s="29">
        <v>10.83</v>
      </c>
      <c r="AD66" s="29">
        <v>11.215</v>
      </c>
      <c r="AE66" s="29">
        <v>12.17</v>
      </c>
      <c r="AF66" s="29">
        <v>9.827</v>
      </c>
      <c r="AG66" s="29">
        <v>9.711</v>
      </c>
      <c r="AH66" s="29">
        <v>7.297</v>
      </c>
      <c r="AI66" s="30">
        <f t="shared" si="1"/>
        <v>930.4523495</v>
      </c>
      <c r="AJ66" s="30">
        <f t="shared" si="2"/>
        <v>93.04523495</v>
      </c>
      <c r="AK66" s="32">
        <f t="shared" si="3"/>
        <v>0.2138</v>
      </c>
      <c r="AL66" s="32">
        <f t="shared" si="4"/>
        <v>0.1136</v>
      </c>
      <c r="AM66" s="33">
        <f t="shared" si="5"/>
        <v>46.86623012</v>
      </c>
      <c r="AN66" s="33">
        <f t="shared" si="6"/>
        <v>0.5313376988</v>
      </c>
      <c r="AO66" s="33">
        <f>pi()*1.2*(0.5/2)^2</f>
        <v>0.235619449</v>
      </c>
      <c r="AP66" s="29">
        <v>0.133</v>
      </c>
      <c r="AQ66" s="32">
        <f t="shared" si="7"/>
        <v>0.5644695315</v>
      </c>
      <c r="AR66" s="30">
        <f t="shared" si="8"/>
        <v>564.4695315</v>
      </c>
      <c r="AS66" s="34">
        <f t="shared" si="9"/>
        <v>10.4422</v>
      </c>
    </row>
    <row r="67">
      <c r="A67" s="29" t="s">
        <v>1297</v>
      </c>
      <c r="B67" s="29" t="s">
        <v>1021</v>
      </c>
      <c r="C67" s="29" t="s">
        <v>1227</v>
      </c>
      <c r="D67" s="29" t="s">
        <v>1298</v>
      </c>
      <c r="E67" s="29">
        <v>2.678</v>
      </c>
      <c r="F67" s="29">
        <v>2.722</v>
      </c>
      <c r="G67" s="29">
        <v>3.923</v>
      </c>
      <c r="H67" s="29">
        <v>1.617</v>
      </c>
      <c r="I67" s="29">
        <v>1.551</v>
      </c>
      <c r="J67" s="29">
        <v>3.112</v>
      </c>
      <c r="K67" s="29">
        <v>1.583</v>
      </c>
      <c r="L67" s="29">
        <v>1.844</v>
      </c>
      <c r="M67" s="29">
        <v>1.692</v>
      </c>
      <c r="N67" s="29">
        <v>3.256</v>
      </c>
      <c r="O67" s="29">
        <v>1.305</v>
      </c>
      <c r="P67" s="29">
        <v>1.336</v>
      </c>
      <c r="Q67" s="29">
        <v>1.957</v>
      </c>
      <c r="R67" s="29">
        <v>0.921</v>
      </c>
      <c r="S67" s="29">
        <v>0.771</v>
      </c>
      <c r="T67" s="29">
        <v>1.322</v>
      </c>
      <c r="U67" s="29">
        <v>0.787</v>
      </c>
      <c r="V67" s="29">
        <v>0.922</v>
      </c>
      <c r="W67" s="29">
        <v>0.858</v>
      </c>
      <c r="X67" s="29">
        <v>1.611</v>
      </c>
      <c r="Y67" s="29">
        <v>105.554</v>
      </c>
      <c r="Z67" s="29">
        <v>101.228</v>
      </c>
      <c r="AA67" s="29">
        <v>144.264</v>
      </c>
      <c r="AB67" s="29">
        <v>49.983</v>
      </c>
      <c r="AC67" s="29">
        <v>56.806</v>
      </c>
      <c r="AD67" s="29">
        <v>112.514</v>
      </c>
      <c r="AE67" s="29">
        <v>62.492</v>
      </c>
      <c r="AF67" s="29">
        <v>73.671</v>
      </c>
      <c r="AG67" s="29">
        <v>64.83</v>
      </c>
      <c r="AH67" s="29">
        <v>119.695</v>
      </c>
      <c r="AI67" s="30">
        <f t="shared" si="1"/>
        <v>752.5951102</v>
      </c>
      <c r="AJ67" s="30">
        <f t="shared" si="2"/>
        <v>75.25951102</v>
      </c>
      <c r="AK67" s="32">
        <f t="shared" si="3"/>
        <v>2.3978</v>
      </c>
      <c r="AL67" s="32">
        <f t="shared" si="4"/>
        <v>1.179</v>
      </c>
      <c r="AM67" s="33">
        <f t="shared" si="5"/>
        <v>50.82992743</v>
      </c>
      <c r="AN67" s="33">
        <f t="shared" si="6"/>
        <v>0.4917007257</v>
      </c>
      <c r="AO67" s="33">
        <f>pi()*1.9*(0.5/2)^2</f>
        <v>0.3730641276</v>
      </c>
      <c r="AP67" s="29">
        <v>0.307</v>
      </c>
      <c r="AQ67" s="32">
        <f t="shared" si="7"/>
        <v>0.8229148215</v>
      </c>
      <c r="AR67" s="30">
        <f t="shared" si="8"/>
        <v>822.9148215</v>
      </c>
      <c r="AS67" s="34">
        <f t="shared" si="9"/>
        <v>89.1037</v>
      </c>
    </row>
    <row r="68">
      <c r="A68" s="29" t="s">
        <v>1299</v>
      </c>
      <c r="B68" s="29" t="s">
        <v>1021</v>
      </c>
      <c r="C68" s="29" t="s">
        <v>1227</v>
      </c>
      <c r="D68" s="29" t="s">
        <v>98</v>
      </c>
      <c r="E68" s="29">
        <v>0.301</v>
      </c>
      <c r="F68" s="29">
        <v>0.28</v>
      </c>
      <c r="G68" s="29">
        <v>0.317</v>
      </c>
      <c r="H68" s="29">
        <v>0.321</v>
      </c>
      <c r="I68" s="29">
        <v>0.153</v>
      </c>
      <c r="J68" s="29">
        <v>0.3</v>
      </c>
      <c r="K68" s="29">
        <v>0.448</v>
      </c>
      <c r="L68" s="29">
        <v>0.317</v>
      </c>
      <c r="M68" s="29">
        <v>0.234</v>
      </c>
      <c r="N68" s="29">
        <v>0.262</v>
      </c>
      <c r="O68" s="29">
        <v>0.136</v>
      </c>
      <c r="P68" s="29">
        <v>0.122</v>
      </c>
      <c r="Q68" s="29">
        <v>0.144</v>
      </c>
      <c r="R68" s="29">
        <v>0.139</v>
      </c>
      <c r="S68" s="29">
        <v>0.069</v>
      </c>
      <c r="T68" s="29">
        <v>0.13</v>
      </c>
      <c r="U68" s="29">
        <v>0.208</v>
      </c>
      <c r="V68" s="29">
        <v>0.138</v>
      </c>
      <c r="W68" s="29">
        <v>0.099</v>
      </c>
      <c r="X68" s="29">
        <v>0.117</v>
      </c>
      <c r="Y68" s="29">
        <v>12.24</v>
      </c>
      <c r="Z68" s="29">
        <v>12.06</v>
      </c>
      <c r="AA68" s="29">
        <v>11.906</v>
      </c>
      <c r="AB68" s="29">
        <v>11.808</v>
      </c>
      <c r="AC68" s="29">
        <v>6.817</v>
      </c>
      <c r="AD68" s="29">
        <v>12.492</v>
      </c>
      <c r="AE68" s="29">
        <v>13.549</v>
      </c>
      <c r="AF68" s="29">
        <v>16.891</v>
      </c>
      <c r="AG68" s="29">
        <v>9.21</v>
      </c>
      <c r="AH68" s="29">
        <v>10.401</v>
      </c>
      <c r="AI68" s="30">
        <f t="shared" si="1"/>
        <v>920.8377767</v>
      </c>
      <c r="AJ68" s="30">
        <f t="shared" si="2"/>
        <v>92.08377767</v>
      </c>
      <c r="AK68" s="32">
        <f t="shared" si="3"/>
        <v>0.2933</v>
      </c>
      <c r="AL68" s="32">
        <f t="shared" si="4"/>
        <v>0.1302</v>
      </c>
      <c r="AM68" s="33">
        <f t="shared" si="5"/>
        <v>55.60859189</v>
      </c>
      <c r="AN68" s="33">
        <f t="shared" si="6"/>
        <v>0.4439140811</v>
      </c>
      <c r="AO68" s="33">
        <f>pi()*2.45*(0.55/2)^2</f>
        <v>0.5820782138</v>
      </c>
      <c r="AP68" s="29">
        <v>0.413</v>
      </c>
      <c r="AQ68" s="32">
        <f t="shared" si="7"/>
        <v>0.7095266412</v>
      </c>
      <c r="AR68" s="30">
        <f t="shared" si="8"/>
        <v>709.5266412</v>
      </c>
      <c r="AS68" s="34">
        <f t="shared" si="9"/>
        <v>11.7374</v>
      </c>
    </row>
    <row r="69">
      <c r="A69" s="29" t="s">
        <v>1300</v>
      </c>
      <c r="B69" s="29" t="s">
        <v>1021</v>
      </c>
      <c r="C69" s="29" t="s">
        <v>1227</v>
      </c>
      <c r="D69" s="29" t="s">
        <v>1025</v>
      </c>
      <c r="E69" s="29">
        <v>1.32</v>
      </c>
      <c r="F69" s="29">
        <v>1.493</v>
      </c>
      <c r="G69" s="29">
        <v>1.235</v>
      </c>
      <c r="H69" s="29">
        <v>2.082</v>
      </c>
      <c r="I69" s="29">
        <v>1.185</v>
      </c>
      <c r="J69" s="29">
        <v>0.978</v>
      </c>
      <c r="K69" s="29">
        <v>1.454</v>
      </c>
      <c r="L69" s="29">
        <v>0.828</v>
      </c>
      <c r="M69" s="29">
        <v>1.276</v>
      </c>
      <c r="N69" s="29">
        <v>1.307</v>
      </c>
      <c r="O69" s="29">
        <v>0.638</v>
      </c>
      <c r="P69" s="29">
        <v>0.708</v>
      </c>
      <c r="Q69" s="29">
        <v>0.597</v>
      </c>
      <c r="R69" s="29">
        <v>0.899</v>
      </c>
      <c r="S69" s="29">
        <v>0.519</v>
      </c>
      <c r="T69" s="29">
        <v>0.472</v>
      </c>
      <c r="U69" s="29">
        <v>0.626</v>
      </c>
      <c r="V69" s="29">
        <v>0.399</v>
      </c>
      <c r="W69" s="29">
        <v>0.613</v>
      </c>
      <c r="X69" s="29">
        <v>0.672</v>
      </c>
      <c r="Y69" s="29">
        <v>38.243</v>
      </c>
      <c r="Z69" s="29">
        <v>42.639</v>
      </c>
      <c r="AA69" s="29">
        <v>35.539</v>
      </c>
      <c r="AB69" s="29">
        <v>56.697</v>
      </c>
      <c r="AC69" s="29">
        <v>34.15</v>
      </c>
      <c r="AD69" s="29">
        <v>28.966</v>
      </c>
      <c r="AE69" s="29">
        <v>40.715</v>
      </c>
      <c r="AF69" s="29">
        <v>24.848</v>
      </c>
      <c r="AG69" s="29">
        <v>37.964</v>
      </c>
      <c r="AH69" s="29">
        <v>39.991</v>
      </c>
      <c r="AI69" s="30">
        <f t="shared" si="1"/>
        <v>618.6884218</v>
      </c>
      <c r="AJ69" s="30">
        <f t="shared" si="2"/>
        <v>61.86884218</v>
      </c>
      <c r="AK69" s="32">
        <f t="shared" si="3"/>
        <v>1.3158</v>
      </c>
      <c r="AL69" s="32">
        <f t="shared" si="4"/>
        <v>0.6143</v>
      </c>
      <c r="AM69" s="33">
        <f t="shared" si="5"/>
        <v>53.31357349</v>
      </c>
      <c r="AN69" s="33">
        <f t="shared" si="6"/>
        <v>0.4668642651</v>
      </c>
      <c r="AO69" s="33">
        <f>pi()*1.85*(0.55/2)^2</f>
        <v>0.4395284472</v>
      </c>
      <c r="AP69" s="29">
        <v>0.241</v>
      </c>
      <c r="AQ69" s="32">
        <f t="shared" si="7"/>
        <v>0.5483149078</v>
      </c>
      <c r="AR69" s="30">
        <f t="shared" si="8"/>
        <v>548.3149078</v>
      </c>
      <c r="AS69" s="34">
        <f t="shared" si="9"/>
        <v>37.9752</v>
      </c>
    </row>
    <row r="70">
      <c r="A70" s="29" t="s">
        <v>1301</v>
      </c>
      <c r="B70" s="29" t="s">
        <v>1238</v>
      </c>
      <c r="C70" s="29" t="s">
        <v>1227</v>
      </c>
      <c r="D70" s="29" t="s">
        <v>31</v>
      </c>
      <c r="E70" s="29">
        <v>0.935</v>
      </c>
      <c r="F70" s="29">
        <v>0.52</v>
      </c>
      <c r="G70" s="29">
        <v>0.582</v>
      </c>
      <c r="H70" s="29">
        <v>0.611</v>
      </c>
      <c r="I70" s="29">
        <v>0.57</v>
      </c>
      <c r="J70" s="29">
        <v>0.559</v>
      </c>
      <c r="K70" s="29">
        <v>0.476</v>
      </c>
      <c r="L70" s="29">
        <v>0.629</v>
      </c>
      <c r="M70" s="29">
        <v>0.616</v>
      </c>
      <c r="N70" s="29">
        <v>0.339</v>
      </c>
      <c r="O70" s="29">
        <v>0.433</v>
      </c>
      <c r="P70" s="29">
        <v>0.236</v>
      </c>
      <c r="Q70" s="29">
        <v>0.271</v>
      </c>
      <c r="R70" s="29">
        <v>0.276</v>
      </c>
      <c r="S70" s="29">
        <v>0.261</v>
      </c>
      <c r="T70" s="29">
        <v>0.259</v>
      </c>
      <c r="U70" s="29">
        <v>0.224</v>
      </c>
      <c r="V70" s="29">
        <v>0.283</v>
      </c>
      <c r="W70" s="29">
        <v>0.267</v>
      </c>
      <c r="X70" s="29">
        <v>0.153</v>
      </c>
      <c r="Y70" s="29">
        <v>43.507</v>
      </c>
      <c r="Z70" s="29">
        <v>24.45</v>
      </c>
      <c r="AA70" s="29">
        <v>27.949</v>
      </c>
      <c r="AB70" s="29">
        <v>29.856</v>
      </c>
      <c r="AC70" s="29">
        <v>28.74</v>
      </c>
      <c r="AD70" s="29">
        <v>26.672</v>
      </c>
      <c r="AE70" s="29">
        <v>22.895</v>
      </c>
      <c r="AF70" s="29">
        <v>33.312</v>
      </c>
      <c r="AG70" s="29">
        <v>32.248</v>
      </c>
      <c r="AH70" s="29">
        <v>19.099</v>
      </c>
      <c r="AI70" s="30">
        <f t="shared" si="1"/>
        <v>1094.011307</v>
      </c>
      <c r="AJ70" s="30">
        <f t="shared" si="2"/>
        <v>109.4011307</v>
      </c>
      <c r="AK70" s="32">
        <f t="shared" si="3"/>
        <v>0.5837</v>
      </c>
      <c r="AL70" s="32">
        <f t="shared" si="4"/>
        <v>0.2663</v>
      </c>
      <c r="AM70" s="33">
        <f t="shared" si="5"/>
        <v>54.37724859</v>
      </c>
      <c r="AN70" s="33">
        <f t="shared" si="6"/>
        <v>0.4562275141</v>
      </c>
      <c r="AO70" s="33">
        <f>pi()*3.85*(0.5/2)^2</f>
        <v>0.7559457323</v>
      </c>
      <c r="AP70" s="29">
        <v>0.626</v>
      </c>
      <c r="AQ70" s="32">
        <f t="shared" si="7"/>
        <v>0.8281017714</v>
      </c>
      <c r="AR70" s="30">
        <f t="shared" si="8"/>
        <v>828.1017714</v>
      </c>
      <c r="AS70" s="34">
        <f t="shared" si="9"/>
        <v>28.8728</v>
      </c>
    </row>
    <row r="71">
      <c r="A71" s="29" t="s">
        <v>1302</v>
      </c>
      <c r="B71" s="29" t="s">
        <v>1238</v>
      </c>
      <c r="C71" s="29" t="s">
        <v>1227</v>
      </c>
      <c r="D71" s="29" t="s">
        <v>1096</v>
      </c>
      <c r="E71" s="29">
        <v>1.168</v>
      </c>
      <c r="F71" s="29">
        <v>1.876</v>
      </c>
      <c r="G71" s="29">
        <v>1.148</v>
      </c>
      <c r="H71" s="29">
        <v>1.902</v>
      </c>
      <c r="I71" s="29">
        <v>1.23</v>
      </c>
      <c r="J71" s="29">
        <v>1.368</v>
      </c>
      <c r="K71" s="29">
        <v>0.843</v>
      </c>
      <c r="L71" s="29">
        <v>1.487</v>
      </c>
      <c r="M71" s="29">
        <v>2.008</v>
      </c>
      <c r="N71" s="29">
        <v>2.135</v>
      </c>
      <c r="O71" s="29">
        <v>0.457</v>
      </c>
      <c r="P71" s="29">
        <v>0.739</v>
      </c>
      <c r="Q71" s="29">
        <v>0.455</v>
      </c>
      <c r="R71" s="29">
        <v>0.747</v>
      </c>
      <c r="S71" s="29">
        <v>0.483</v>
      </c>
      <c r="T71" s="29">
        <v>0.526</v>
      </c>
      <c r="U71" s="29">
        <v>0.319</v>
      </c>
      <c r="V71" s="29">
        <v>0.564</v>
      </c>
      <c r="W71" s="29">
        <v>0.747</v>
      </c>
      <c r="X71" s="29">
        <v>0.866</v>
      </c>
      <c r="Y71" s="29">
        <v>29.583</v>
      </c>
      <c r="Z71" s="29">
        <v>44.432</v>
      </c>
      <c r="AA71" s="29">
        <v>29.537</v>
      </c>
      <c r="AB71" s="29">
        <v>43.872</v>
      </c>
      <c r="AC71" s="29">
        <v>30.927</v>
      </c>
      <c r="AD71" s="29">
        <v>36.267</v>
      </c>
      <c r="AE71" s="29">
        <v>22.703</v>
      </c>
      <c r="AF71" s="29">
        <v>34.443</v>
      </c>
      <c r="AG71" s="29">
        <v>51.6</v>
      </c>
      <c r="AH71" s="29">
        <v>52.085</v>
      </c>
      <c r="AI71" s="30">
        <f t="shared" si="1"/>
        <v>642.9437414</v>
      </c>
      <c r="AJ71" s="30">
        <f t="shared" si="2"/>
        <v>64.29437414</v>
      </c>
      <c r="AK71" s="32">
        <f t="shared" si="3"/>
        <v>1.5165</v>
      </c>
      <c r="AL71" s="32">
        <f t="shared" si="4"/>
        <v>0.5903</v>
      </c>
      <c r="AM71" s="33">
        <f t="shared" si="5"/>
        <v>61.07484339</v>
      </c>
      <c r="AN71" s="33">
        <f t="shared" si="6"/>
        <v>0.3892515661</v>
      </c>
      <c r="AO71" s="33">
        <f>pi()*3.9*(0.5/2)^2</f>
        <v>0.7657632093</v>
      </c>
      <c r="AP71" s="29">
        <v>0.746</v>
      </c>
      <c r="AQ71" s="32">
        <f t="shared" si="7"/>
        <v>0.9741914876</v>
      </c>
      <c r="AR71" s="30">
        <f t="shared" si="8"/>
        <v>974.1914876</v>
      </c>
      <c r="AS71" s="34">
        <f t="shared" si="9"/>
        <v>37.5449</v>
      </c>
    </row>
    <row r="72">
      <c r="A72" s="29" t="s">
        <v>1303</v>
      </c>
      <c r="B72" s="29" t="s">
        <v>1238</v>
      </c>
      <c r="C72" s="29" t="s">
        <v>1227</v>
      </c>
      <c r="D72" s="29" t="s">
        <v>1298</v>
      </c>
      <c r="E72" s="29">
        <v>2.03</v>
      </c>
      <c r="F72" s="29">
        <v>0.708</v>
      </c>
      <c r="G72" s="29">
        <v>1.265</v>
      </c>
      <c r="H72" s="29">
        <v>1.377</v>
      </c>
      <c r="I72" s="29">
        <v>1.313</v>
      </c>
      <c r="J72" s="29">
        <v>1.016</v>
      </c>
      <c r="K72" s="29">
        <v>1.656</v>
      </c>
      <c r="L72" s="29">
        <v>1.387</v>
      </c>
      <c r="M72" s="29">
        <v>1.921</v>
      </c>
      <c r="N72" s="29">
        <v>1.044</v>
      </c>
      <c r="O72" s="29">
        <v>1.084</v>
      </c>
      <c r="P72" s="29">
        <v>0.374</v>
      </c>
      <c r="Q72" s="29">
        <v>0.682</v>
      </c>
      <c r="R72" s="29">
        <v>0.757</v>
      </c>
      <c r="S72" s="29">
        <v>0.705</v>
      </c>
      <c r="T72" s="29">
        <v>0.531</v>
      </c>
      <c r="U72" s="29">
        <v>0.857</v>
      </c>
      <c r="V72" s="29">
        <v>0.74</v>
      </c>
      <c r="W72" s="29">
        <v>1.017</v>
      </c>
      <c r="X72" s="29">
        <v>0.548</v>
      </c>
      <c r="Y72" s="29">
        <v>61.08</v>
      </c>
      <c r="Z72" s="29">
        <v>26.92</v>
      </c>
      <c r="AA72" s="29">
        <v>45.042</v>
      </c>
      <c r="AB72" s="29">
        <v>41.592</v>
      </c>
      <c r="AC72" s="29">
        <v>44.042</v>
      </c>
      <c r="AD72" s="29">
        <v>34.943</v>
      </c>
      <c r="AE72" s="29">
        <v>55.724</v>
      </c>
      <c r="AF72" s="29">
        <v>47.609</v>
      </c>
      <c r="AG72" s="29">
        <v>59.519</v>
      </c>
      <c r="AH72" s="29">
        <v>36.246</v>
      </c>
      <c r="AI72" s="30">
        <f t="shared" si="1"/>
        <v>631.6146896</v>
      </c>
      <c r="AJ72" s="30">
        <f t="shared" si="2"/>
        <v>63.16146896</v>
      </c>
      <c r="AK72" s="32">
        <f t="shared" si="3"/>
        <v>1.3717</v>
      </c>
      <c r="AL72" s="32">
        <f t="shared" si="4"/>
        <v>0.7295</v>
      </c>
      <c r="AM72" s="33">
        <f t="shared" si="5"/>
        <v>46.81781731</v>
      </c>
      <c r="AN72" s="33">
        <f t="shared" si="6"/>
        <v>0.5318218269</v>
      </c>
      <c r="AO72" s="33">
        <f>pi()*4.8*(0.55/2)^2</f>
        <v>1.140398133</v>
      </c>
      <c r="AP72" s="29">
        <v>0.862</v>
      </c>
      <c r="AQ72" s="32">
        <f t="shared" si="7"/>
        <v>0.7558763688</v>
      </c>
      <c r="AR72" s="30">
        <f t="shared" si="8"/>
        <v>755.8763688</v>
      </c>
      <c r="AS72" s="34">
        <f t="shared" si="9"/>
        <v>45.2717</v>
      </c>
    </row>
    <row r="73">
      <c r="A73" s="29" t="s">
        <v>1304</v>
      </c>
      <c r="B73" s="29" t="s">
        <v>1238</v>
      </c>
      <c r="C73" s="29" t="s">
        <v>1227</v>
      </c>
      <c r="D73" s="29" t="s">
        <v>98</v>
      </c>
      <c r="E73" s="29">
        <v>0.713</v>
      </c>
      <c r="F73" s="29">
        <v>0.869</v>
      </c>
      <c r="G73" s="29">
        <v>0.305</v>
      </c>
      <c r="H73" s="29">
        <v>0.287</v>
      </c>
      <c r="I73" s="29">
        <v>0.341</v>
      </c>
      <c r="J73" s="29">
        <v>0.461</v>
      </c>
      <c r="K73" s="29">
        <v>0.265</v>
      </c>
      <c r="L73" s="29">
        <v>0.413</v>
      </c>
      <c r="M73" s="29">
        <v>0.291</v>
      </c>
      <c r="N73" s="29">
        <v>0.314</v>
      </c>
      <c r="O73" s="29">
        <v>0.305</v>
      </c>
      <c r="P73" s="29">
        <v>0.373</v>
      </c>
      <c r="Q73" s="29">
        <v>0.142</v>
      </c>
      <c r="R73" s="29">
        <v>0.134</v>
      </c>
      <c r="S73" s="29">
        <v>0.162</v>
      </c>
      <c r="T73" s="29">
        <v>0.208</v>
      </c>
      <c r="U73" s="29">
        <v>0.119</v>
      </c>
      <c r="V73" s="29">
        <v>0.181</v>
      </c>
      <c r="W73" s="29">
        <v>0.136</v>
      </c>
      <c r="X73" s="29">
        <v>0.132</v>
      </c>
      <c r="Y73" s="29">
        <v>28.065</v>
      </c>
      <c r="Z73" s="29">
        <v>31.51</v>
      </c>
      <c r="AA73" s="29">
        <v>12.198</v>
      </c>
      <c r="AB73" s="29">
        <v>11.051</v>
      </c>
      <c r="AC73" s="29">
        <v>13.189</v>
      </c>
      <c r="AD73" s="29">
        <v>17.764</v>
      </c>
      <c r="AE73" s="29">
        <v>9.647</v>
      </c>
      <c r="AF73" s="29">
        <v>16.649</v>
      </c>
      <c r="AG73" s="29">
        <v>10.942</v>
      </c>
      <c r="AH73" s="29">
        <v>12.689</v>
      </c>
      <c r="AI73" s="30">
        <f t="shared" si="1"/>
        <v>861.3179119</v>
      </c>
      <c r="AJ73" s="30">
        <f t="shared" si="2"/>
        <v>86.13179119</v>
      </c>
      <c r="AK73" s="32">
        <f t="shared" si="3"/>
        <v>0.4259</v>
      </c>
      <c r="AL73" s="32">
        <f t="shared" si="4"/>
        <v>0.1892</v>
      </c>
      <c r="AM73" s="33">
        <f t="shared" si="5"/>
        <v>55.57642639</v>
      </c>
      <c r="AN73" s="33">
        <f t="shared" si="6"/>
        <v>0.4442357361</v>
      </c>
      <c r="AO73" s="33">
        <f>pi()*3.3*(0.5/2)^2</f>
        <v>0.6479534848</v>
      </c>
      <c r="AP73" s="29">
        <v>0.515</v>
      </c>
      <c r="AQ73" s="32">
        <f t="shared" si="7"/>
        <v>0.79481014</v>
      </c>
      <c r="AR73" s="30">
        <f t="shared" si="8"/>
        <v>794.81014</v>
      </c>
      <c r="AS73" s="34">
        <f t="shared" si="9"/>
        <v>16.3704</v>
      </c>
    </row>
    <row r="74">
      <c r="A74" s="29" t="s">
        <v>1305</v>
      </c>
      <c r="B74" s="29" t="s">
        <v>1238</v>
      </c>
      <c r="C74" s="29" t="s">
        <v>1227</v>
      </c>
      <c r="D74" s="29" t="s">
        <v>154</v>
      </c>
      <c r="E74" s="29">
        <v>0.666</v>
      </c>
      <c r="F74" s="29">
        <v>0.495</v>
      </c>
      <c r="G74" s="29">
        <v>0.458</v>
      </c>
      <c r="H74" s="29">
        <v>0.339</v>
      </c>
      <c r="I74" s="29">
        <v>0.635</v>
      </c>
      <c r="J74" s="29">
        <v>0.608</v>
      </c>
      <c r="K74" s="29">
        <v>0.617</v>
      </c>
      <c r="L74" s="29">
        <v>0.6</v>
      </c>
      <c r="M74" s="29">
        <v>0.523</v>
      </c>
      <c r="N74" s="29">
        <v>0.775</v>
      </c>
      <c r="O74" s="29">
        <v>0.317</v>
      </c>
      <c r="P74" s="29">
        <v>0.228</v>
      </c>
      <c r="Q74" s="29">
        <v>0.189</v>
      </c>
      <c r="R74" s="29">
        <v>0.162</v>
      </c>
      <c r="S74" s="29">
        <v>0.301</v>
      </c>
      <c r="T74" s="29">
        <v>0.283</v>
      </c>
      <c r="U74" s="29">
        <v>0.289</v>
      </c>
      <c r="V74" s="29">
        <v>0.281</v>
      </c>
      <c r="W74" s="29">
        <v>0.246</v>
      </c>
      <c r="X74" s="29">
        <v>0.361</v>
      </c>
      <c r="Y74" s="29">
        <v>22.518</v>
      </c>
      <c r="Z74" s="29">
        <v>16.978</v>
      </c>
      <c r="AA74" s="29">
        <v>19.179</v>
      </c>
      <c r="AB74" s="29">
        <v>12.777</v>
      </c>
      <c r="AC74" s="29">
        <v>20.805</v>
      </c>
      <c r="AD74" s="29">
        <v>21.721</v>
      </c>
      <c r="AE74" s="29">
        <v>22.299</v>
      </c>
      <c r="AF74" s="29">
        <v>20.005</v>
      </c>
      <c r="AG74" s="29">
        <v>17.579</v>
      </c>
      <c r="AH74" s="29">
        <v>28.758</v>
      </c>
      <c r="AI74" s="30">
        <f t="shared" si="1"/>
        <v>771.1911648</v>
      </c>
      <c r="AJ74" s="30">
        <f t="shared" si="2"/>
        <v>77.11911648</v>
      </c>
      <c r="AK74" s="32">
        <f t="shared" si="3"/>
        <v>0.5716</v>
      </c>
      <c r="AL74" s="32">
        <f t="shared" si="4"/>
        <v>0.2657</v>
      </c>
      <c r="AM74" s="33">
        <f t="shared" si="5"/>
        <v>53.51644507</v>
      </c>
      <c r="AN74" s="33">
        <f t="shared" si="6"/>
        <v>0.4648355493</v>
      </c>
      <c r="AO74" s="33">
        <f>pi()*4.7*(0.55/2)^2</f>
        <v>1.116639839</v>
      </c>
      <c r="AP74" s="29">
        <v>0.776</v>
      </c>
      <c r="AQ74" s="32">
        <f t="shared" si="7"/>
        <v>0.6949420691</v>
      </c>
      <c r="AR74" s="30">
        <f t="shared" si="8"/>
        <v>694.9420691</v>
      </c>
      <c r="AS74" s="34">
        <f t="shared" si="9"/>
        <v>20.2619</v>
      </c>
    </row>
    <row r="75">
      <c r="A75" s="29" t="s">
        <v>1306</v>
      </c>
      <c r="B75" s="29" t="s">
        <v>1238</v>
      </c>
      <c r="C75" s="29" t="s">
        <v>1227</v>
      </c>
      <c r="D75" s="29" t="s">
        <v>323</v>
      </c>
      <c r="E75" s="29">
        <v>0.03</v>
      </c>
      <c r="F75" s="29">
        <v>0.036</v>
      </c>
      <c r="G75" s="29">
        <v>0.025</v>
      </c>
      <c r="H75" s="29">
        <v>0.032</v>
      </c>
      <c r="I75" s="29">
        <v>0.035</v>
      </c>
      <c r="J75" s="29">
        <v>0.023</v>
      </c>
      <c r="K75" s="29">
        <v>0.04</v>
      </c>
      <c r="L75" s="29">
        <v>0.035</v>
      </c>
      <c r="M75" s="29">
        <v>0.041</v>
      </c>
      <c r="N75" s="29">
        <v>0.035</v>
      </c>
      <c r="O75" s="29">
        <v>0.013</v>
      </c>
      <c r="P75" s="29">
        <v>0.017</v>
      </c>
      <c r="Q75" s="29">
        <v>0.014</v>
      </c>
      <c r="R75" s="29">
        <v>0.018</v>
      </c>
      <c r="S75" s="29">
        <v>0.02</v>
      </c>
      <c r="T75" s="29">
        <v>0.014</v>
      </c>
      <c r="U75" s="29">
        <v>0.018</v>
      </c>
      <c r="V75" s="29">
        <v>0.019</v>
      </c>
      <c r="W75" s="29">
        <v>0.022</v>
      </c>
      <c r="X75" s="29">
        <v>0.021</v>
      </c>
      <c r="Y75" s="29">
        <v>1.541</v>
      </c>
      <c r="Z75" s="29">
        <v>1.916</v>
      </c>
      <c r="AA75" s="29">
        <v>1.31</v>
      </c>
      <c r="AB75" s="29">
        <v>1.752</v>
      </c>
      <c r="AC75" s="29">
        <v>2.056</v>
      </c>
      <c r="AD75" s="29">
        <v>1.409</v>
      </c>
      <c r="AE75" s="29">
        <v>2.391</v>
      </c>
      <c r="AF75" s="29">
        <v>1.964</v>
      </c>
      <c r="AG75" s="29">
        <v>2.081</v>
      </c>
      <c r="AH75" s="29">
        <v>1.977</v>
      </c>
      <c r="AI75" s="30">
        <f t="shared" si="1"/>
        <v>1050.527484</v>
      </c>
      <c r="AJ75" s="30">
        <f t="shared" si="2"/>
        <v>105.0527484</v>
      </c>
      <c r="AK75" s="32">
        <f t="shared" si="3"/>
        <v>0.0332</v>
      </c>
      <c r="AL75" s="32">
        <f t="shared" si="4"/>
        <v>0.0176</v>
      </c>
      <c r="AM75" s="33">
        <f t="shared" si="5"/>
        <v>46.98795181</v>
      </c>
      <c r="AN75" s="33">
        <f t="shared" si="6"/>
        <v>0.5301204819</v>
      </c>
      <c r="AO75" s="33">
        <f>pi()*1.6*(0.5/2)^2</f>
        <v>0.3141592654</v>
      </c>
      <c r="AP75" s="29">
        <v>0.26</v>
      </c>
      <c r="AQ75" s="32">
        <f t="shared" si="7"/>
        <v>0.8276057041</v>
      </c>
      <c r="AR75" s="30">
        <f t="shared" si="8"/>
        <v>827.6057041</v>
      </c>
      <c r="AS75" s="34">
        <f t="shared" si="9"/>
        <v>1.8397</v>
      </c>
    </row>
    <row r="76">
      <c r="A76" s="29" t="s">
        <v>1307</v>
      </c>
      <c r="B76" s="29" t="s">
        <v>1238</v>
      </c>
      <c r="C76" s="29" t="s">
        <v>1227</v>
      </c>
      <c r="D76" s="29" t="s">
        <v>761</v>
      </c>
      <c r="E76" s="29">
        <v>1.182</v>
      </c>
      <c r="F76" s="29">
        <v>1.267</v>
      </c>
      <c r="G76" s="29">
        <v>1.622</v>
      </c>
      <c r="H76" s="29">
        <v>1.263</v>
      </c>
      <c r="I76" s="29">
        <v>1.626</v>
      </c>
      <c r="J76" s="29">
        <v>1.422</v>
      </c>
      <c r="K76" s="29">
        <v>1.658</v>
      </c>
      <c r="L76" s="29">
        <v>1.132</v>
      </c>
      <c r="M76" s="29">
        <v>1.329</v>
      </c>
      <c r="N76" s="29">
        <v>1.408</v>
      </c>
      <c r="O76" s="29">
        <v>0.292</v>
      </c>
      <c r="P76" s="29">
        <v>0.305</v>
      </c>
      <c r="Q76" s="29">
        <v>0.351</v>
      </c>
      <c r="R76" s="29">
        <v>0.294</v>
      </c>
      <c r="S76" s="29">
        <v>0.381</v>
      </c>
      <c r="T76" s="29">
        <v>0.34</v>
      </c>
      <c r="U76" s="29">
        <v>0.429</v>
      </c>
      <c r="V76" s="29">
        <v>0.278</v>
      </c>
      <c r="W76" s="29">
        <v>0.322</v>
      </c>
      <c r="X76" s="29">
        <v>0.355</v>
      </c>
      <c r="Y76" s="29">
        <v>22.861</v>
      </c>
      <c r="Z76" s="29">
        <v>23.336</v>
      </c>
      <c r="AA76" s="29">
        <v>31.615</v>
      </c>
      <c r="AB76" s="29">
        <v>25.183</v>
      </c>
      <c r="AC76" s="29">
        <v>31.577</v>
      </c>
      <c r="AD76" s="29">
        <v>26.295</v>
      </c>
      <c r="AE76" s="29">
        <v>29.891</v>
      </c>
      <c r="AF76" s="29">
        <v>20.963</v>
      </c>
      <c r="AG76" s="29">
        <v>24.601</v>
      </c>
      <c r="AH76" s="29">
        <v>26.544</v>
      </c>
      <c r="AI76" s="30">
        <f t="shared" si="1"/>
        <v>787.0026769</v>
      </c>
      <c r="AJ76" s="30">
        <f t="shared" si="2"/>
        <v>78.70026769</v>
      </c>
      <c r="AK76" s="32">
        <f t="shared" si="3"/>
        <v>1.3909</v>
      </c>
      <c r="AL76" s="32">
        <f t="shared" si="4"/>
        <v>0.3347</v>
      </c>
      <c r="AM76" s="33">
        <f t="shared" si="5"/>
        <v>75.93644403</v>
      </c>
      <c r="AN76" s="33">
        <f t="shared" si="6"/>
        <v>0.2406355597</v>
      </c>
      <c r="AO76" s="33">
        <f>pi()*3.1*(0.5/2)^2</f>
        <v>0.6086835766</v>
      </c>
      <c r="AP76" s="29">
        <v>0.49</v>
      </c>
      <c r="AQ76" s="32">
        <f t="shared" si="7"/>
        <v>0.8050159702</v>
      </c>
      <c r="AR76" s="30">
        <f t="shared" si="8"/>
        <v>805.0159702</v>
      </c>
      <c r="AS76" s="34">
        <f t="shared" si="9"/>
        <v>26.2866</v>
      </c>
    </row>
    <row r="77">
      <c r="A77" s="29" t="s">
        <v>1308</v>
      </c>
      <c r="B77" s="29" t="s">
        <v>1238</v>
      </c>
      <c r="C77" s="29" t="s">
        <v>1227</v>
      </c>
      <c r="D77" s="29" t="s">
        <v>122</v>
      </c>
      <c r="E77" s="29">
        <v>0.745</v>
      </c>
      <c r="F77" s="29">
        <v>0.572</v>
      </c>
      <c r="G77" s="29">
        <v>0.663</v>
      </c>
      <c r="H77" s="29">
        <v>0.488</v>
      </c>
      <c r="I77" s="29">
        <v>0.312</v>
      </c>
      <c r="J77" s="29">
        <v>0.353</v>
      </c>
      <c r="K77" s="29">
        <v>0.378</v>
      </c>
      <c r="L77" s="29">
        <v>0.602</v>
      </c>
      <c r="M77" s="29">
        <v>0.447</v>
      </c>
      <c r="N77" s="29">
        <v>0.309</v>
      </c>
      <c r="O77" s="29">
        <v>0.326</v>
      </c>
      <c r="P77" s="29">
        <v>0.238</v>
      </c>
      <c r="Q77" s="29">
        <v>0.277</v>
      </c>
      <c r="R77" s="29">
        <v>0.206</v>
      </c>
      <c r="S77" s="29">
        <v>0.122</v>
      </c>
      <c r="T77" s="29">
        <v>0.15</v>
      </c>
      <c r="U77" s="29">
        <v>0.165</v>
      </c>
      <c r="V77" s="29">
        <v>0.262</v>
      </c>
      <c r="W77" s="29">
        <v>0.186</v>
      </c>
      <c r="X77" s="29">
        <v>0.122</v>
      </c>
      <c r="Y77" s="29">
        <v>32.555</v>
      </c>
      <c r="Z77" s="29">
        <v>30.243</v>
      </c>
      <c r="AA77" s="29">
        <v>38.208</v>
      </c>
      <c r="AB77" s="29">
        <v>25.407</v>
      </c>
      <c r="AC77" s="29">
        <v>16.427</v>
      </c>
      <c r="AD77" s="29">
        <v>17.982</v>
      </c>
      <c r="AE77" s="29">
        <v>20.699</v>
      </c>
      <c r="AF77" s="29">
        <v>32.657</v>
      </c>
      <c r="AG77" s="29">
        <v>23.784</v>
      </c>
      <c r="AH77" s="29">
        <v>14.344</v>
      </c>
      <c r="AI77" s="30">
        <f t="shared" si="1"/>
        <v>1238.269164</v>
      </c>
      <c r="AJ77" s="30">
        <f t="shared" si="2"/>
        <v>123.8269164</v>
      </c>
      <c r="AK77" s="32">
        <f t="shared" si="3"/>
        <v>0.4869</v>
      </c>
      <c r="AL77" s="32">
        <f t="shared" si="4"/>
        <v>0.2054</v>
      </c>
      <c r="AM77" s="33">
        <f t="shared" si="5"/>
        <v>57.81474635</v>
      </c>
      <c r="AN77" s="33">
        <f t="shared" si="6"/>
        <v>0.4218525365</v>
      </c>
      <c r="AO77" s="33">
        <f>pi()*2.1*(0.55/2)^2</f>
        <v>0.4989241833</v>
      </c>
      <c r="AP77" s="29">
        <v>0.201</v>
      </c>
      <c r="AQ77" s="32">
        <f t="shared" si="7"/>
        <v>0.4028668217</v>
      </c>
      <c r="AR77" s="30">
        <f t="shared" si="8"/>
        <v>402.8668217</v>
      </c>
      <c r="AS77" s="34">
        <f t="shared" si="9"/>
        <v>25.2306</v>
      </c>
    </row>
    <row r="78">
      <c r="A78" s="29" t="s">
        <v>1309</v>
      </c>
      <c r="B78" s="29" t="s">
        <v>1238</v>
      </c>
      <c r="C78" s="29" t="s">
        <v>1227</v>
      </c>
      <c r="D78" s="29" t="s">
        <v>86</v>
      </c>
      <c r="E78" s="29">
        <v>1.154</v>
      </c>
      <c r="F78" s="29">
        <v>0.833</v>
      </c>
      <c r="G78" s="29">
        <v>1.141</v>
      </c>
      <c r="H78" s="29">
        <v>0.86</v>
      </c>
      <c r="I78" s="29">
        <v>1.79</v>
      </c>
      <c r="J78" s="29">
        <v>0.717</v>
      </c>
      <c r="K78" s="29">
        <v>1.807</v>
      </c>
      <c r="L78" s="29">
        <v>1.285</v>
      </c>
      <c r="M78" s="29">
        <v>0.646</v>
      </c>
      <c r="N78" s="29">
        <v>1.0</v>
      </c>
      <c r="O78" s="29">
        <v>0.555</v>
      </c>
      <c r="P78" s="29">
        <v>0.405</v>
      </c>
      <c r="Q78" s="29">
        <v>0.554</v>
      </c>
      <c r="R78" s="29">
        <v>0.412</v>
      </c>
      <c r="S78" s="29">
        <v>0.877</v>
      </c>
      <c r="T78" s="29">
        <v>0.344</v>
      </c>
      <c r="U78" s="29">
        <v>0.914</v>
      </c>
      <c r="V78" s="29">
        <v>0.638</v>
      </c>
      <c r="W78" s="29">
        <v>0.295</v>
      </c>
      <c r="X78" s="29">
        <v>0.454</v>
      </c>
      <c r="Y78" s="29">
        <v>64.072</v>
      </c>
      <c r="Z78" s="29">
        <v>50.48</v>
      </c>
      <c r="AA78" s="29">
        <v>63.889</v>
      </c>
      <c r="AB78" s="29">
        <v>44.613</v>
      </c>
      <c r="AC78" s="29">
        <v>95.521</v>
      </c>
      <c r="AD78" s="29">
        <v>42.139</v>
      </c>
      <c r="AE78" s="29">
        <v>97.922</v>
      </c>
      <c r="AF78" s="29">
        <v>47.219</v>
      </c>
      <c r="AG78" s="29">
        <v>32.373</v>
      </c>
      <c r="AH78" s="29">
        <v>70.286</v>
      </c>
      <c r="AI78" s="30">
        <f t="shared" si="1"/>
        <v>1140.809701</v>
      </c>
      <c r="AJ78" s="30">
        <f t="shared" si="2"/>
        <v>114.0809701</v>
      </c>
      <c r="AK78" s="32">
        <f t="shared" si="3"/>
        <v>1.1233</v>
      </c>
      <c r="AL78" s="32">
        <f t="shared" si="4"/>
        <v>0.5448</v>
      </c>
      <c r="AM78" s="33">
        <f t="shared" si="5"/>
        <v>51.50004451</v>
      </c>
      <c r="AN78" s="33">
        <f t="shared" si="6"/>
        <v>0.4849995549</v>
      </c>
      <c r="AO78" s="33">
        <f>pi()*3.6*(0.55/2)^2</f>
        <v>0.8552985999</v>
      </c>
      <c r="AP78" s="29">
        <v>0.438</v>
      </c>
      <c r="AQ78" s="32">
        <f t="shared" si="7"/>
        <v>0.5121018555</v>
      </c>
      <c r="AR78" s="30">
        <f t="shared" si="8"/>
        <v>512.1018555</v>
      </c>
      <c r="AS78" s="34">
        <f t="shared" si="9"/>
        <v>60.8514</v>
      </c>
    </row>
    <row r="79">
      <c r="A79" s="29" t="s">
        <v>1310</v>
      </c>
      <c r="B79" s="29" t="s">
        <v>1238</v>
      </c>
      <c r="C79" s="29" t="s">
        <v>1227</v>
      </c>
      <c r="D79" s="29" t="s">
        <v>63</v>
      </c>
      <c r="E79" s="29">
        <v>4.612</v>
      </c>
      <c r="F79" s="29">
        <v>2.09</v>
      </c>
      <c r="G79" s="29">
        <v>2.2</v>
      </c>
      <c r="H79" s="29">
        <v>3.95</v>
      </c>
      <c r="I79" s="29">
        <v>2.54</v>
      </c>
      <c r="J79" s="29">
        <v>3.075</v>
      </c>
      <c r="K79" s="29">
        <v>3.117</v>
      </c>
      <c r="L79" s="29">
        <v>1.737</v>
      </c>
      <c r="M79" s="29">
        <v>2.885</v>
      </c>
      <c r="N79" s="29">
        <v>2.508</v>
      </c>
      <c r="O79" s="29">
        <v>2.319</v>
      </c>
      <c r="P79" s="29">
        <v>0.979</v>
      </c>
      <c r="Q79" s="29">
        <v>0.992</v>
      </c>
      <c r="R79" s="29">
        <v>2.039</v>
      </c>
      <c r="S79" s="29">
        <v>1.224</v>
      </c>
      <c r="T79" s="29">
        <v>1.537</v>
      </c>
      <c r="U79" s="29">
        <v>1.664</v>
      </c>
      <c r="V79" s="29">
        <v>0.965</v>
      </c>
      <c r="W79" s="29">
        <v>1.492</v>
      </c>
      <c r="X79" s="29">
        <v>1.341</v>
      </c>
      <c r="Y79" s="35">
        <f>189.035+65.334</f>
        <v>254.369</v>
      </c>
      <c r="Z79" s="29">
        <v>125.376</v>
      </c>
      <c r="AA79" s="29">
        <v>138.098</v>
      </c>
      <c r="AB79" s="29">
        <v>200.427</v>
      </c>
      <c r="AC79" s="29">
        <v>132.413</v>
      </c>
      <c r="AD79" s="29">
        <v>179.117</v>
      </c>
      <c r="AE79" s="36">
        <v>174.636</v>
      </c>
      <c r="AF79" s="29">
        <v>101.917</v>
      </c>
      <c r="AG79" s="29">
        <v>161.158</v>
      </c>
      <c r="AH79" s="29">
        <v>128.187</v>
      </c>
      <c r="AI79" s="30">
        <f t="shared" si="1"/>
        <v>1114.148526</v>
      </c>
      <c r="AJ79" s="30">
        <f t="shared" si="2"/>
        <v>111.4148526</v>
      </c>
      <c r="AK79" s="32">
        <f t="shared" si="3"/>
        <v>2.8714</v>
      </c>
      <c r="AL79" s="32">
        <f t="shared" si="4"/>
        <v>1.4552</v>
      </c>
      <c r="AM79" s="33">
        <f t="shared" si="5"/>
        <v>49.32088877</v>
      </c>
      <c r="AN79" s="33">
        <f t="shared" si="6"/>
        <v>0.5067911123</v>
      </c>
      <c r="AO79" s="33">
        <f>pi()*3*(0.5/2)^2</f>
        <v>0.5890486225</v>
      </c>
      <c r="AP79" s="29">
        <v>0.471</v>
      </c>
      <c r="AQ79" s="32">
        <f t="shared" si="7"/>
        <v>0.7995944341</v>
      </c>
      <c r="AR79" s="30">
        <f t="shared" si="8"/>
        <v>799.5944341</v>
      </c>
      <c r="AS79" s="34">
        <f t="shared" si="9"/>
        <v>159.5698</v>
      </c>
    </row>
    <row r="80">
      <c r="A80" s="29" t="s">
        <v>1311</v>
      </c>
      <c r="B80" s="29" t="s">
        <v>1226</v>
      </c>
      <c r="C80" s="29" t="s">
        <v>1227</v>
      </c>
      <c r="D80" s="29" t="s">
        <v>761</v>
      </c>
      <c r="E80" s="29">
        <v>2.021</v>
      </c>
      <c r="F80" s="29">
        <v>2.251</v>
      </c>
      <c r="G80" s="29">
        <v>1.535</v>
      </c>
      <c r="H80" s="29">
        <v>2.118</v>
      </c>
      <c r="I80" s="29">
        <v>0.895</v>
      </c>
      <c r="J80" s="29">
        <v>1.602</v>
      </c>
      <c r="K80" s="29">
        <v>2.156</v>
      </c>
      <c r="L80" s="29">
        <v>1.937</v>
      </c>
      <c r="M80" s="29">
        <v>2.005</v>
      </c>
      <c r="N80" s="29">
        <v>1.127</v>
      </c>
      <c r="O80" s="29">
        <v>0.59</v>
      </c>
      <c r="P80" s="29">
        <v>0.643</v>
      </c>
      <c r="Q80" s="29">
        <v>0.447</v>
      </c>
      <c r="R80" s="29">
        <v>0.631</v>
      </c>
      <c r="S80" s="29">
        <v>0.259</v>
      </c>
      <c r="T80" s="29">
        <v>0.457</v>
      </c>
      <c r="U80" s="29">
        <v>0.641</v>
      </c>
      <c r="V80" s="29">
        <v>0.56</v>
      </c>
      <c r="W80" s="29">
        <v>0.582</v>
      </c>
      <c r="X80" s="29">
        <v>0.328</v>
      </c>
      <c r="Y80" s="29">
        <v>34.534</v>
      </c>
      <c r="Z80" s="29">
        <v>39.77</v>
      </c>
      <c r="AA80" s="29">
        <v>26.963</v>
      </c>
      <c r="AB80" s="29">
        <v>37.596</v>
      </c>
      <c r="AC80" s="29">
        <v>16.59</v>
      </c>
      <c r="AD80" s="29">
        <v>27.885</v>
      </c>
      <c r="AE80" s="29">
        <v>37.201</v>
      </c>
      <c r="AF80" s="29">
        <v>34.594</v>
      </c>
      <c r="AG80" s="29">
        <v>35.34</v>
      </c>
      <c r="AH80" s="29">
        <v>19.867</v>
      </c>
      <c r="AI80" s="30">
        <f t="shared" si="1"/>
        <v>606.4586426</v>
      </c>
      <c r="AJ80" s="30">
        <f t="shared" si="2"/>
        <v>60.64586426</v>
      </c>
      <c r="AK80" s="32">
        <f t="shared" si="3"/>
        <v>1.7647</v>
      </c>
      <c r="AL80" s="32">
        <f t="shared" si="4"/>
        <v>0.5138</v>
      </c>
      <c r="AM80" s="33">
        <f t="shared" si="5"/>
        <v>70.88456962</v>
      </c>
      <c r="AN80" s="33">
        <f t="shared" si="6"/>
        <v>0.2911543038</v>
      </c>
      <c r="AO80" s="33">
        <f>pi()*3.85*(0.5/2)^2</f>
        <v>0.7559457323</v>
      </c>
      <c r="AP80" s="29">
        <v>0.622</v>
      </c>
      <c r="AQ80" s="32">
        <f t="shared" si="7"/>
        <v>0.8228103863</v>
      </c>
      <c r="AR80" s="30">
        <f t="shared" si="8"/>
        <v>822.8103863</v>
      </c>
      <c r="AS80" s="34">
        <f t="shared" si="9"/>
        <v>31.034</v>
      </c>
    </row>
    <row r="81">
      <c r="A81" s="29" t="s">
        <v>1312</v>
      </c>
      <c r="B81" s="29" t="s">
        <v>1226</v>
      </c>
      <c r="C81" s="29" t="s">
        <v>1227</v>
      </c>
      <c r="D81" s="29" t="s">
        <v>56</v>
      </c>
      <c r="E81" s="29">
        <v>0.333</v>
      </c>
      <c r="F81" s="29">
        <v>0.396</v>
      </c>
      <c r="G81" s="29">
        <v>0.355</v>
      </c>
      <c r="H81" s="29">
        <v>0.231</v>
      </c>
      <c r="I81" s="29">
        <v>0.235</v>
      </c>
      <c r="J81" s="29">
        <v>0.181</v>
      </c>
      <c r="K81" s="29">
        <v>0.408</v>
      </c>
      <c r="L81" s="29">
        <v>0.457</v>
      </c>
      <c r="M81" s="29">
        <v>0.399</v>
      </c>
      <c r="N81" s="29">
        <v>0.365</v>
      </c>
      <c r="O81" s="29">
        <v>0.105</v>
      </c>
      <c r="P81" s="29">
        <v>0.12</v>
      </c>
      <c r="Q81" s="29">
        <v>0.107</v>
      </c>
      <c r="R81" s="29">
        <v>0.075</v>
      </c>
      <c r="S81" s="29">
        <v>0.068</v>
      </c>
      <c r="T81" s="29">
        <v>0.056</v>
      </c>
      <c r="U81" s="29">
        <v>0.134</v>
      </c>
      <c r="V81" s="29">
        <v>0.138</v>
      </c>
      <c r="W81" s="29">
        <v>0.121</v>
      </c>
      <c r="X81" s="29">
        <v>0.118</v>
      </c>
      <c r="Y81" s="29">
        <v>14.165</v>
      </c>
      <c r="Z81" s="29">
        <v>16.026</v>
      </c>
      <c r="AA81" s="29">
        <v>14.904</v>
      </c>
      <c r="AB81" s="29">
        <v>10.215</v>
      </c>
      <c r="AC81" s="29">
        <v>10.565</v>
      </c>
      <c r="AD81" s="29">
        <v>7.447</v>
      </c>
      <c r="AE81" s="29">
        <v>16.797</v>
      </c>
      <c r="AF81" s="29">
        <v>18.854</v>
      </c>
      <c r="AG81" s="29">
        <v>17.064</v>
      </c>
      <c r="AH81" s="29">
        <v>15.134</v>
      </c>
      <c r="AI81" s="30">
        <f t="shared" si="1"/>
        <v>1363.547237</v>
      </c>
      <c r="AJ81" s="30">
        <f t="shared" si="2"/>
        <v>136.3547237</v>
      </c>
      <c r="AK81" s="32">
        <f t="shared" si="3"/>
        <v>0.336</v>
      </c>
      <c r="AL81" s="32">
        <f t="shared" si="4"/>
        <v>0.1042</v>
      </c>
      <c r="AM81" s="33">
        <f t="shared" si="5"/>
        <v>68.98809524</v>
      </c>
      <c r="AN81" s="33">
        <f t="shared" si="6"/>
        <v>0.3101190476</v>
      </c>
      <c r="AO81" s="33">
        <f>pi()*1.1*(0.55/2)^2</f>
        <v>0.2613412389</v>
      </c>
      <c r="AP81" s="29">
        <v>0.127</v>
      </c>
      <c r="AQ81" s="32">
        <f t="shared" si="7"/>
        <v>0.4859546872</v>
      </c>
      <c r="AR81" s="30">
        <f t="shared" si="8"/>
        <v>485.9546872</v>
      </c>
      <c r="AS81" s="34">
        <f t="shared" si="9"/>
        <v>14.1171</v>
      </c>
    </row>
    <row r="82">
      <c r="A82" s="29" t="s">
        <v>1313</v>
      </c>
      <c r="B82" s="29" t="s">
        <v>1226</v>
      </c>
      <c r="C82" s="29" t="s">
        <v>1227</v>
      </c>
      <c r="D82" s="29" t="s">
        <v>27</v>
      </c>
      <c r="E82" s="29">
        <v>0.573</v>
      </c>
      <c r="F82" s="29">
        <v>0.346</v>
      </c>
      <c r="G82" s="29">
        <v>0.411</v>
      </c>
      <c r="H82" s="29">
        <v>0.452</v>
      </c>
      <c r="I82" s="29">
        <v>0.363</v>
      </c>
      <c r="J82" s="29">
        <v>0.42</v>
      </c>
      <c r="K82" s="29">
        <v>0.534</v>
      </c>
      <c r="L82" s="29">
        <v>0.236</v>
      </c>
      <c r="M82" s="29">
        <v>0.511</v>
      </c>
      <c r="N82" s="29">
        <v>0.269</v>
      </c>
      <c r="O82" s="29">
        <v>0.273</v>
      </c>
      <c r="P82" s="29">
        <v>0.162</v>
      </c>
      <c r="Q82" s="29">
        <v>0.19</v>
      </c>
      <c r="R82" s="29">
        <v>0.209</v>
      </c>
      <c r="S82" s="29">
        <v>0.178</v>
      </c>
      <c r="T82" s="29">
        <v>0.201</v>
      </c>
      <c r="U82" s="29">
        <v>0.266</v>
      </c>
      <c r="V82" s="29">
        <v>0.114</v>
      </c>
      <c r="W82" s="29">
        <v>0.234</v>
      </c>
      <c r="X82" s="29">
        <v>0.13</v>
      </c>
      <c r="Y82" s="29">
        <v>23.975</v>
      </c>
      <c r="Z82" s="29">
        <v>16.537</v>
      </c>
      <c r="AA82" s="29">
        <v>19.248</v>
      </c>
      <c r="AB82" s="29">
        <v>22.51</v>
      </c>
      <c r="AC82" s="29">
        <v>16.656</v>
      </c>
      <c r="AD82" s="29">
        <v>19.352</v>
      </c>
      <c r="AE82" s="29">
        <v>24.272</v>
      </c>
      <c r="AF82" s="29">
        <v>12.127</v>
      </c>
      <c r="AG82" s="29">
        <v>25.161</v>
      </c>
      <c r="AH82" s="29">
        <v>13.363</v>
      </c>
      <c r="AI82" s="30">
        <f t="shared" si="1"/>
        <v>996.7042748</v>
      </c>
      <c r="AJ82" s="30">
        <f t="shared" si="2"/>
        <v>99.67042748</v>
      </c>
      <c r="AK82" s="32">
        <f t="shared" si="3"/>
        <v>0.4115</v>
      </c>
      <c r="AL82" s="32">
        <f t="shared" si="4"/>
        <v>0.1957</v>
      </c>
      <c r="AM82" s="33">
        <f t="shared" si="5"/>
        <v>52.44228433</v>
      </c>
      <c r="AN82" s="33">
        <f t="shared" si="6"/>
        <v>0.4755771567</v>
      </c>
      <c r="AO82" s="33">
        <f>pi()*2.4*(0.55/2)^2</f>
        <v>0.5701990666</v>
      </c>
      <c r="AP82" s="29">
        <v>0.328</v>
      </c>
      <c r="AQ82" s="32">
        <f t="shared" si="7"/>
        <v>0.5752377007</v>
      </c>
      <c r="AR82" s="30">
        <f t="shared" si="8"/>
        <v>575.2377007</v>
      </c>
      <c r="AS82" s="34">
        <f t="shared" si="9"/>
        <v>19.3201</v>
      </c>
    </row>
    <row r="83">
      <c r="A83" s="29" t="s">
        <v>1314</v>
      </c>
      <c r="B83" s="29" t="s">
        <v>1226</v>
      </c>
      <c r="C83" s="29" t="s">
        <v>1227</v>
      </c>
      <c r="D83" s="29" t="s">
        <v>104</v>
      </c>
      <c r="E83" s="29">
        <v>0.415</v>
      </c>
      <c r="F83" s="29">
        <v>0.447</v>
      </c>
      <c r="G83" s="29">
        <v>0.345</v>
      </c>
      <c r="H83" s="29">
        <v>0.356</v>
      </c>
      <c r="I83" s="29">
        <v>0.408</v>
      </c>
      <c r="J83" s="29">
        <v>0.474</v>
      </c>
      <c r="K83" s="29">
        <v>0.315</v>
      </c>
      <c r="L83" s="29">
        <v>0.396</v>
      </c>
      <c r="M83" s="29">
        <v>0.39</v>
      </c>
      <c r="N83" s="29">
        <v>0.258</v>
      </c>
      <c r="O83" s="29">
        <v>0.205</v>
      </c>
      <c r="P83" s="29">
        <v>0.205</v>
      </c>
      <c r="Q83" s="29">
        <v>0.172</v>
      </c>
      <c r="R83" s="29">
        <v>0.186</v>
      </c>
      <c r="S83" s="29">
        <v>0.194</v>
      </c>
      <c r="T83" s="29">
        <v>0.231</v>
      </c>
      <c r="U83" s="29">
        <v>0.136</v>
      </c>
      <c r="V83" s="29">
        <v>0.179</v>
      </c>
      <c r="W83" s="29">
        <v>0.209</v>
      </c>
      <c r="X83" s="29">
        <v>0.122</v>
      </c>
      <c r="Y83" s="29">
        <v>17.45</v>
      </c>
      <c r="Z83" s="29">
        <v>21.137</v>
      </c>
      <c r="AA83" s="29">
        <v>14.429</v>
      </c>
      <c r="AB83" s="29">
        <v>14.894</v>
      </c>
      <c r="AC83" s="29">
        <v>17.359</v>
      </c>
      <c r="AD83" s="29">
        <v>21.551</v>
      </c>
      <c r="AE83" s="29">
        <v>15.078</v>
      </c>
      <c r="AF83" s="29">
        <v>17.929</v>
      </c>
      <c r="AG83" s="29">
        <v>16.626</v>
      </c>
      <c r="AH83" s="29">
        <v>12.394</v>
      </c>
      <c r="AI83" s="30">
        <f t="shared" si="1"/>
        <v>927.1378871</v>
      </c>
      <c r="AJ83" s="30">
        <f t="shared" si="2"/>
        <v>92.71378871</v>
      </c>
      <c r="AK83" s="32">
        <f t="shared" si="3"/>
        <v>0.3804</v>
      </c>
      <c r="AL83" s="32">
        <f t="shared" si="4"/>
        <v>0.1839</v>
      </c>
      <c r="AM83" s="33">
        <f t="shared" si="5"/>
        <v>51.65615142</v>
      </c>
      <c r="AN83" s="33">
        <f t="shared" si="6"/>
        <v>0.4834384858</v>
      </c>
      <c r="AO83" s="33">
        <f>pi()*3.5*(0.5/2)^2</f>
        <v>0.687223393</v>
      </c>
      <c r="AP83" s="29">
        <v>0.703</v>
      </c>
      <c r="AQ83" s="32">
        <f t="shared" si="7"/>
        <v>1.022957029</v>
      </c>
      <c r="AR83" s="30">
        <f t="shared" si="8"/>
        <v>1022.957029</v>
      </c>
      <c r="AS83" s="34">
        <f t="shared" si="9"/>
        <v>16.8847</v>
      </c>
    </row>
    <row r="84">
      <c r="A84" s="29" t="s">
        <v>1315</v>
      </c>
      <c r="B84" s="29" t="s">
        <v>1226</v>
      </c>
      <c r="C84" s="29" t="s">
        <v>1227</v>
      </c>
      <c r="D84" s="29" t="s">
        <v>164</v>
      </c>
      <c r="E84" s="29">
        <v>4.823</v>
      </c>
      <c r="F84" s="29">
        <v>3.771</v>
      </c>
      <c r="G84" s="29">
        <v>2.104</v>
      </c>
      <c r="H84" s="29">
        <v>5.506</v>
      </c>
      <c r="I84" s="29">
        <v>4.82</v>
      </c>
      <c r="J84" s="29">
        <v>2.068</v>
      </c>
      <c r="K84" s="29">
        <v>3.964</v>
      </c>
      <c r="L84" s="29">
        <v>4.47</v>
      </c>
      <c r="M84" s="29">
        <v>3.053</v>
      </c>
      <c r="N84" s="29">
        <v>3.387</v>
      </c>
      <c r="O84" s="29">
        <v>2.012</v>
      </c>
      <c r="P84" s="29">
        <v>1.547</v>
      </c>
      <c r="Q84" s="29">
        <v>0.871</v>
      </c>
      <c r="R84" s="29">
        <v>2.134</v>
      </c>
      <c r="S84" s="29">
        <v>2.001</v>
      </c>
      <c r="T84" s="29">
        <v>0.876</v>
      </c>
      <c r="U84" s="29">
        <v>1.618</v>
      </c>
      <c r="V84" s="29">
        <v>1.863</v>
      </c>
      <c r="W84" s="29">
        <v>1.294</v>
      </c>
      <c r="X84" s="29">
        <v>1.388</v>
      </c>
      <c r="Y84" s="29">
        <v>130.823</v>
      </c>
      <c r="Z84" s="29">
        <v>106.958</v>
      </c>
      <c r="AA84" s="29">
        <v>63.617</v>
      </c>
      <c r="AB84" s="29">
        <v>163.546</v>
      </c>
      <c r="AC84" s="29">
        <v>133.354</v>
      </c>
      <c r="AD84" s="29">
        <v>58.388</v>
      </c>
      <c r="AE84" s="29">
        <v>117.017</v>
      </c>
      <c r="AF84" s="29">
        <v>126.502</v>
      </c>
      <c r="AG84" s="29">
        <v>91.523</v>
      </c>
      <c r="AH84" s="29">
        <v>99.475</v>
      </c>
      <c r="AI84" s="30">
        <f t="shared" si="1"/>
        <v>699.7551964</v>
      </c>
      <c r="AJ84" s="30">
        <f t="shared" si="2"/>
        <v>69.97551964</v>
      </c>
      <c r="AK84" s="32">
        <f t="shared" si="3"/>
        <v>3.7966</v>
      </c>
      <c r="AL84" s="32">
        <f t="shared" si="4"/>
        <v>1.5604</v>
      </c>
      <c r="AM84" s="33">
        <f t="shared" si="5"/>
        <v>58.90006848</v>
      </c>
      <c r="AN84" s="33">
        <f t="shared" si="6"/>
        <v>0.4109993152</v>
      </c>
      <c r="AO84" s="33">
        <f>pi()*2.7*(0.5/2)^2</f>
        <v>0.5301437603</v>
      </c>
      <c r="AP84" s="29">
        <v>0.452</v>
      </c>
      <c r="AQ84" s="32">
        <f t="shared" si="7"/>
        <v>0.8525989248</v>
      </c>
      <c r="AR84" s="30">
        <f t="shared" si="8"/>
        <v>852.5989248</v>
      </c>
      <c r="AS84" s="34">
        <f t="shared" si="9"/>
        <v>109.1203</v>
      </c>
    </row>
    <row r="85">
      <c r="A85" s="29" t="s">
        <v>1316</v>
      </c>
      <c r="B85" s="29" t="s">
        <v>1226</v>
      </c>
      <c r="C85" s="29" t="s">
        <v>1227</v>
      </c>
      <c r="D85" s="29" t="s">
        <v>1239</v>
      </c>
      <c r="E85" s="29">
        <v>3.53</v>
      </c>
      <c r="F85" s="29">
        <v>2.704</v>
      </c>
      <c r="G85" s="29">
        <v>1.108</v>
      </c>
      <c r="H85" s="29">
        <v>4.101</v>
      </c>
      <c r="I85" s="29">
        <v>2.336</v>
      </c>
      <c r="J85" s="29">
        <v>2.116</v>
      </c>
      <c r="K85" s="29">
        <v>2.767</v>
      </c>
      <c r="L85" s="29">
        <v>2.414</v>
      </c>
      <c r="M85" s="29">
        <v>1.858</v>
      </c>
      <c r="N85" s="29">
        <v>3.397</v>
      </c>
      <c r="O85" s="29">
        <v>1.408</v>
      </c>
      <c r="P85" s="29">
        <v>0.994</v>
      </c>
      <c r="Q85" s="29">
        <v>0.417</v>
      </c>
      <c r="R85" s="29">
        <v>1.568</v>
      </c>
      <c r="S85" s="29">
        <v>0.916</v>
      </c>
      <c r="T85" s="29">
        <v>0.838</v>
      </c>
      <c r="U85" s="29">
        <v>1.037</v>
      </c>
      <c r="V85" s="29">
        <v>0.92</v>
      </c>
      <c r="W85" s="29">
        <v>0.692</v>
      </c>
      <c r="X85" s="29">
        <v>1.279</v>
      </c>
      <c r="Y85" s="29">
        <v>88.558</v>
      </c>
      <c r="Z85" s="29">
        <v>68.817</v>
      </c>
      <c r="AA85" s="29">
        <v>33.299</v>
      </c>
      <c r="AB85" s="29">
        <v>103.977</v>
      </c>
      <c r="AC85" s="29">
        <v>62.968</v>
      </c>
      <c r="AD85" s="29">
        <v>54.68</v>
      </c>
      <c r="AE85" s="29">
        <v>75.053</v>
      </c>
      <c r="AF85" s="29">
        <v>66.321</v>
      </c>
      <c r="AG85" s="29">
        <v>57.162</v>
      </c>
      <c r="AH85" s="29">
        <v>94.386</v>
      </c>
      <c r="AI85" s="30">
        <f t="shared" si="1"/>
        <v>713.1511616</v>
      </c>
      <c r="AJ85" s="30">
        <f t="shared" si="2"/>
        <v>71.31511616</v>
      </c>
      <c r="AK85" s="32">
        <f t="shared" si="3"/>
        <v>2.6331</v>
      </c>
      <c r="AL85" s="32">
        <f t="shared" si="4"/>
        <v>1.0069</v>
      </c>
      <c r="AM85" s="33">
        <f t="shared" si="5"/>
        <v>61.75990278</v>
      </c>
      <c r="AN85" s="33">
        <f t="shared" si="6"/>
        <v>0.3824009722</v>
      </c>
      <c r="AO85" s="33">
        <f>pi()*4*(0.5/2)^2</f>
        <v>0.7853981634</v>
      </c>
      <c r="AP85" s="29">
        <v>0.624</v>
      </c>
      <c r="AQ85" s="32">
        <f t="shared" si="7"/>
        <v>0.7945014759</v>
      </c>
      <c r="AR85" s="30">
        <f t="shared" si="8"/>
        <v>794.5014759</v>
      </c>
      <c r="AS85" s="34">
        <f t="shared" si="9"/>
        <v>70.5221</v>
      </c>
    </row>
    <row r="86">
      <c r="A86" s="29" t="s">
        <v>1317</v>
      </c>
      <c r="B86" s="29" t="s">
        <v>1226</v>
      </c>
      <c r="C86" s="29" t="s">
        <v>1227</v>
      </c>
      <c r="D86" s="29" t="s">
        <v>1318</v>
      </c>
      <c r="E86" s="29">
        <v>0.834</v>
      </c>
      <c r="F86" s="29">
        <v>0.627</v>
      </c>
      <c r="G86" s="29">
        <v>0.816</v>
      </c>
      <c r="H86" s="29">
        <v>0.421</v>
      </c>
      <c r="I86" s="29">
        <v>0.92</v>
      </c>
      <c r="J86" s="29">
        <v>0.359</v>
      </c>
      <c r="K86" s="29">
        <v>0.486</v>
      </c>
      <c r="L86" s="29">
        <v>0.372</v>
      </c>
      <c r="M86" s="29">
        <v>0.782</v>
      </c>
      <c r="N86" s="29">
        <v>0.432</v>
      </c>
      <c r="O86" s="29">
        <v>0.386</v>
      </c>
      <c r="P86" s="29">
        <v>0.297</v>
      </c>
      <c r="Q86" s="29">
        <v>0.376</v>
      </c>
      <c r="R86" s="29">
        <v>0.187</v>
      </c>
      <c r="S86" s="29">
        <v>0.432</v>
      </c>
      <c r="T86" s="29">
        <v>0.169</v>
      </c>
      <c r="U86" s="29">
        <v>0.21</v>
      </c>
      <c r="V86" s="29">
        <v>0.167</v>
      </c>
      <c r="W86" s="29">
        <v>0.371</v>
      </c>
      <c r="X86" s="29">
        <v>0.193</v>
      </c>
      <c r="Y86" s="29">
        <v>32.209</v>
      </c>
      <c r="Z86" s="29">
        <v>23.962</v>
      </c>
      <c r="AA86" s="29">
        <v>31.351</v>
      </c>
      <c r="AB86" s="29">
        <v>17.505</v>
      </c>
      <c r="AC86" s="29">
        <v>34.526</v>
      </c>
      <c r="AD86" s="29">
        <v>13.319</v>
      </c>
      <c r="AE86" s="29">
        <v>21.266</v>
      </c>
      <c r="AF86" s="29">
        <v>16.33</v>
      </c>
      <c r="AG86" s="29">
        <v>29.011</v>
      </c>
      <c r="AH86" s="29">
        <v>17.46</v>
      </c>
      <c r="AI86" s="30">
        <f t="shared" si="1"/>
        <v>867.5592164</v>
      </c>
      <c r="AJ86" s="30">
        <f t="shared" si="2"/>
        <v>86.75592164</v>
      </c>
      <c r="AK86" s="32">
        <f t="shared" si="3"/>
        <v>0.6049</v>
      </c>
      <c r="AL86" s="32">
        <f t="shared" si="4"/>
        <v>0.2788</v>
      </c>
      <c r="AM86" s="33">
        <f t="shared" si="5"/>
        <v>53.90973715</v>
      </c>
      <c r="AN86" s="33">
        <f t="shared" si="6"/>
        <v>0.4609026285</v>
      </c>
      <c r="AO86" s="33">
        <f>pi()*4.3*(0.55/2)^2</f>
        <v>1.021606661</v>
      </c>
      <c r="AP86" s="29">
        <v>0.684</v>
      </c>
      <c r="AQ86" s="32">
        <f t="shared" si="7"/>
        <v>0.6695336141</v>
      </c>
      <c r="AR86" s="30">
        <f t="shared" si="8"/>
        <v>669.5336141</v>
      </c>
      <c r="AS86" s="34">
        <f t="shared" si="9"/>
        <v>23.6939</v>
      </c>
    </row>
    <row r="87">
      <c r="A87" s="29" t="s">
        <v>1319</v>
      </c>
      <c r="B87" s="29" t="s">
        <v>1226</v>
      </c>
      <c r="C87" s="29" t="s">
        <v>1227</v>
      </c>
      <c r="D87" s="29" t="s">
        <v>1096</v>
      </c>
      <c r="E87" s="29">
        <v>0.999</v>
      </c>
      <c r="F87" s="29">
        <v>1.399</v>
      </c>
      <c r="G87" s="29">
        <v>1.56</v>
      </c>
      <c r="H87" s="29">
        <v>1.457</v>
      </c>
      <c r="I87" s="29">
        <v>1.723</v>
      </c>
      <c r="J87" s="29">
        <v>1.414</v>
      </c>
      <c r="K87" s="29">
        <v>1.532</v>
      </c>
      <c r="L87" s="29">
        <v>1.504</v>
      </c>
      <c r="M87" s="29">
        <v>1.769</v>
      </c>
      <c r="N87" s="29">
        <v>2.083</v>
      </c>
      <c r="O87" s="29">
        <v>0.416</v>
      </c>
      <c r="P87" s="29">
        <v>0.576</v>
      </c>
      <c r="Q87" s="29">
        <v>0.653</v>
      </c>
      <c r="R87" s="29">
        <v>0.626</v>
      </c>
      <c r="S87" s="29">
        <v>0.789</v>
      </c>
      <c r="T87" s="29">
        <v>0.586</v>
      </c>
      <c r="U87" s="29">
        <v>0.609</v>
      </c>
      <c r="V87" s="29">
        <v>0.634</v>
      </c>
      <c r="W87" s="29">
        <v>0.728</v>
      </c>
      <c r="X87" s="29">
        <v>1.01</v>
      </c>
      <c r="Y87" s="29">
        <v>21.643</v>
      </c>
      <c r="Z87" s="29">
        <v>30.144</v>
      </c>
      <c r="AA87" s="29">
        <v>33.184</v>
      </c>
      <c r="AB87" s="29">
        <v>31.787</v>
      </c>
      <c r="AC87" s="29">
        <v>36.82</v>
      </c>
      <c r="AD87" s="36">
        <v>31.117</v>
      </c>
      <c r="AE87" s="29">
        <v>36.352</v>
      </c>
      <c r="AF87" s="29">
        <v>32.709</v>
      </c>
      <c r="AG87" s="29">
        <v>38.544</v>
      </c>
      <c r="AH87" s="29">
        <v>38.742</v>
      </c>
      <c r="AI87" s="30">
        <f t="shared" si="1"/>
        <v>508.309095</v>
      </c>
      <c r="AJ87" s="30">
        <f t="shared" si="2"/>
        <v>50.8309095</v>
      </c>
      <c r="AK87" s="32">
        <f t="shared" si="3"/>
        <v>1.544</v>
      </c>
      <c r="AL87" s="32">
        <f t="shared" si="4"/>
        <v>0.6627</v>
      </c>
      <c r="AM87" s="33">
        <f t="shared" si="5"/>
        <v>57.07901554</v>
      </c>
      <c r="AN87" s="33">
        <f t="shared" si="6"/>
        <v>0.4292098446</v>
      </c>
      <c r="AO87" s="33">
        <f>pi()*5.25*(0.5/2)^2</f>
        <v>1.030835089</v>
      </c>
      <c r="AP87" s="29">
        <v>1.127</v>
      </c>
      <c r="AQ87" s="32">
        <f t="shared" si="7"/>
        <v>1.093288356</v>
      </c>
      <c r="AR87" s="30">
        <f t="shared" si="8"/>
        <v>1093.288356</v>
      </c>
      <c r="AS87" s="34">
        <f t="shared" si="9"/>
        <v>33.1042</v>
      </c>
    </row>
    <row r="88">
      <c r="A88" s="29" t="s">
        <v>1320</v>
      </c>
      <c r="B88" s="29" t="s">
        <v>1226</v>
      </c>
      <c r="C88" s="29" t="s">
        <v>1227</v>
      </c>
      <c r="D88" s="29" t="s">
        <v>28</v>
      </c>
      <c r="E88" s="29">
        <v>0.202</v>
      </c>
      <c r="F88" s="29">
        <v>0.431</v>
      </c>
      <c r="G88" s="29">
        <v>0.326</v>
      </c>
      <c r="H88" s="29">
        <v>0.269</v>
      </c>
      <c r="I88" s="29">
        <v>0.275</v>
      </c>
      <c r="J88" s="29">
        <v>0.227</v>
      </c>
      <c r="K88" s="29">
        <v>0.371</v>
      </c>
      <c r="L88" s="29">
        <v>0.389</v>
      </c>
      <c r="M88" s="29">
        <v>0.231</v>
      </c>
      <c r="N88" s="29">
        <v>0.327</v>
      </c>
      <c r="O88" s="29">
        <v>0.095</v>
      </c>
      <c r="P88" s="29">
        <v>0.21</v>
      </c>
      <c r="Q88" s="29">
        <v>0.16</v>
      </c>
      <c r="R88" s="29">
        <v>0.135</v>
      </c>
      <c r="S88" s="29">
        <v>0.133</v>
      </c>
      <c r="T88" s="29">
        <v>0.115</v>
      </c>
      <c r="U88" s="29">
        <v>0.184</v>
      </c>
      <c r="V88" s="29">
        <v>0.181</v>
      </c>
      <c r="W88" s="29">
        <v>0.113</v>
      </c>
      <c r="X88" s="29">
        <v>0.16</v>
      </c>
      <c r="Y88" s="29">
        <v>18.325</v>
      </c>
      <c r="Z88" s="29">
        <v>37.098</v>
      </c>
      <c r="AA88" s="29">
        <v>25.536</v>
      </c>
      <c r="AB88" s="29">
        <v>21.833</v>
      </c>
      <c r="AC88" s="29">
        <v>20.862</v>
      </c>
      <c r="AD88" s="29">
        <v>21.945</v>
      </c>
      <c r="AE88" s="29">
        <v>33.365</v>
      </c>
      <c r="AF88" s="29">
        <v>33.593</v>
      </c>
      <c r="AG88" s="29">
        <v>17.895</v>
      </c>
      <c r="AH88" s="29">
        <v>24.752</v>
      </c>
      <c r="AI88" s="30">
        <f t="shared" si="1"/>
        <v>1718.552074</v>
      </c>
      <c r="AJ88" s="30">
        <f t="shared" si="2"/>
        <v>171.8552074</v>
      </c>
      <c r="AK88" s="32">
        <f t="shared" si="3"/>
        <v>0.3048</v>
      </c>
      <c r="AL88" s="32">
        <f t="shared" si="4"/>
        <v>0.1486</v>
      </c>
      <c r="AM88" s="33">
        <f t="shared" si="5"/>
        <v>51.24671916</v>
      </c>
      <c r="AN88" s="33">
        <f t="shared" si="6"/>
        <v>0.4875328084</v>
      </c>
      <c r="AO88" s="33">
        <f>pi()*6.2*(0.5/2)^2</f>
        <v>1.217367153</v>
      </c>
      <c r="AP88" s="29">
        <v>1.035</v>
      </c>
      <c r="AQ88" s="32">
        <f t="shared" si="7"/>
        <v>0.8501954379</v>
      </c>
      <c r="AR88" s="30">
        <f t="shared" si="8"/>
        <v>850.1954379</v>
      </c>
      <c r="AS88" s="34">
        <f t="shared" si="9"/>
        <v>25.5204</v>
      </c>
    </row>
    <row r="89">
      <c r="A89" s="29" t="s">
        <v>1321</v>
      </c>
      <c r="B89" s="29" t="s">
        <v>1021</v>
      </c>
      <c r="C89" s="29" t="s">
        <v>1227</v>
      </c>
      <c r="D89" s="29" t="s">
        <v>779</v>
      </c>
      <c r="E89" s="29">
        <v>2.365</v>
      </c>
      <c r="F89" s="29">
        <v>2.976</v>
      </c>
      <c r="G89" s="29">
        <v>1.376</v>
      </c>
      <c r="H89" s="29">
        <v>3.268</v>
      </c>
      <c r="I89" s="29">
        <v>3.652</v>
      </c>
      <c r="J89" s="29">
        <v>1.4</v>
      </c>
      <c r="K89" s="29">
        <v>3.55</v>
      </c>
      <c r="L89" s="29">
        <v>2.84</v>
      </c>
      <c r="M89" s="29">
        <v>1.543</v>
      </c>
      <c r="N89" s="29">
        <v>1.455</v>
      </c>
      <c r="O89" s="29">
        <v>1.004</v>
      </c>
      <c r="P89" s="29">
        <v>1.273</v>
      </c>
      <c r="Q89" s="29">
        <v>0.612</v>
      </c>
      <c r="R89" s="29">
        <v>1.461</v>
      </c>
      <c r="S89" s="29">
        <v>1.641</v>
      </c>
      <c r="T89" s="29">
        <v>0.606</v>
      </c>
      <c r="U89" s="29">
        <v>1.571</v>
      </c>
      <c r="V89" s="29">
        <v>1.262</v>
      </c>
      <c r="W89" s="29">
        <v>0.687</v>
      </c>
      <c r="X89" s="29">
        <v>0.644</v>
      </c>
      <c r="Y89" s="29">
        <v>103.702</v>
      </c>
      <c r="Z89" s="29">
        <v>129.104</v>
      </c>
      <c r="AA89" s="29">
        <v>59.806</v>
      </c>
      <c r="AB89" s="29">
        <v>142.688</v>
      </c>
      <c r="AC89" s="29">
        <v>149.534</v>
      </c>
      <c r="AD89" s="29">
        <v>63.933</v>
      </c>
      <c r="AE89" s="29">
        <v>145.411</v>
      </c>
      <c r="AF89" s="29">
        <v>123.589</v>
      </c>
      <c r="AG89" s="29">
        <v>67.309</v>
      </c>
      <c r="AH89" s="29">
        <v>65.012</v>
      </c>
      <c r="AI89" s="30">
        <f t="shared" si="1"/>
        <v>986.1326534</v>
      </c>
      <c r="AJ89" s="30">
        <f t="shared" si="2"/>
        <v>98.61326534</v>
      </c>
      <c r="AK89" s="32">
        <f t="shared" si="3"/>
        <v>2.4425</v>
      </c>
      <c r="AL89" s="32">
        <f t="shared" si="4"/>
        <v>1.0761</v>
      </c>
      <c r="AM89" s="33">
        <f t="shared" si="5"/>
        <v>55.94268168</v>
      </c>
      <c r="AN89" s="33">
        <f t="shared" si="6"/>
        <v>0.4405731832</v>
      </c>
      <c r="AO89" s="33">
        <f>pi()*5.8*(0.5/2)^2</f>
        <v>1.138827337</v>
      </c>
      <c r="AP89" s="29">
        <v>1.032</v>
      </c>
      <c r="AQ89" s="32">
        <f t="shared" si="7"/>
        <v>0.9061953174</v>
      </c>
      <c r="AR89" s="30">
        <f t="shared" si="8"/>
        <v>906.1953174</v>
      </c>
      <c r="AS89" s="34">
        <f t="shared" si="9"/>
        <v>105.0088</v>
      </c>
    </row>
    <row r="90">
      <c r="A90" s="29" t="s">
        <v>1322</v>
      </c>
      <c r="B90" s="29" t="s">
        <v>1021</v>
      </c>
      <c r="C90" s="29" t="s">
        <v>1227</v>
      </c>
      <c r="D90" s="29" t="s">
        <v>761</v>
      </c>
      <c r="E90" s="29">
        <v>1.76</v>
      </c>
      <c r="F90" s="29">
        <v>1.838</v>
      </c>
      <c r="G90" s="29">
        <v>2.209</v>
      </c>
      <c r="H90" s="29">
        <v>2.781</v>
      </c>
      <c r="I90" s="29">
        <v>2.473</v>
      </c>
      <c r="J90" s="29">
        <v>2.5</v>
      </c>
      <c r="K90" s="29">
        <v>2.305</v>
      </c>
      <c r="L90" s="29">
        <v>1.704</v>
      </c>
      <c r="M90" s="29">
        <v>1.594</v>
      </c>
      <c r="N90" s="29">
        <v>1.15</v>
      </c>
      <c r="O90" s="29">
        <v>0.457</v>
      </c>
      <c r="P90" s="29">
        <v>0.485</v>
      </c>
      <c r="Q90" s="29">
        <v>0.566</v>
      </c>
      <c r="R90" s="29">
        <v>0.697</v>
      </c>
      <c r="S90" s="29">
        <v>0.589</v>
      </c>
      <c r="T90" s="29">
        <v>0.606</v>
      </c>
      <c r="U90" s="29">
        <v>0.572</v>
      </c>
      <c r="V90" s="29">
        <v>0.411</v>
      </c>
      <c r="W90" s="29">
        <v>0.406</v>
      </c>
      <c r="X90" s="29">
        <v>0.283</v>
      </c>
      <c r="Y90" s="29">
        <v>30.864</v>
      </c>
      <c r="Z90" s="29">
        <v>32.078</v>
      </c>
      <c r="AA90" s="29">
        <v>40.095</v>
      </c>
      <c r="AB90" s="29">
        <v>51.458</v>
      </c>
      <c r="AC90" s="29">
        <v>45.082</v>
      </c>
      <c r="AD90" s="29">
        <v>45.917</v>
      </c>
      <c r="AE90" s="29">
        <v>41.428</v>
      </c>
      <c r="AF90" s="29">
        <v>31.443</v>
      </c>
      <c r="AG90" s="29">
        <v>30.445</v>
      </c>
      <c r="AH90" s="29">
        <v>22.119</v>
      </c>
      <c r="AI90" s="30">
        <f t="shared" si="1"/>
        <v>732.730811</v>
      </c>
      <c r="AJ90" s="30">
        <f t="shared" si="2"/>
        <v>73.2730811</v>
      </c>
      <c r="AK90" s="32">
        <f t="shared" si="3"/>
        <v>2.0314</v>
      </c>
      <c r="AL90" s="32">
        <f t="shared" si="4"/>
        <v>0.5072</v>
      </c>
      <c r="AM90" s="33">
        <f t="shared" si="5"/>
        <v>75.03199764</v>
      </c>
      <c r="AN90" s="33">
        <f t="shared" si="6"/>
        <v>0.2496800236</v>
      </c>
      <c r="AO90" s="33">
        <f>pi()*4.2*(0.5/2)^2</f>
        <v>0.8246680716</v>
      </c>
      <c r="AP90" s="29">
        <v>0.644</v>
      </c>
      <c r="AQ90" s="32">
        <f t="shared" si="7"/>
        <v>0.7809202541</v>
      </c>
      <c r="AR90" s="30">
        <f t="shared" si="8"/>
        <v>780.9202541</v>
      </c>
      <c r="AS90" s="34">
        <f t="shared" si="9"/>
        <v>37.0929</v>
      </c>
    </row>
    <row r="91">
      <c r="A91" s="29" t="s">
        <v>1323</v>
      </c>
      <c r="B91" s="29" t="s">
        <v>1021</v>
      </c>
      <c r="C91" s="29" t="s">
        <v>1227</v>
      </c>
      <c r="D91" s="29" t="s">
        <v>1294</v>
      </c>
      <c r="E91" s="29">
        <v>1.259</v>
      </c>
      <c r="F91" s="29">
        <v>2.344</v>
      </c>
      <c r="G91" s="29">
        <v>1.148</v>
      </c>
      <c r="H91" s="37">
        <v>1136.0</v>
      </c>
      <c r="I91" s="29">
        <v>1.011</v>
      </c>
      <c r="J91" s="29">
        <v>0.975</v>
      </c>
      <c r="K91" s="29">
        <v>1.504</v>
      </c>
      <c r="L91" s="29">
        <v>1.254</v>
      </c>
      <c r="M91" s="29">
        <v>1.501</v>
      </c>
      <c r="N91" s="29">
        <v>2.428</v>
      </c>
      <c r="O91" s="29">
        <v>0.329</v>
      </c>
      <c r="P91" s="29">
        <v>0.609</v>
      </c>
      <c r="Q91" s="29">
        <v>0.319</v>
      </c>
      <c r="R91" s="29">
        <v>0.292</v>
      </c>
      <c r="S91" s="29">
        <v>0.268</v>
      </c>
      <c r="T91" s="29">
        <v>0.249</v>
      </c>
      <c r="U91" s="29">
        <v>0.394</v>
      </c>
      <c r="V91" s="29">
        <v>0.364</v>
      </c>
      <c r="W91" s="29">
        <v>0.389</v>
      </c>
      <c r="X91" s="29">
        <v>0.623</v>
      </c>
      <c r="Y91" s="29">
        <v>41.656</v>
      </c>
      <c r="Z91" s="29">
        <v>74.578</v>
      </c>
      <c r="AA91" s="29">
        <v>40.666</v>
      </c>
      <c r="AB91" s="29">
        <v>41.162</v>
      </c>
      <c r="AC91" s="29">
        <v>36.781</v>
      </c>
      <c r="AD91" s="29">
        <v>33.64</v>
      </c>
      <c r="AE91" s="29">
        <v>47.011</v>
      </c>
      <c r="AF91" s="29">
        <v>42.364</v>
      </c>
      <c r="AG91" s="29">
        <v>52.788</v>
      </c>
      <c r="AH91" s="29">
        <v>78.658</v>
      </c>
      <c r="AI91" s="30">
        <f t="shared" si="1"/>
        <v>1287.522564</v>
      </c>
      <c r="AJ91" s="30">
        <f t="shared" si="2"/>
        <v>128.7522564</v>
      </c>
      <c r="AK91" s="32">
        <f t="shared" si="3"/>
        <v>114.9424</v>
      </c>
      <c r="AL91" s="32">
        <f t="shared" si="4"/>
        <v>0.3836</v>
      </c>
      <c r="AM91" s="33">
        <f t="shared" si="5"/>
        <v>99.66626763</v>
      </c>
      <c r="AN91" s="33">
        <f t="shared" si="6"/>
        <v>0.003337323738</v>
      </c>
      <c r="AO91" s="33">
        <f>pi()*5.2*(0.5/2)^2</f>
        <v>1.021017612</v>
      </c>
      <c r="AP91" s="29">
        <v>0.696</v>
      </c>
      <c r="AQ91" s="32">
        <f t="shared" si="7"/>
        <v>0.681672864</v>
      </c>
      <c r="AR91" s="30">
        <f t="shared" si="8"/>
        <v>681.672864</v>
      </c>
      <c r="AS91" s="34">
        <f t="shared" si="9"/>
        <v>48.9304</v>
      </c>
    </row>
    <row r="92">
      <c r="A92" s="29" t="s">
        <v>1324</v>
      </c>
      <c r="B92" s="29" t="s">
        <v>1021</v>
      </c>
      <c r="C92" s="29" t="s">
        <v>1227</v>
      </c>
      <c r="D92" s="29" t="s">
        <v>153</v>
      </c>
      <c r="E92" s="29">
        <v>1.399</v>
      </c>
      <c r="F92" s="29">
        <v>1.025</v>
      </c>
      <c r="G92" s="29">
        <v>0.952</v>
      </c>
      <c r="H92" s="29">
        <v>0.798</v>
      </c>
      <c r="I92" s="29">
        <v>0.765</v>
      </c>
      <c r="J92" s="29">
        <v>0.95</v>
      </c>
      <c r="K92" s="29">
        <v>0.713</v>
      </c>
      <c r="L92" s="29">
        <v>0.857</v>
      </c>
      <c r="M92" s="29">
        <v>0.762</v>
      </c>
      <c r="N92" s="29">
        <v>0.759</v>
      </c>
      <c r="O92" s="29">
        <v>0.266</v>
      </c>
      <c r="P92" s="29">
        <v>0.234</v>
      </c>
      <c r="Q92" s="29">
        <v>0.193</v>
      </c>
      <c r="R92" s="29">
        <v>0.151</v>
      </c>
      <c r="S92" s="29">
        <v>0.176</v>
      </c>
      <c r="T92" s="29">
        <v>0.205</v>
      </c>
      <c r="U92" s="29">
        <v>0.153</v>
      </c>
      <c r="V92" s="29">
        <v>0.159</v>
      </c>
      <c r="W92" s="29">
        <v>0.178</v>
      </c>
      <c r="X92" s="29">
        <v>0.14</v>
      </c>
      <c r="Y92" s="29">
        <v>43.855</v>
      </c>
      <c r="Z92" s="29">
        <v>29.804</v>
      </c>
      <c r="AA92" s="29">
        <v>28.132</v>
      </c>
      <c r="AB92" s="29">
        <v>30.072</v>
      </c>
      <c r="AC92" s="29">
        <v>23.279</v>
      </c>
      <c r="AD92" s="29">
        <v>27.33</v>
      </c>
      <c r="AE92" s="29">
        <v>25.092</v>
      </c>
      <c r="AF92" s="29">
        <v>29.449</v>
      </c>
      <c r="AG92" s="29">
        <v>25.933</v>
      </c>
      <c r="AH92" s="29">
        <v>26.545</v>
      </c>
      <c r="AI92" s="30">
        <f t="shared" si="1"/>
        <v>1587.246028</v>
      </c>
      <c r="AJ92" s="30">
        <f t="shared" si="2"/>
        <v>158.7246028</v>
      </c>
      <c r="AK92" s="32">
        <f t="shared" si="3"/>
        <v>0.898</v>
      </c>
      <c r="AL92" s="32">
        <f t="shared" si="4"/>
        <v>0.1855</v>
      </c>
      <c r="AM92" s="33">
        <f t="shared" si="5"/>
        <v>79.34298441</v>
      </c>
      <c r="AN92" s="33">
        <f t="shared" si="6"/>
        <v>0.2065701559</v>
      </c>
      <c r="AO92" s="33">
        <f>pi()*4.3*(0.5/2)^2</f>
        <v>0.8443030257</v>
      </c>
      <c r="AP92" s="29">
        <v>0.432</v>
      </c>
      <c r="AQ92" s="32">
        <f t="shared" si="7"/>
        <v>0.5116646357</v>
      </c>
      <c r="AR92" s="30">
        <f t="shared" si="8"/>
        <v>511.6646357</v>
      </c>
      <c r="AS92" s="34">
        <f t="shared" si="9"/>
        <v>28.9491</v>
      </c>
    </row>
    <row r="93">
      <c r="A93" s="29" t="s">
        <v>1325</v>
      </c>
      <c r="B93" s="29" t="s">
        <v>1021</v>
      </c>
      <c r="C93" s="29" t="s">
        <v>1227</v>
      </c>
      <c r="D93" s="29" t="s">
        <v>232</v>
      </c>
      <c r="E93" s="29">
        <v>0.461</v>
      </c>
      <c r="F93" s="29">
        <v>0.837</v>
      </c>
      <c r="G93" s="29">
        <v>1.095</v>
      </c>
      <c r="H93" s="29">
        <v>0.693</v>
      </c>
      <c r="I93" s="29">
        <v>0.817</v>
      </c>
      <c r="J93" s="29">
        <v>0.827</v>
      </c>
      <c r="K93" s="29">
        <v>0.565</v>
      </c>
      <c r="L93" s="29">
        <v>0.841</v>
      </c>
      <c r="M93" s="29">
        <v>0.662</v>
      </c>
      <c r="N93" s="29">
        <v>0.726</v>
      </c>
      <c r="O93" s="29">
        <v>0.205</v>
      </c>
      <c r="P93" s="29">
        <v>0.391</v>
      </c>
      <c r="Q93" s="29">
        <v>0.493</v>
      </c>
      <c r="R93" s="29">
        <v>0.271</v>
      </c>
      <c r="S93" s="29">
        <v>0.331</v>
      </c>
      <c r="T93" s="29">
        <v>0.366</v>
      </c>
      <c r="U93" s="29">
        <v>0.22</v>
      </c>
      <c r="V93" s="29">
        <v>0.407</v>
      </c>
      <c r="W93" s="29">
        <v>0.271</v>
      </c>
      <c r="X93" s="29">
        <v>0.362</v>
      </c>
      <c r="Y93" s="29">
        <v>15.155</v>
      </c>
      <c r="Z93" s="29">
        <v>27.25</v>
      </c>
      <c r="AA93" s="29">
        <v>33.353</v>
      </c>
      <c r="AB93" s="29">
        <v>21.497</v>
      </c>
      <c r="AC93" s="29">
        <v>24.648</v>
      </c>
      <c r="AD93" s="29">
        <v>24.124</v>
      </c>
      <c r="AE93" s="29">
        <v>20.401</v>
      </c>
      <c r="AF93" s="29">
        <v>25.588</v>
      </c>
      <c r="AG93" s="29">
        <v>20.07</v>
      </c>
      <c r="AH93" s="29">
        <v>22.542</v>
      </c>
      <c r="AI93" s="30">
        <f t="shared" si="1"/>
        <v>722.9069721</v>
      </c>
      <c r="AJ93" s="30">
        <f t="shared" si="2"/>
        <v>72.29069721</v>
      </c>
      <c r="AK93" s="32">
        <f t="shared" si="3"/>
        <v>0.7524</v>
      </c>
      <c r="AL93" s="32">
        <f t="shared" si="4"/>
        <v>0.3317</v>
      </c>
      <c r="AM93" s="33">
        <f t="shared" si="5"/>
        <v>55.91440723</v>
      </c>
      <c r="AN93" s="33">
        <f t="shared" si="6"/>
        <v>0.4408559277</v>
      </c>
      <c r="AO93" s="33">
        <f>pi()*5.2*(0.5/2)^2</f>
        <v>1.021017612</v>
      </c>
      <c r="AP93" s="29">
        <v>0.8</v>
      </c>
      <c r="AQ93" s="32">
        <f t="shared" si="7"/>
        <v>0.7835320275</v>
      </c>
      <c r="AR93" s="30">
        <f t="shared" si="8"/>
        <v>783.5320275</v>
      </c>
      <c r="AS93" s="34">
        <f t="shared" si="9"/>
        <v>23.4628</v>
      </c>
    </row>
    <row r="94">
      <c r="A94" s="29" t="s">
        <v>1326</v>
      </c>
      <c r="B94" s="29" t="s">
        <v>1021</v>
      </c>
      <c r="C94" s="29" t="s">
        <v>1227</v>
      </c>
      <c r="D94" s="29" t="s">
        <v>1318</v>
      </c>
      <c r="E94" s="29">
        <v>0.647</v>
      </c>
      <c r="F94" s="29">
        <v>0.58</v>
      </c>
      <c r="G94" s="29">
        <v>0.66</v>
      </c>
      <c r="H94" s="29">
        <v>0.602</v>
      </c>
      <c r="I94" s="29">
        <v>0.615</v>
      </c>
      <c r="J94" s="29">
        <v>0.675</v>
      </c>
      <c r="K94" s="29">
        <v>0.678</v>
      </c>
      <c r="L94" s="29">
        <v>0.617</v>
      </c>
      <c r="M94" s="29">
        <v>0.69</v>
      </c>
      <c r="N94" s="29">
        <v>0.472</v>
      </c>
      <c r="O94" s="29">
        <v>0.304</v>
      </c>
      <c r="P94" s="29">
        <v>0.275</v>
      </c>
      <c r="Q94" s="29">
        <v>0.309</v>
      </c>
      <c r="R94" s="29">
        <v>0.283</v>
      </c>
      <c r="S94" s="29">
        <v>0.289</v>
      </c>
      <c r="T94" s="29">
        <v>0.321</v>
      </c>
      <c r="U94" s="29">
        <v>0.326</v>
      </c>
      <c r="V94" s="29">
        <v>0.292</v>
      </c>
      <c r="W94" s="29">
        <v>0.327</v>
      </c>
      <c r="X94" s="29">
        <v>0.226</v>
      </c>
      <c r="Y94" s="29">
        <v>22.279</v>
      </c>
      <c r="Z94" s="29">
        <v>20.432</v>
      </c>
      <c r="AA94" s="29">
        <v>23.948</v>
      </c>
      <c r="AB94" s="29">
        <v>22.065</v>
      </c>
      <c r="AC94" s="29">
        <v>19.604</v>
      </c>
      <c r="AD94" s="29">
        <v>21.368</v>
      </c>
      <c r="AE94" s="29">
        <v>23.486</v>
      </c>
      <c r="AF94" s="29">
        <v>21.507</v>
      </c>
      <c r="AG94" s="29">
        <v>24.96</v>
      </c>
      <c r="AH94" s="29">
        <v>16.234</v>
      </c>
      <c r="AI94" s="30">
        <f t="shared" si="1"/>
        <v>731.3142583</v>
      </c>
      <c r="AJ94" s="30">
        <f t="shared" si="2"/>
        <v>73.13142583</v>
      </c>
      <c r="AK94" s="32">
        <f t="shared" si="3"/>
        <v>0.6236</v>
      </c>
      <c r="AL94" s="32">
        <f t="shared" si="4"/>
        <v>0.2952</v>
      </c>
      <c r="AM94" s="33">
        <f t="shared" si="5"/>
        <v>52.6619628</v>
      </c>
      <c r="AN94" s="33">
        <f t="shared" si="6"/>
        <v>0.473380372</v>
      </c>
      <c r="AO94" s="33">
        <f>pi()*4.2*(0.5/2)^2</f>
        <v>0.8246680716</v>
      </c>
      <c r="AP94" s="29">
        <v>0.635</v>
      </c>
      <c r="AQ94" s="32">
        <f t="shared" si="7"/>
        <v>0.7700067723</v>
      </c>
      <c r="AR94" s="30">
        <f t="shared" si="8"/>
        <v>770.0067723</v>
      </c>
      <c r="AS94" s="34">
        <f t="shared" si="9"/>
        <v>21.5883</v>
      </c>
    </row>
    <row r="95">
      <c r="A95" s="29" t="s">
        <v>1327</v>
      </c>
      <c r="B95" s="29" t="s">
        <v>1021</v>
      </c>
      <c r="C95" s="29" t="s">
        <v>1227</v>
      </c>
      <c r="D95" s="29" t="s">
        <v>1025</v>
      </c>
      <c r="E95" s="29">
        <v>1.867</v>
      </c>
      <c r="F95" s="29">
        <v>1.521</v>
      </c>
      <c r="G95" s="29">
        <v>1.912</v>
      </c>
      <c r="H95" s="29">
        <v>2.011</v>
      </c>
      <c r="I95" s="29">
        <v>1.018</v>
      </c>
      <c r="J95" s="29">
        <v>2.155</v>
      </c>
      <c r="K95" s="29">
        <v>1.161</v>
      </c>
      <c r="L95" s="29">
        <v>1.832</v>
      </c>
      <c r="M95" s="29">
        <v>1.481</v>
      </c>
      <c r="N95" s="29">
        <v>0.698</v>
      </c>
      <c r="O95" s="29">
        <v>0.834</v>
      </c>
      <c r="P95" s="29">
        <v>0.623</v>
      </c>
      <c r="Q95" s="29">
        <v>0.788</v>
      </c>
      <c r="R95" s="29">
        <v>0.848</v>
      </c>
      <c r="S95" s="29">
        <v>0.424</v>
      </c>
      <c r="T95" s="29">
        <v>0.977</v>
      </c>
      <c r="U95" s="29">
        <v>0.477</v>
      </c>
      <c r="V95" s="29">
        <v>0.854</v>
      </c>
      <c r="W95" s="29">
        <v>0.601</v>
      </c>
      <c r="X95" s="29">
        <v>0.332</v>
      </c>
      <c r="Y95" s="29">
        <v>46.677</v>
      </c>
      <c r="Z95" s="29">
        <v>36.019</v>
      </c>
      <c r="AA95" s="29">
        <v>42.722</v>
      </c>
      <c r="AB95" s="29">
        <v>43.363</v>
      </c>
      <c r="AC95" s="29">
        <v>24.128</v>
      </c>
      <c r="AD95" s="29">
        <v>52.241</v>
      </c>
      <c r="AE95" s="29">
        <v>28.638</v>
      </c>
      <c r="AF95" s="29">
        <v>44.088</v>
      </c>
      <c r="AG95" s="29">
        <v>35.215</v>
      </c>
      <c r="AH95" s="29">
        <v>19.246</v>
      </c>
      <c r="AI95" s="30">
        <f t="shared" si="1"/>
        <v>557.737792</v>
      </c>
      <c r="AJ95" s="30">
        <f t="shared" si="2"/>
        <v>55.7737792</v>
      </c>
      <c r="AK95" s="32">
        <f t="shared" si="3"/>
        <v>1.5656</v>
      </c>
      <c r="AL95" s="32">
        <f t="shared" si="4"/>
        <v>0.6758</v>
      </c>
      <c r="AM95" s="33">
        <f t="shared" si="5"/>
        <v>56.83444047</v>
      </c>
      <c r="AN95" s="33">
        <f t="shared" si="6"/>
        <v>0.4316555953</v>
      </c>
      <c r="AO95" s="33">
        <f>pi()*2.85*(0.5/2)^2</f>
        <v>0.5595961914</v>
      </c>
      <c r="AP95" s="29">
        <v>0.369</v>
      </c>
      <c r="AQ95" s="32">
        <f t="shared" si="7"/>
        <v>0.659404059</v>
      </c>
      <c r="AR95" s="30">
        <f t="shared" si="8"/>
        <v>659.404059</v>
      </c>
      <c r="AS95" s="34">
        <f t="shared" si="9"/>
        <v>37.2337</v>
      </c>
    </row>
    <row r="96">
      <c r="A96" s="29" t="s">
        <v>1328</v>
      </c>
      <c r="B96" s="29" t="s">
        <v>1021</v>
      </c>
      <c r="C96" s="29" t="s">
        <v>1227</v>
      </c>
      <c r="D96" s="29" t="s">
        <v>779</v>
      </c>
      <c r="E96" s="29">
        <v>2.499</v>
      </c>
      <c r="F96" s="29">
        <v>2.998</v>
      </c>
      <c r="G96" s="29">
        <v>1.296</v>
      </c>
      <c r="H96" s="29">
        <v>2.405</v>
      </c>
      <c r="I96" s="29">
        <v>2.104</v>
      </c>
      <c r="J96" s="29">
        <v>1.164</v>
      </c>
      <c r="K96" s="29">
        <v>2.378</v>
      </c>
      <c r="L96" s="29">
        <v>1.914</v>
      </c>
      <c r="M96" s="29">
        <v>1.645</v>
      </c>
      <c r="N96" s="29">
        <v>2.289</v>
      </c>
      <c r="O96" s="29">
        <v>1.149</v>
      </c>
      <c r="P96" s="29">
        <v>1.375</v>
      </c>
      <c r="Q96" s="29">
        <v>0.565</v>
      </c>
      <c r="R96" s="29">
        <v>1.109</v>
      </c>
      <c r="S96" s="29">
        <v>0.949</v>
      </c>
      <c r="T96" s="29">
        <v>0.517</v>
      </c>
      <c r="U96" s="29">
        <v>1.085</v>
      </c>
      <c r="V96" s="29">
        <v>0.834</v>
      </c>
      <c r="W96" s="29">
        <v>0.722</v>
      </c>
      <c r="X96" s="29">
        <v>1.059</v>
      </c>
      <c r="Y96" s="29">
        <v>90.77</v>
      </c>
      <c r="Z96" s="29">
        <v>115.116</v>
      </c>
      <c r="AA96" s="29">
        <v>55.247</v>
      </c>
      <c r="AB96" s="29">
        <v>98.116</v>
      </c>
      <c r="AC96" s="29">
        <v>86.379</v>
      </c>
      <c r="AD96" s="29">
        <v>50.633</v>
      </c>
      <c r="AE96" s="29">
        <v>93.372</v>
      </c>
      <c r="AF96" s="29">
        <v>80.603</v>
      </c>
      <c r="AG96" s="29">
        <v>67.892</v>
      </c>
      <c r="AH96" s="29">
        <v>84.178</v>
      </c>
      <c r="AI96" s="30">
        <f t="shared" si="1"/>
        <v>894.1567638</v>
      </c>
      <c r="AJ96" s="30">
        <f t="shared" si="2"/>
        <v>89.41567638</v>
      </c>
      <c r="AK96" s="32">
        <f t="shared" si="3"/>
        <v>2.0692</v>
      </c>
      <c r="AL96" s="32">
        <f t="shared" si="4"/>
        <v>0.9364</v>
      </c>
      <c r="AM96" s="33">
        <f t="shared" si="5"/>
        <v>54.74579548</v>
      </c>
      <c r="AN96" s="33">
        <f t="shared" si="6"/>
        <v>0.4525420452</v>
      </c>
      <c r="AO96" s="33">
        <f>pi()*2.15*(0.5/2)^2</f>
        <v>0.4221515128</v>
      </c>
      <c r="AP96" s="29">
        <v>0.362</v>
      </c>
      <c r="AQ96" s="32">
        <f t="shared" si="7"/>
        <v>0.8575120283</v>
      </c>
      <c r="AR96" s="30">
        <f t="shared" si="8"/>
        <v>857.5120283</v>
      </c>
      <c r="AS96" s="34">
        <f t="shared" si="9"/>
        <v>82.2306</v>
      </c>
    </row>
    <row r="97">
      <c r="A97" s="29" t="s">
        <v>1329</v>
      </c>
      <c r="B97" s="29" t="s">
        <v>1021</v>
      </c>
      <c r="C97" s="29" t="s">
        <v>1227</v>
      </c>
      <c r="D97" s="29" t="s">
        <v>154</v>
      </c>
      <c r="E97" s="29">
        <v>0.419</v>
      </c>
      <c r="F97" s="29">
        <v>0.444</v>
      </c>
      <c r="G97" s="29">
        <v>0.331</v>
      </c>
      <c r="H97" s="29">
        <v>0.364</v>
      </c>
      <c r="I97" s="29">
        <v>0.24</v>
      </c>
      <c r="J97" s="29">
        <v>0.324</v>
      </c>
      <c r="K97" s="29">
        <v>0.236</v>
      </c>
      <c r="L97" s="29">
        <v>0.281</v>
      </c>
      <c r="M97" s="29">
        <v>0.35</v>
      </c>
      <c r="N97" s="29">
        <v>0.492</v>
      </c>
      <c r="O97" s="29">
        <v>0.19</v>
      </c>
      <c r="P97" s="29">
        <v>0.202</v>
      </c>
      <c r="Q97" s="29">
        <v>0.149</v>
      </c>
      <c r="R97" s="29">
        <v>0.169</v>
      </c>
      <c r="S97" s="29">
        <v>0.107</v>
      </c>
      <c r="T97" s="29">
        <v>0.147</v>
      </c>
      <c r="U97" s="29">
        <v>0.106</v>
      </c>
      <c r="V97" s="29">
        <v>0.133</v>
      </c>
      <c r="W97" s="29">
        <v>0.152</v>
      </c>
      <c r="X97" s="29">
        <v>0.23</v>
      </c>
      <c r="Y97" s="29">
        <v>10.918</v>
      </c>
      <c r="Z97" s="29">
        <v>12.646</v>
      </c>
      <c r="AA97" s="29">
        <v>10.091</v>
      </c>
      <c r="AB97" s="29">
        <v>9.816</v>
      </c>
      <c r="AC97" s="29">
        <v>7.194</v>
      </c>
      <c r="AD97" s="29">
        <v>9.404</v>
      </c>
      <c r="AE97" s="29">
        <v>6.306</v>
      </c>
      <c r="AF97" s="29">
        <v>8.408</v>
      </c>
      <c r="AG97" s="29">
        <v>10.558</v>
      </c>
      <c r="AH97" s="29">
        <v>12.705</v>
      </c>
      <c r="AI97" s="30">
        <f t="shared" si="1"/>
        <v>624.4894926</v>
      </c>
      <c r="AJ97" s="30">
        <f t="shared" si="2"/>
        <v>62.44894926</v>
      </c>
      <c r="AK97" s="32">
        <f t="shared" si="3"/>
        <v>0.3481</v>
      </c>
      <c r="AL97" s="32">
        <f t="shared" si="4"/>
        <v>0.1585</v>
      </c>
      <c r="AM97" s="33">
        <f t="shared" si="5"/>
        <v>54.46710715</v>
      </c>
      <c r="AN97" s="33">
        <f t="shared" si="6"/>
        <v>0.4553289285</v>
      </c>
      <c r="AO97" s="33">
        <f>pi()*3.2*(0.5/2)^2</f>
        <v>0.6283185307</v>
      </c>
      <c r="AP97" s="29">
        <v>0.572</v>
      </c>
      <c r="AQ97" s="32">
        <f t="shared" si="7"/>
        <v>0.9103662745</v>
      </c>
      <c r="AR97" s="30">
        <f t="shared" si="8"/>
        <v>910.3662745</v>
      </c>
      <c r="AS97" s="34">
        <f t="shared" si="9"/>
        <v>9.8046</v>
      </c>
    </row>
    <row r="98">
      <c r="A98" s="29" t="s">
        <v>1330</v>
      </c>
      <c r="B98" s="29" t="s">
        <v>1021</v>
      </c>
      <c r="C98" s="29" t="s">
        <v>1227</v>
      </c>
      <c r="D98" s="29" t="s">
        <v>1239</v>
      </c>
      <c r="E98" s="29">
        <v>4.361</v>
      </c>
      <c r="F98" s="29">
        <v>2.7</v>
      </c>
      <c r="G98" s="29">
        <v>2.945</v>
      </c>
      <c r="H98" s="29">
        <v>3.186</v>
      </c>
      <c r="I98" s="29">
        <v>1.608</v>
      </c>
      <c r="J98" s="29">
        <v>1.974</v>
      </c>
      <c r="K98" s="29">
        <v>3.761</v>
      </c>
      <c r="L98" s="29">
        <v>2.214</v>
      </c>
      <c r="M98" s="29">
        <v>2.998</v>
      </c>
      <c r="N98" s="29">
        <v>3.044</v>
      </c>
      <c r="O98" s="29">
        <v>1.743</v>
      </c>
      <c r="P98" s="29">
        <v>1.075</v>
      </c>
      <c r="Q98" s="29">
        <v>1.096</v>
      </c>
      <c r="R98" s="29">
        <v>1.212</v>
      </c>
      <c r="S98" s="29">
        <v>0.643</v>
      </c>
      <c r="T98" s="29">
        <v>0.761</v>
      </c>
      <c r="U98" s="29">
        <v>1.54</v>
      </c>
      <c r="V98" s="29">
        <v>0.846</v>
      </c>
      <c r="W98" s="29">
        <v>1.171</v>
      </c>
      <c r="X98" s="29">
        <v>1.17</v>
      </c>
      <c r="Y98" s="29">
        <v>88.73</v>
      </c>
      <c r="Z98" s="29">
        <v>58.349</v>
      </c>
      <c r="AA98" s="29">
        <v>60.66</v>
      </c>
      <c r="AB98" s="29">
        <v>76.433</v>
      </c>
      <c r="AC98" s="29">
        <v>41.224</v>
      </c>
      <c r="AD98" s="29">
        <v>45.995</v>
      </c>
      <c r="AE98" s="29">
        <v>76.147</v>
      </c>
      <c r="AF98" s="29">
        <v>49.352</v>
      </c>
      <c r="AG98" s="29">
        <v>67.211</v>
      </c>
      <c r="AH98" s="29">
        <v>70.047</v>
      </c>
      <c r="AI98" s="30">
        <f t="shared" si="1"/>
        <v>573.1943293</v>
      </c>
      <c r="AJ98" s="30">
        <f t="shared" si="2"/>
        <v>57.31943293</v>
      </c>
      <c r="AK98" s="32">
        <f t="shared" si="3"/>
        <v>2.8791</v>
      </c>
      <c r="AL98" s="32">
        <f t="shared" si="4"/>
        <v>1.1257</v>
      </c>
      <c r="AM98" s="33">
        <f t="shared" si="5"/>
        <v>60.900976</v>
      </c>
      <c r="AN98" s="33">
        <f t="shared" si="6"/>
        <v>0.39099024</v>
      </c>
      <c r="AO98" s="33">
        <f>pi()*4.1*(0.5/2)^2</f>
        <v>0.8050331175</v>
      </c>
      <c r="AP98" s="29">
        <v>0.626</v>
      </c>
      <c r="AQ98" s="32">
        <f t="shared" si="7"/>
        <v>0.777607761</v>
      </c>
      <c r="AR98" s="30">
        <f t="shared" si="8"/>
        <v>777.607761</v>
      </c>
      <c r="AS98" s="34">
        <f t="shared" si="9"/>
        <v>63.4148</v>
      </c>
    </row>
    <row r="99">
      <c r="A99" s="29" t="s">
        <v>1331</v>
      </c>
      <c r="B99" s="29" t="s">
        <v>1021</v>
      </c>
      <c r="C99" s="29" t="s">
        <v>1227</v>
      </c>
      <c r="D99" s="29" t="s">
        <v>779</v>
      </c>
      <c r="E99" s="29">
        <v>1.352</v>
      </c>
      <c r="F99" s="29">
        <v>1.389</v>
      </c>
      <c r="G99" s="29">
        <v>2.124</v>
      </c>
      <c r="H99" s="29">
        <v>1.902</v>
      </c>
      <c r="I99" s="29">
        <v>2.129</v>
      </c>
      <c r="J99" s="29">
        <v>2.209</v>
      </c>
      <c r="K99" s="29">
        <v>2.296</v>
      </c>
      <c r="L99" s="29">
        <v>1.469</v>
      </c>
      <c r="M99" s="29">
        <v>1.883</v>
      </c>
      <c r="N99" s="29">
        <v>2.404</v>
      </c>
      <c r="O99" s="29">
        <v>0.639</v>
      </c>
      <c r="P99" s="29">
        <v>0.606</v>
      </c>
      <c r="Q99" s="29">
        <v>0.995</v>
      </c>
      <c r="R99" s="29">
        <v>0.887</v>
      </c>
      <c r="S99" s="29">
        <v>0.977</v>
      </c>
      <c r="T99" s="29">
        <v>1.053</v>
      </c>
      <c r="U99" s="29">
        <v>1.07</v>
      </c>
      <c r="V99" s="29">
        <v>0.664</v>
      </c>
      <c r="W99" s="29">
        <v>0.877</v>
      </c>
      <c r="X99" s="29">
        <v>1.129</v>
      </c>
      <c r="Y99" s="29">
        <v>56.418</v>
      </c>
      <c r="Z99" s="29">
        <v>64.862</v>
      </c>
      <c r="AA99" s="29">
        <v>81.529</v>
      </c>
      <c r="AB99" s="29">
        <v>77.504</v>
      </c>
      <c r="AC99" s="29">
        <v>88.739</v>
      </c>
      <c r="AD99" s="29">
        <v>82.934</v>
      </c>
      <c r="AE99" s="29">
        <v>89.493</v>
      </c>
      <c r="AF99" s="29">
        <v>63.216</v>
      </c>
      <c r="AG99" s="29">
        <v>76.682</v>
      </c>
      <c r="AH99" s="29">
        <v>98.856</v>
      </c>
      <c r="AI99" s="30">
        <f t="shared" si="1"/>
        <v>888.0687595</v>
      </c>
      <c r="AJ99" s="30">
        <f t="shared" si="2"/>
        <v>88.80687595</v>
      </c>
      <c r="AK99" s="32">
        <f t="shared" si="3"/>
        <v>1.9157</v>
      </c>
      <c r="AL99" s="32">
        <f t="shared" si="4"/>
        <v>0.8897</v>
      </c>
      <c r="AM99" s="33">
        <f t="shared" si="5"/>
        <v>53.55744636</v>
      </c>
      <c r="AN99" s="33">
        <f t="shared" si="6"/>
        <v>0.4644255364</v>
      </c>
      <c r="AO99" s="33">
        <f>pi()*4.2*(0.5/2)^2</f>
        <v>0.8246680716</v>
      </c>
      <c r="AP99" s="29">
        <v>0.779</v>
      </c>
      <c r="AQ99" s="32">
        <f t="shared" si="7"/>
        <v>0.9446224813</v>
      </c>
      <c r="AR99" s="30">
        <f t="shared" si="8"/>
        <v>944.6224813</v>
      </c>
      <c r="AS99" s="34">
        <f t="shared" si="9"/>
        <v>78.0233</v>
      </c>
    </row>
    <row r="100">
      <c r="A100" s="29" t="s">
        <v>1332</v>
      </c>
      <c r="B100" s="29" t="s">
        <v>1021</v>
      </c>
      <c r="C100" s="29" t="s">
        <v>1227</v>
      </c>
      <c r="D100" s="29" t="s">
        <v>85</v>
      </c>
      <c r="E100" s="29">
        <v>1.292</v>
      </c>
      <c r="F100" s="29">
        <v>1.335</v>
      </c>
      <c r="G100" s="29">
        <v>1.068</v>
      </c>
      <c r="H100" s="29">
        <v>1.21</v>
      </c>
      <c r="I100" s="29">
        <v>1.418</v>
      </c>
      <c r="J100" s="29">
        <v>0.972</v>
      </c>
      <c r="K100" s="29">
        <v>1.941</v>
      </c>
      <c r="L100" s="29">
        <v>1.307</v>
      </c>
      <c r="M100" s="29">
        <v>2.024</v>
      </c>
      <c r="N100" s="29">
        <v>0.728</v>
      </c>
      <c r="O100" s="29">
        <v>0.587</v>
      </c>
      <c r="P100" s="29">
        <v>0.609</v>
      </c>
      <c r="Q100" s="29">
        <v>0.474</v>
      </c>
      <c r="R100" s="29">
        <v>0.535</v>
      </c>
      <c r="S100" s="29">
        <v>0.683</v>
      </c>
      <c r="T100" s="29">
        <v>0.428</v>
      </c>
      <c r="U100" s="29">
        <v>0.898</v>
      </c>
      <c r="V100" s="29">
        <v>0.59</v>
      </c>
      <c r="W100" s="29">
        <v>0.949</v>
      </c>
      <c r="X100" s="29">
        <v>0.347</v>
      </c>
      <c r="Y100" s="29">
        <v>56.319</v>
      </c>
      <c r="Z100" s="29">
        <v>60.184</v>
      </c>
      <c r="AA100" s="29">
        <v>51.107</v>
      </c>
      <c r="AB100" s="29">
        <v>57.352</v>
      </c>
      <c r="AC100" s="29">
        <v>61.177</v>
      </c>
      <c r="AD100" s="29">
        <v>45.653</v>
      </c>
      <c r="AE100" s="29">
        <v>82.228</v>
      </c>
      <c r="AF100" s="29">
        <v>56.699</v>
      </c>
      <c r="AG100" s="29">
        <v>85.804</v>
      </c>
      <c r="AH100" s="29">
        <v>32.363</v>
      </c>
      <c r="AI100" s="30">
        <f t="shared" si="1"/>
        <v>977.3738896</v>
      </c>
      <c r="AJ100" s="30">
        <f t="shared" si="2"/>
        <v>97.73738896</v>
      </c>
      <c r="AK100" s="32">
        <f t="shared" si="3"/>
        <v>1.3295</v>
      </c>
      <c r="AL100" s="32">
        <f t="shared" si="4"/>
        <v>0.61</v>
      </c>
      <c r="AM100" s="33">
        <f t="shared" si="5"/>
        <v>54.11808951</v>
      </c>
      <c r="AN100" s="33">
        <f t="shared" si="6"/>
        <v>0.4588191049</v>
      </c>
      <c r="AO100" s="33">
        <f>pi()*2.9*(0.55/2)^2</f>
        <v>0.6889905388</v>
      </c>
      <c r="AP100" s="29">
        <v>0.172</v>
      </c>
      <c r="AQ100" s="32">
        <f t="shared" si="7"/>
        <v>0.2496405833</v>
      </c>
      <c r="AR100" s="30">
        <f t="shared" si="8"/>
        <v>249.6405833</v>
      </c>
      <c r="AS100" s="34">
        <f t="shared" si="9"/>
        <v>58.8886</v>
      </c>
    </row>
    <row r="101">
      <c r="A101" s="29" t="s">
        <v>1333</v>
      </c>
      <c r="B101" s="29" t="s">
        <v>1021</v>
      </c>
      <c r="C101" s="29" t="s">
        <v>1227</v>
      </c>
      <c r="D101" s="29" t="s">
        <v>767</v>
      </c>
      <c r="E101" s="29">
        <v>0.741</v>
      </c>
      <c r="F101" s="29">
        <v>0.65</v>
      </c>
      <c r="G101" s="29">
        <v>1.027</v>
      </c>
      <c r="H101" s="29">
        <v>0.713</v>
      </c>
      <c r="I101" s="29">
        <v>0.99</v>
      </c>
      <c r="J101" s="29">
        <v>0.877</v>
      </c>
      <c r="K101" s="29">
        <v>0.727</v>
      </c>
      <c r="L101" s="29">
        <v>0.837</v>
      </c>
      <c r="M101" s="29">
        <v>0.931</v>
      </c>
      <c r="N101" s="29">
        <v>0.402</v>
      </c>
      <c r="O101" s="29">
        <v>0.314</v>
      </c>
      <c r="P101" s="29">
        <v>0.278</v>
      </c>
      <c r="Q101" s="29">
        <v>0.435</v>
      </c>
      <c r="R101" s="29">
        <v>0.313</v>
      </c>
      <c r="S101" s="29">
        <v>0.41</v>
      </c>
      <c r="T101" s="29">
        <v>0.367</v>
      </c>
      <c r="U101" s="29">
        <v>0.303</v>
      </c>
      <c r="V101" s="29">
        <v>0.363</v>
      </c>
      <c r="W101" s="29">
        <v>0.419</v>
      </c>
      <c r="X101" s="29">
        <v>0.164</v>
      </c>
      <c r="Y101" s="29">
        <v>19.164</v>
      </c>
      <c r="Z101" s="29">
        <v>17.928</v>
      </c>
      <c r="AA101" s="29">
        <v>25.413</v>
      </c>
      <c r="AB101" s="29">
        <v>19.281</v>
      </c>
      <c r="AC101" s="29">
        <v>28.413</v>
      </c>
      <c r="AD101" s="29">
        <v>25.391</v>
      </c>
      <c r="AE101" s="29">
        <v>18.116</v>
      </c>
      <c r="AF101" s="29">
        <v>21.192</v>
      </c>
      <c r="AG101" s="29">
        <v>23.512</v>
      </c>
      <c r="AH101" s="29">
        <v>11.735</v>
      </c>
      <c r="AI101" s="30">
        <f t="shared" si="1"/>
        <v>629.8660512</v>
      </c>
      <c r="AJ101" s="30">
        <f t="shared" si="2"/>
        <v>62.98660512</v>
      </c>
      <c r="AK101" s="32">
        <f t="shared" si="3"/>
        <v>0.7895</v>
      </c>
      <c r="AL101" s="32">
        <f t="shared" si="4"/>
        <v>0.3366</v>
      </c>
      <c r="AM101" s="33">
        <f t="shared" si="5"/>
        <v>57.36542115</v>
      </c>
      <c r="AN101" s="33">
        <f t="shared" si="6"/>
        <v>0.4263457885</v>
      </c>
      <c r="AO101" s="33">
        <f>pi()*4.15*(0.55/2)^2</f>
        <v>0.9859692194</v>
      </c>
      <c r="AP101" s="29">
        <v>0.567</v>
      </c>
      <c r="AQ101" s="32">
        <f t="shared" si="7"/>
        <v>0.5750686622</v>
      </c>
      <c r="AR101" s="30">
        <f t="shared" si="8"/>
        <v>575.0686622</v>
      </c>
      <c r="AS101" s="34">
        <f t="shared" si="9"/>
        <v>21.0145</v>
      </c>
    </row>
    <row r="102">
      <c r="A102" s="29" t="s">
        <v>1334</v>
      </c>
      <c r="B102" s="29" t="s">
        <v>1021</v>
      </c>
      <c r="C102" s="29" t="s">
        <v>1227</v>
      </c>
      <c r="D102" s="29" t="s">
        <v>323</v>
      </c>
      <c r="E102" s="29">
        <v>0.069</v>
      </c>
      <c r="F102" s="29">
        <v>0.061</v>
      </c>
      <c r="G102" s="29">
        <v>0.048</v>
      </c>
      <c r="H102" s="29">
        <v>0.056</v>
      </c>
      <c r="I102" s="29">
        <v>0.053</v>
      </c>
      <c r="J102" s="29">
        <v>0.051</v>
      </c>
      <c r="K102" s="29">
        <v>0.056</v>
      </c>
      <c r="L102" s="29">
        <v>0.046</v>
      </c>
      <c r="M102" s="29">
        <v>0.056</v>
      </c>
      <c r="N102" s="29">
        <v>0.035</v>
      </c>
      <c r="O102" s="29">
        <v>0.033</v>
      </c>
      <c r="P102" s="29">
        <v>0.031</v>
      </c>
      <c r="Q102" s="29">
        <v>0.025</v>
      </c>
      <c r="R102" s="29">
        <v>0.03</v>
      </c>
      <c r="S102" s="29">
        <v>0.027</v>
      </c>
      <c r="T102" s="29">
        <v>0.027</v>
      </c>
      <c r="U102" s="29">
        <v>0.028</v>
      </c>
      <c r="V102" s="29">
        <v>0.022</v>
      </c>
      <c r="W102" s="29">
        <v>0.028</v>
      </c>
      <c r="X102" s="29">
        <v>0.017</v>
      </c>
      <c r="Y102" s="29">
        <v>4.0</v>
      </c>
      <c r="Z102" s="29">
        <v>3.644</v>
      </c>
      <c r="AA102" s="29">
        <v>2.763</v>
      </c>
      <c r="AB102" s="29">
        <v>3.447</v>
      </c>
      <c r="AC102" s="29">
        <v>2.989</v>
      </c>
      <c r="AD102" s="29">
        <v>3.157</v>
      </c>
      <c r="AE102" s="29">
        <v>3.081</v>
      </c>
      <c r="AF102" s="29">
        <v>2.795</v>
      </c>
      <c r="AG102" s="29">
        <v>3.369</v>
      </c>
      <c r="AH102" s="29">
        <v>2.265</v>
      </c>
      <c r="AI102" s="30">
        <f t="shared" si="1"/>
        <v>1182.448029</v>
      </c>
      <c r="AJ102" s="30">
        <f t="shared" si="2"/>
        <v>118.2448029</v>
      </c>
      <c r="AK102" s="32">
        <f t="shared" si="3"/>
        <v>0.0531</v>
      </c>
      <c r="AL102" s="32">
        <f t="shared" si="4"/>
        <v>0.0268</v>
      </c>
      <c r="AM102" s="33">
        <f t="shared" si="5"/>
        <v>49.52919021</v>
      </c>
      <c r="AN102" s="33">
        <f t="shared" si="6"/>
        <v>0.5047080979</v>
      </c>
      <c r="AO102" s="33">
        <f>pi()*3.1*(0.5/2)^2</f>
        <v>0.6086835766</v>
      </c>
      <c r="AP102" s="29">
        <v>0.489</v>
      </c>
      <c r="AQ102" s="32">
        <f t="shared" si="7"/>
        <v>0.8033730805</v>
      </c>
      <c r="AR102" s="30">
        <f t="shared" si="8"/>
        <v>803.3730805</v>
      </c>
      <c r="AS102" s="34">
        <f t="shared" si="9"/>
        <v>3.151</v>
      </c>
    </row>
    <row r="103">
      <c r="A103" s="29" t="s">
        <v>1335</v>
      </c>
      <c r="B103" s="29" t="s">
        <v>1238</v>
      </c>
      <c r="C103" s="29" t="s">
        <v>1235</v>
      </c>
      <c r="D103" s="29" t="s">
        <v>41</v>
      </c>
      <c r="E103" s="29">
        <v>0.566</v>
      </c>
      <c r="F103" s="29">
        <v>0.713</v>
      </c>
      <c r="G103" s="29">
        <v>0.553</v>
      </c>
      <c r="H103" s="29">
        <v>0.961</v>
      </c>
      <c r="I103" s="29">
        <v>0.829</v>
      </c>
      <c r="J103" s="36">
        <v>1.13</v>
      </c>
      <c r="K103" s="29">
        <v>0.662</v>
      </c>
      <c r="L103" s="29">
        <v>0.733</v>
      </c>
      <c r="M103" s="29">
        <v>0.955</v>
      </c>
      <c r="N103" s="29">
        <v>0.887</v>
      </c>
      <c r="Y103" s="29">
        <v>23.662</v>
      </c>
      <c r="Z103" s="29">
        <v>26.327</v>
      </c>
      <c r="AA103" s="29">
        <v>23.512</v>
      </c>
      <c r="AB103" s="29">
        <v>36.468</v>
      </c>
      <c r="AC103" s="29">
        <v>30.599</v>
      </c>
      <c r="AD103" s="29">
        <v>42.82</v>
      </c>
      <c r="AE103" s="29">
        <v>27.723</v>
      </c>
      <c r="AF103" s="29">
        <v>28.673</v>
      </c>
      <c r="AG103" s="29">
        <v>39.617</v>
      </c>
      <c r="AH103" s="29">
        <v>33.424</v>
      </c>
      <c r="AI103" s="30" t="str">
        <f t="shared" si="1"/>
        <v>#DIV/0!</v>
      </c>
      <c r="AJ103" s="32"/>
      <c r="AK103" s="32">
        <f t="shared" si="3"/>
        <v>0.7989</v>
      </c>
      <c r="AL103" s="32" t="str">
        <f t="shared" si="4"/>
        <v>#DIV/0!</v>
      </c>
      <c r="AM103" s="33" t="str">
        <f t="shared" si="5"/>
        <v>#DIV/0!</v>
      </c>
      <c r="AN103" s="33" t="str">
        <f t="shared" si="6"/>
        <v>#DIV/0!</v>
      </c>
      <c r="AS103" s="34">
        <f t="shared" si="9"/>
        <v>31.2825</v>
      </c>
    </row>
    <row r="104">
      <c r="A104" s="29" t="s">
        <v>1336</v>
      </c>
      <c r="B104" s="29" t="s">
        <v>1238</v>
      </c>
      <c r="C104" s="29" t="s">
        <v>1235</v>
      </c>
      <c r="D104" s="29" t="s">
        <v>24</v>
      </c>
      <c r="E104" s="29">
        <v>0.476</v>
      </c>
      <c r="F104" s="29">
        <v>0.493</v>
      </c>
      <c r="G104" s="29">
        <v>0.529</v>
      </c>
      <c r="H104" s="29">
        <v>0.486</v>
      </c>
      <c r="I104" s="29">
        <v>0.443</v>
      </c>
      <c r="J104" s="29">
        <v>0.523</v>
      </c>
      <c r="K104" s="29">
        <v>0.399</v>
      </c>
      <c r="L104" s="29">
        <v>0.481</v>
      </c>
      <c r="M104" s="29">
        <v>0.42</v>
      </c>
      <c r="N104" s="29">
        <v>0.447</v>
      </c>
      <c r="AI104" s="30" t="str">
        <f t="shared" si="1"/>
        <v>#DIV/0!</v>
      </c>
      <c r="AJ104" s="32"/>
      <c r="AK104" s="32">
        <f t="shared" si="3"/>
        <v>0.4697</v>
      </c>
      <c r="AL104" s="32" t="str">
        <f t="shared" si="4"/>
        <v>#DIV/0!</v>
      </c>
      <c r="AM104" s="33" t="str">
        <f t="shared" si="5"/>
        <v>#DIV/0!</v>
      </c>
      <c r="AN104" s="33" t="str">
        <f t="shared" si="6"/>
        <v>#DIV/0!</v>
      </c>
      <c r="AS104" s="34" t="str">
        <f t="shared" si="9"/>
        <v>#DIV/0!</v>
      </c>
    </row>
    <row r="105">
      <c r="A105" s="29" t="s">
        <v>1337</v>
      </c>
      <c r="B105" s="29" t="s">
        <v>1238</v>
      </c>
      <c r="C105" s="29" t="s">
        <v>1235</v>
      </c>
      <c r="D105" s="29" t="s">
        <v>41</v>
      </c>
      <c r="E105" s="29">
        <v>0.567</v>
      </c>
      <c r="F105" s="29">
        <v>0.686</v>
      </c>
      <c r="G105" s="29">
        <v>0.703</v>
      </c>
      <c r="H105" s="29">
        <v>0.501</v>
      </c>
      <c r="I105" s="29">
        <v>0.685</v>
      </c>
      <c r="J105" s="29">
        <v>0.509</v>
      </c>
      <c r="K105" s="29">
        <v>0.386</v>
      </c>
      <c r="L105" s="29">
        <v>0.522</v>
      </c>
      <c r="M105" s="29">
        <v>0.428</v>
      </c>
      <c r="N105" s="29">
        <v>0.394</v>
      </c>
      <c r="AI105" s="30" t="str">
        <f t="shared" si="1"/>
        <v>#DIV/0!</v>
      </c>
      <c r="AJ105" s="32"/>
      <c r="AK105" s="32">
        <f t="shared" si="3"/>
        <v>0.5381</v>
      </c>
      <c r="AL105" s="32" t="str">
        <f t="shared" si="4"/>
        <v>#DIV/0!</v>
      </c>
      <c r="AM105" s="33" t="str">
        <f t="shared" si="5"/>
        <v>#DIV/0!</v>
      </c>
      <c r="AN105" s="33" t="str">
        <f t="shared" si="6"/>
        <v>#DIV/0!</v>
      </c>
      <c r="AS105" s="34" t="str">
        <f t="shared" si="9"/>
        <v>#DIV/0!</v>
      </c>
    </row>
    <row r="106">
      <c r="A106" s="29" t="s">
        <v>1338</v>
      </c>
      <c r="B106" s="29" t="s">
        <v>1238</v>
      </c>
      <c r="C106" s="29" t="s">
        <v>1235</v>
      </c>
      <c r="D106" s="29" t="s">
        <v>323</v>
      </c>
      <c r="E106" s="29">
        <v>0.098</v>
      </c>
      <c r="F106" s="29">
        <v>0.123</v>
      </c>
      <c r="G106" s="29">
        <v>0.113</v>
      </c>
      <c r="H106" s="29">
        <v>0.061</v>
      </c>
      <c r="I106" s="29">
        <v>0.069</v>
      </c>
      <c r="J106" s="29">
        <v>0.106</v>
      </c>
      <c r="K106" s="29">
        <v>0.136</v>
      </c>
      <c r="L106" s="29">
        <v>0.084</v>
      </c>
      <c r="M106" s="29">
        <v>0.07</v>
      </c>
      <c r="N106" s="29">
        <v>0.076</v>
      </c>
      <c r="AI106" s="30" t="str">
        <f t="shared" si="1"/>
        <v>#DIV/0!</v>
      </c>
      <c r="AJ106" s="32"/>
      <c r="AK106" s="32">
        <f t="shared" si="3"/>
        <v>0.0936</v>
      </c>
      <c r="AL106" s="32" t="str">
        <f t="shared" si="4"/>
        <v>#DIV/0!</v>
      </c>
      <c r="AM106" s="33" t="str">
        <f t="shared" si="5"/>
        <v>#DIV/0!</v>
      </c>
      <c r="AN106" s="33" t="str">
        <f t="shared" si="6"/>
        <v>#DIV/0!</v>
      </c>
      <c r="AS106" s="34" t="str">
        <f t="shared" si="9"/>
        <v>#DIV/0!</v>
      </c>
    </row>
    <row r="107">
      <c r="A107" s="29" t="s">
        <v>1339</v>
      </c>
      <c r="B107" s="29" t="s">
        <v>1238</v>
      </c>
      <c r="C107" s="29" t="s">
        <v>1235</v>
      </c>
      <c r="D107" s="29" t="s">
        <v>565</v>
      </c>
      <c r="E107" s="29">
        <v>2.462</v>
      </c>
      <c r="F107" s="29">
        <v>1.211</v>
      </c>
      <c r="G107" s="29">
        <v>2.952</v>
      </c>
      <c r="H107" s="29">
        <v>1.541</v>
      </c>
      <c r="I107" s="29">
        <v>1.244</v>
      </c>
      <c r="J107" s="29">
        <v>2.448</v>
      </c>
      <c r="K107" s="29">
        <v>1.741</v>
      </c>
      <c r="L107" s="29">
        <v>2.471</v>
      </c>
      <c r="M107" s="29">
        <v>2.694</v>
      </c>
      <c r="N107" s="29">
        <v>1.537</v>
      </c>
      <c r="AI107" s="30" t="str">
        <f t="shared" si="1"/>
        <v>#DIV/0!</v>
      </c>
      <c r="AJ107" s="32"/>
      <c r="AK107" s="32">
        <f t="shared" si="3"/>
        <v>2.0301</v>
      </c>
      <c r="AL107" s="32" t="str">
        <f t="shared" si="4"/>
        <v>#DIV/0!</v>
      </c>
      <c r="AM107" s="33" t="str">
        <f t="shared" si="5"/>
        <v>#DIV/0!</v>
      </c>
      <c r="AS107" s="34" t="str">
        <f t="shared" si="9"/>
        <v>#DIV/0!</v>
      </c>
    </row>
    <row r="108">
      <c r="A108" s="29" t="s">
        <v>1340</v>
      </c>
      <c r="B108" s="29" t="s">
        <v>1238</v>
      </c>
      <c r="C108" s="29" t="s">
        <v>1235</v>
      </c>
      <c r="D108" s="29" t="s">
        <v>27</v>
      </c>
      <c r="E108" s="29">
        <v>0.447</v>
      </c>
      <c r="F108" s="29">
        <v>0.679</v>
      </c>
      <c r="G108" s="29">
        <v>0.405</v>
      </c>
      <c r="H108" s="29">
        <v>0.313</v>
      </c>
      <c r="I108" s="29">
        <v>0.615</v>
      </c>
      <c r="J108" s="29">
        <v>0.716</v>
      </c>
      <c r="K108" s="29">
        <v>0.729</v>
      </c>
      <c r="L108" s="29">
        <v>0.698</v>
      </c>
      <c r="M108" s="29">
        <v>0.733</v>
      </c>
      <c r="N108" s="29">
        <v>0.635</v>
      </c>
      <c r="AI108" s="30" t="str">
        <f t="shared" si="1"/>
        <v>#DIV/0!</v>
      </c>
      <c r="AJ108" s="32"/>
      <c r="AK108" s="32">
        <f t="shared" si="3"/>
        <v>0.597</v>
      </c>
      <c r="AL108" s="32" t="str">
        <f t="shared" si="4"/>
        <v>#DIV/0!</v>
      </c>
      <c r="AM108" s="33" t="str">
        <f t="shared" si="5"/>
        <v>#DIV/0!</v>
      </c>
      <c r="AS108" s="34" t="str">
        <f t="shared" si="9"/>
        <v>#DIV/0!</v>
      </c>
    </row>
    <row r="109">
      <c r="A109" s="29" t="s">
        <v>1341</v>
      </c>
      <c r="B109" s="29" t="s">
        <v>1238</v>
      </c>
      <c r="C109" s="29" t="s">
        <v>1235</v>
      </c>
      <c r="D109" s="29" t="s">
        <v>86</v>
      </c>
      <c r="E109" s="29">
        <v>1.095</v>
      </c>
      <c r="F109" s="29">
        <v>0.876</v>
      </c>
      <c r="G109" s="29">
        <v>0.908</v>
      </c>
      <c r="H109" s="29">
        <v>0.904</v>
      </c>
      <c r="I109" s="29">
        <v>0.856</v>
      </c>
      <c r="J109" s="29">
        <v>0.828</v>
      </c>
      <c r="K109" s="29">
        <v>1.388</v>
      </c>
      <c r="L109" s="29">
        <v>0.763</v>
      </c>
      <c r="M109" s="29">
        <v>1.319</v>
      </c>
      <c r="N109" s="29">
        <v>1.349</v>
      </c>
      <c r="AI109" s="30" t="str">
        <f t="shared" si="1"/>
        <v>#DIV/0!</v>
      </c>
      <c r="AJ109" s="32"/>
      <c r="AK109" s="32">
        <f t="shared" si="3"/>
        <v>1.0286</v>
      </c>
      <c r="AL109" s="32" t="str">
        <f t="shared" si="4"/>
        <v>#DIV/0!</v>
      </c>
      <c r="AM109" s="33" t="str">
        <f t="shared" si="5"/>
        <v>#DIV/0!</v>
      </c>
      <c r="AS109" s="34" t="str">
        <f t="shared" si="9"/>
        <v>#DIV/0!</v>
      </c>
    </row>
    <row r="110">
      <c r="A110" s="29" t="s">
        <v>1342</v>
      </c>
      <c r="B110" s="29" t="s">
        <v>1238</v>
      </c>
      <c r="C110" s="29" t="s">
        <v>1235</v>
      </c>
      <c r="D110" s="29" t="s">
        <v>154</v>
      </c>
      <c r="E110" s="29">
        <v>0.934</v>
      </c>
      <c r="F110" s="29">
        <v>0.847</v>
      </c>
      <c r="G110" s="29">
        <v>0.791</v>
      </c>
      <c r="H110" s="29">
        <v>0.654</v>
      </c>
      <c r="I110" s="29">
        <v>0.539</v>
      </c>
      <c r="J110" s="29">
        <v>0.642</v>
      </c>
      <c r="K110" s="29">
        <v>0.428</v>
      </c>
      <c r="L110" s="29">
        <v>0.488</v>
      </c>
      <c r="M110" s="29">
        <v>0.714</v>
      </c>
      <c r="N110" s="29">
        <v>0.602</v>
      </c>
      <c r="AI110" s="30" t="str">
        <f t="shared" si="1"/>
        <v>#DIV/0!</v>
      </c>
      <c r="AJ110" s="32"/>
      <c r="AK110" s="32">
        <f t="shared" si="3"/>
        <v>0.6639</v>
      </c>
      <c r="AL110" s="32" t="str">
        <f t="shared" si="4"/>
        <v>#DIV/0!</v>
      </c>
      <c r="AS110" s="34" t="str">
        <f t="shared" si="9"/>
        <v>#DIV/0!</v>
      </c>
    </row>
    <row r="111">
      <c r="A111" s="29" t="s">
        <v>1343</v>
      </c>
      <c r="B111" s="29" t="s">
        <v>1238</v>
      </c>
      <c r="C111" s="29" t="s">
        <v>1235</v>
      </c>
      <c r="D111" s="29" t="s">
        <v>28</v>
      </c>
      <c r="E111" s="29">
        <v>0.471</v>
      </c>
      <c r="F111" s="29">
        <v>0.403</v>
      </c>
      <c r="G111" s="29">
        <v>0.372</v>
      </c>
      <c r="H111" s="29">
        <v>0.672</v>
      </c>
      <c r="I111" s="29">
        <v>0.505</v>
      </c>
      <c r="J111" s="29">
        <v>0.444</v>
      </c>
      <c r="K111" s="29">
        <v>0.362</v>
      </c>
      <c r="L111" s="29">
        <v>0.354</v>
      </c>
      <c r="M111" s="29">
        <v>0.357</v>
      </c>
      <c r="N111" s="29">
        <v>0.581</v>
      </c>
      <c r="AI111" s="30" t="str">
        <f t="shared" si="1"/>
        <v>#DIV/0!</v>
      </c>
      <c r="AJ111" s="32"/>
      <c r="AK111" s="32">
        <f t="shared" si="3"/>
        <v>0.4521</v>
      </c>
      <c r="AL111" s="32" t="str">
        <f t="shared" si="4"/>
        <v>#DIV/0!</v>
      </c>
      <c r="AS111" s="34" t="str">
        <f t="shared" si="9"/>
        <v>#DIV/0!</v>
      </c>
    </row>
    <row r="112">
      <c r="A112" s="29" t="s">
        <v>1344</v>
      </c>
      <c r="B112" s="29" t="s">
        <v>1238</v>
      </c>
      <c r="C112" s="29" t="s">
        <v>1235</v>
      </c>
      <c r="D112" s="29" t="s">
        <v>324</v>
      </c>
      <c r="E112" s="29">
        <v>0.278</v>
      </c>
      <c r="F112" s="29">
        <v>0.366</v>
      </c>
      <c r="G112" s="29">
        <v>0.428</v>
      </c>
      <c r="H112" s="29">
        <v>0.43</v>
      </c>
      <c r="I112" s="29">
        <v>0.4</v>
      </c>
      <c r="J112" s="29">
        <v>0.349</v>
      </c>
      <c r="K112" s="29">
        <v>0.356</v>
      </c>
      <c r="L112" s="29">
        <v>0.369</v>
      </c>
      <c r="M112" s="29">
        <v>0.382</v>
      </c>
      <c r="N112" s="29">
        <v>0.316</v>
      </c>
      <c r="AI112" s="30" t="str">
        <f t="shared" si="1"/>
        <v>#DIV/0!</v>
      </c>
      <c r="AJ112" s="32"/>
      <c r="AK112" s="32">
        <f t="shared" si="3"/>
        <v>0.3674</v>
      </c>
      <c r="AL112" s="32"/>
      <c r="AS112" s="34" t="str">
        <f t="shared" si="9"/>
        <v>#DIV/0!</v>
      </c>
    </row>
    <row r="113">
      <c r="A113" s="29" t="s">
        <v>1345</v>
      </c>
      <c r="B113" s="29" t="s">
        <v>1238</v>
      </c>
      <c r="C113" s="29" t="s">
        <v>1235</v>
      </c>
      <c r="D113" s="29" t="s">
        <v>767</v>
      </c>
      <c r="E113" s="29">
        <v>1.169</v>
      </c>
      <c r="F113" s="29">
        <v>0.959</v>
      </c>
      <c r="G113" s="29">
        <v>1.215</v>
      </c>
      <c r="H113" s="29">
        <v>0.807</v>
      </c>
      <c r="I113" s="29">
        <v>0.817</v>
      </c>
      <c r="J113" s="29">
        <v>0.772</v>
      </c>
      <c r="K113" s="29">
        <v>0.604</v>
      </c>
      <c r="L113" s="29">
        <v>1.032</v>
      </c>
      <c r="M113" s="29">
        <v>0.679</v>
      </c>
      <c r="N113" s="29">
        <v>1.122</v>
      </c>
      <c r="AI113" s="30" t="str">
        <f t="shared" si="1"/>
        <v>#DIV/0!</v>
      </c>
      <c r="AJ113" s="32"/>
      <c r="AK113" s="32">
        <f t="shared" si="3"/>
        <v>0.9176</v>
      </c>
      <c r="AL113" s="32"/>
      <c r="AS113" s="34" t="str">
        <f t="shared" si="9"/>
        <v>#DIV/0!</v>
      </c>
    </row>
    <row r="114">
      <c r="A114" s="29" t="s">
        <v>1346</v>
      </c>
      <c r="B114" s="29" t="s">
        <v>1347</v>
      </c>
      <c r="C114" s="29" t="s">
        <v>1348</v>
      </c>
      <c r="D114" s="29" t="s">
        <v>1349</v>
      </c>
      <c r="E114" s="29">
        <v>2.063</v>
      </c>
      <c r="F114" s="29">
        <v>0.962</v>
      </c>
      <c r="G114" s="29">
        <v>2.117</v>
      </c>
      <c r="H114" s="29">
        <v>1.128</v>
      </c>
      <c r="I114" s="29">
        <v>0.708</v>
      </c>
      <c r="J114" s="29">
        <v>1.272</v>
      </c>
      <c r="K114" s="29">
        <v>1.107</v>
      </c>
      <c r="L114" s="29">
        <v>1.141</v>
      </c>
      <c r="M114" s="29">
        <v>0.83</v>
      </c>
      <c r="N114" s="29">
        <v>2.004</v>
      </c>
      <c r="AI114" s="30" t="str">
        <f t="shared" si="1"/>
        <v>#DIV/0!</v>
      </c>
      <c r="AJ114" s="32"/>
      <c r="AK114" s="32">
        <f t="shared" si="3"/>
        <v>1.3332</v>
      </c>
      <c r="AL114" s="32"/>
      <c r="AS114" s="34" t="str">
        <f t="shared" si="9"/>
        <v>#DIV/0!</v>
      </c>
    </row>
    <row r="115">
      <c r="A115" s="29" t="s">
        <v>1350</v>
      </c>
      <c r="B115" s="29" t="s">
        <v>1347</v>
      </c>
      <c r="C115" s="29" t="s">
        <v>1348</v>
      </c>
      <c r="D115" s="29" t="s">
        <v>117</v>
      </c>
      <c r="E115" s="29">
        <v>0.948</v>
      </c>
      <c r="F115" s="29">
        <v>0.481</v>
      </c>
      <c r="G115" s="29">
        <v>0.68</v>
      </c>
      <c r="H115" s="29">
        <v>0.629</v>
      </c>
      <c r="I115" s="29">
        <v>0.486</v>
      </c>
      <c r="J115" s="29">
        <v>0.924</v>
      </c>
      <c r="K115" s="29">
        <v>0.634</v>
      </c>
      <c r="L115" s="29">
        <v>0.472</v>
      </c>
      <c r="M115" s="29">
        <v>0.581</v>
      </c>
      <c r="N115" s="29">
        <v>0.526</v>
      </c>
      <c r="AI115" s="30" t="str">
        <f t="shared" si="1"/>
        <v>#DIV/0!</v>
      </c>
      <c r="AJ115" s="32"/>
      <c r="AK115" s="32">
        <f t="shared" si="3"/>
        <v>0.6361</v>
      </c>
      <c r="AL115" s="32"/>
      <c r="AS115" s="34" t="str">
        <f t="shared" si="9"/>
        <v>#DIV/0!</v>
      </c>
    </row>
    <row r="116">
      <c r="A116" s="29" t="s">
        <v>1351</v>
      </c>
      <c r="B116" s="29" t="s">
        <v>1347</v>
      </c>
      <c r="C116" s="29" t="s">
        <v>1348</v>
      </c>
      <c r="D116" s="29" t="s">
        <v>31</v>
      </c>
      <c r="E116" s="29">
        <v>0.602</v>
      </c>
      <c r="F116" s="29">
        <v>0.411</v>
      </c>
      <c r="G116" s="29">
        <v>0.307</v>
      </c>
      <c r="H116" s="29">
        <v>0.428</v>
      </c>
      <c r="I116" s="29">
        <v>0.412</v>
      </c>
      <c r="J116" s="29">
        <v>0.235</v>
      </c>
      <c r="K116" s="29">
        <v>0.617</v>
      </c>
      <c r="L116" s="29">
        <v>0.32</v>
      </c>
      <c r="M116" s="29">
        <v>0.5</v>
      </c>
      <c r="N116" s="29">
        <v>0.273</v>
      </c>
      <c r="AI116" s="30" t="str">
        <f t="shared" si="1"/>
        <v>#DIV/0!</v>
      </c>
      <c r="AJ116" s="32"/>
      <c r="AK116" s="32">
        <f t="shared" si="3"/>
        <v>0.4105</v>
      </c>
      <c r="AL116" s="32"/>
      <c r="AS116" s="34" t="str">
        <f t="shared" si="9"/>
        <v>#DIV/0!</v>
      </c>
    </row>
    <row r="117">
      <c r="A117" s="29" t="s">
        <v>1352</v>
      </c>
      <c r="B117" s="29" t="s">
        <v>1347</v>
      </c>
      <c r="C117" s="29" t="s">
        <v>1348</v>
      </c>
      <c r="D117" s="29" t="s">
        <v>41</v>
      </c>
      <c r="E117" s="29">
        <v>0.707</v>
      </c>
      <c r="F117" s="29">
        <v>0.668</v>
      </c>
      <c r="G117" s="29">
        <v>0.545</v>
      </c>
      <c r="H117" s="29">
        <v>0.461</v>
      </c>
      <c r="I117" s="29">
        <v>1.102</v>
      </c>
      <c r="J117" s="29">
        <v>0.311</v>
      </c>
      <c r="K117" s="29">
        <v>0.445</v>
      </c>
      <c r="L117" s="29">
        <v>0.73</v>
      </c>
      <c r="M117" s="29">
        <v>0.346</v>
      </c>
      <c r="N117" s="29">
        <v>0.356</v>
      </c>
      <c r="AI117" s="30" t="str">
        <f t="shared" si="1"/>
        <v>#DIV/0!</v>
      </c>
      <c r="AJ117" s="32"/>
      <c r="AK117" s="32">
        <f t="shared" si="3"/>
        <v>0.5671</v>
      </c>
      <c r="AL117" s="32"/>
      <c r="AS117" s="34" t="str">
        <f t="shared" si="9"/>
        <v>#DIV/0!</v>
      </c>
    </row>
    <row r="118">
      <c r="A118" s="29" t="s">
        <v>1353</v>
      </c>
      <c r="B118" s="29" t="s">
        <v>1347</v>
      </c>
      <c r="C118" s="29" t="s">
        <v>1348</v>
      </c>
      <c r="D118" s="29" t="s">
        <v>86</v>
      </c>
      <c r="E118" s="29">
        <v>1.602</v>
      </c>
      <c r="F118" s="29">
        <v>0.862</v>
      </c>
      <c r="G118" s="29">
        <v>0.906</v>
      </c>
      <c r="H118" s="29">
        <v>0.605</v>
      </c>
      <c r="I118" s="29">
        <v>0.868</v>
      </c>
      <c r="J118" s="29">
        <v>0.925</v>
      </c>
      <c r="K118" s="29">
        <v>1.223</v>
      </c>
      <c r="L118" s="29">
        <v>1.374</v>
      </c>
      <c r="M118" s="29">
        <v>2.325</v>
      </c>
      <c r="N118" s="29">
        <v>1.502</v>
      </c>
      <c r="AI118" s="30" t="str">
        <f t="shared" si="1"/>
        <v>#DIV/0!</v>
      </c>
      <c r="AJ118" s="32"/>
      <c r="AK118" s="32">
        <f t="shared" si="3"/>
        <v>1.2192</v>
      </c>
      <c r="AL118" s="32"/>
      <c r="AS118" s="34" t="str">
        <f t="shared" si="9"/>
        <v>#DIV/0!</v>
      </c>
    </row>
    <row r="119">
      <c r="A119" s="29" t="s">
        <v>1354</v>
      </c>
      <c r="B119" s="29" t="s">
        <v>1347</v>
      </c>
      <c r="C119" s="29" t="s">
        <v>1348</v>
      </c>
      <c r="D119" s="29" t="s">
        <v>24</v>
      </c>
      <c r="E119" s="29">
        <v>0.363</v>
      </c>
      <c r="F119" s="29">
        <v>0.515</v>
      </c>
      <c r="G119" s="29">
        <v>0.419</v>
      </c>
      <c r="H119" s="29">
        <v>0.468</v>
      </c>
      <c r="I119" s="29">
        <v>0.376</v>
      </c>
      <c r="J119" s="29">
        <v>0.49</v>
      </c>
      <c r="K119" s="29">
        <v>0.378</v>
      </c>
      <c r="L119" s="29">
        <v>0.233</v>
      </c>
      <c r="M119" s="29">
        <v>0.358</v>
      </c>
      <c r="N119" s="29">
        <v>0.316</v>
      </c>
      <c r="AI119" s="30" t="str">
        <f t="shared" si="1"/>
        <v>#DIV/0!</v>
      </c>
      <c r="AJ119" s="32"/>
      <c r="AK119" s="32">
        <f t="shared" si="3"/>
        <v>0.3916</v>
      </c>
      <c r="AL119" s="32"/>
      <c r="AS119" s="34" t="str">
        <f t="shared" si="9"/>
        <v>#DIV/0!</v>
      </c>
    </row>
    <row r="120">
      <c r="A120" s="29" t="s">
        <v>1355</v>
      </c>
      <c r="B120" s="29" t="s">
        <v>1347</v>
      </c>
      <c r="C120" s="29" t="s">
        <v>1348</v>
      </c>
      <c r="D120" s="29" t="s">
        <v>1349</v>
      </c>
      <c r="E120" s="29">
        <v>1.453</v>
      </c>
      <c r="F120" s="29">
        <v>0.847</v>
      </c>
      <c r="G120" s="29">
        <v>1.257</v>
      </c>
      <c r="H120" s="29">
        <v>1.259</v>
      </c>
      <c r="I120" s="29">
        <v>2.207</v>
      </c>
      <c r="J120" s="29">
        <v>1.345</v>
      </c>
      <c r="K120" s="29">
        <v>1.75</v>
      </c>
      <c r="L120" s="29">
        <v>0.836</v>
      </c>
      <c r="M120" s="29">
        <v>1.695</v>
      </c>
      <c r="N120" s="29">
        <v>0.937</v>
      </c>
      <c r="AI120" s="30" t="str">
        <f t="shared" si="1"/>
        <v>#DIV/0!</v>
      </c>
      <c r="AJ120" s="32"/>
      <c r="AK120" s="32">
        <f t="shared" si="3"/>
        <v>1.3586</v>
      </c>
      <c r="AL120" s="32"/>
      <c r="AS120" s="34" t="str">
        <f t="shared" si="9"/>
        <v>#DIV/0!</v>
      </c>
    </row>
    <row r="121">
      <c r="A121" s="29" t="s">
        <v>1356</v>
      </c>
      <c r="B121" s="29" t="s">
        <v>1347</v>
      </c>
      <c r="C121" s="29" t="s">
        <v>1348</v>
      </c>
      <c r="D121" s="29" t="s">
        <v>324</v>
      </c>
      <c r="E121" s="29">
        <v>0.244</v>
      </c>
      <c r="F121" s="29">
        <v>0.206</v>
      </c>
      <c r="G121" s="29">
        <v>0.153</v>
      </c>
      <c r="H121" s="29">
        <v>0.303</v>
      </c>
      <c r="I121" s="29">
        <v>0.202</v>
      </c>
      <c r="J121" s="29">
        <v>0.158</v>
      </c>
      <c r="K121" s="29">
        <v>0.248</v>
      </c>
      <c r="L121" s="29">
        <v>0.138</v>
      </c>
      <c r="M121" s="29">
        <v>0.22</v>
      </c>
      <c r="N121" s="29">
        <v>0.192</v>
      </c>
      <c r="AI121" s="30" t="str">
        <f t="shared" si="1"/>
        <v>#DIV/0!</v>
      </c>
      <c r="AJ121" s="32"/>
      <c r="AK121" s="32">
        <f t="shared" si="3"/>
        <v>0.2064</v>
      </c>
      <c r="AL121" s="32"/>
      <c r="AS121" s="34" t="str">
        <f t="shared" si="9"/>
        <v>#DIV/0!</v>
      </c>
    </row>
    <row r="122">
      <c r="A122" s="29" t="s">
        <v>1357</v>
      </c>
      <c r="B122" s="29" t="s">
        <v>1347</v>
      </c>
      <c r="C122" s="29" t="s">
        <v>1348</v>
      </c>
      <c r="D122" s="29" t="s">
        <v>179</v>
      </c>
      <c r="E122" s="29">
        <v>2.008</v>
      </c>
      <c r="F122" s="29">
        <v>2.031</v>
      </c>
      <c r="G122" s="29">
        <v>2.562</v>
      </c>
      <c r="H122" s="29">
        <v>3.086</v>
      </c>
      <c r="I122" s="29">
        <v>2.423</v>
      </c>
      <c r="J122" s="29">
        <v>2.726</v>
      </c>
      <c r="K122" s="29">
        <v>3.013</v>
      </c>
      <c r="L122" s="29">
        <v>1.541</v>
      </c>
      <c r="M122" s="29">
        <v>2.544</v>
      </c>
      <c r="N122" s="29">
        <v>4.192</v>
      </c>
      <c r="AI122" s="30" t="str">
        <f t="shared" si="1"/>
        <v>#DIV/0!</v>
      </c>
      <c r="AJ122" s="32"/>
      <c r="AK122" s="32">
        <f t="shared" si="3"/>
        <v>2.6126</v>
      </c>
      <c r="AL122" s="32"/>
      <c r="AS122" s="34" t="str">
        <f t="shared" si="9"/>
        <v>#DIV/0!</v>
      </c>
    </row>
    <row r="123">
      <c r="A123" s="29" t="s">
        <v>1358</v>
      </c>
      <c r="B123" s="29" t="s">
        <v>1347</v>
      </c>
      <c r="C123" s="29" t="s">
        <v>1348</v>
      </c>
      <c r="D123" s="29" t="s">
        <v>468</v>
      </c>
      <c r="E123" s="29">
        <v>0.75</v>
      </c>
      <c r="F123" s="29">
        <v>0.843</v>
      </c>
      <c r="G123" s="29">
        <v>0.503</v>
      </c>
      <c r="H123" s="29">
        <v>0.573</v>
      </c>
      <c r="I123" s="29">
        <v>0.595</v>
      </c>
      <c r="J123" s="29">
        <v>0.612</v>
      </c>
      <c r="K123" s="29">
        <v>0.703</v>
      </c>
      <c r="L123" s="29">
        <v>0.589</v>
      </c>
      <c r="M123" s="29">
        <v>0.669</v>
      </c>
      <c r="N123" s="29">
        <v>0.753</v>
      </c>
      <c r="AI123" s="30" t="str">
        <f t="shared" si="1"/>
        <v>#DIV/0!</v>
      </c>
      <c r="AJ123" s="32"/>
      <c r="AK123" s="32">
        <f t="shared" si="3"/>
        <v>0.659</v>
      </c>
      <c r="AL123" s="32"/>
      <c r="AS123" s="34" t="str">
        <f t="shared" si="9"/>
        <v>#DIV/0!</v>
      </c>
    </row>
    <row r="124">
      <c r="A124" s="29" t="s">
        <v>1359</v>
      </c>
      <c r="B124" s="29" t="s">
        <v>1347</v>
      </c>
      <c r="C124" s="29" t="s">
        <v>1348</v>
      </c>
      <c r="D124" s="29" t="s">
        <v>1239</v>
      </c>
      <c r="E124" s="29">
        <v>4.085</v>
      </c>
      <c r="F124" s="29">
        <v>2.671</v>
      </c>
      <c r="G124" s="29">
        <v>2.019</v>
      </c>
      <c r="H124" s="29">
        <v>5.115</v>
      </c>
      <c r="I124" s="29">
        <v>4.81</v>
      </c>
      <c r="J124" s="29">
        <v>2.716</v>
      </c>
      <c r="K124" s="29">
        <v>3.648</v>
      </c>
      <c r="L124" s="29">
        <v>3.53</v>
      </c>
      <c r="M124" s="29">
        <v>2.959</v>
      </c>
      <c r="N124" s="29">
        <v>2.401</v>
      </c>
      <c r="AI124" s="30" t="str">
        <f t="shared" si="1"/>
        <v>#DIV/0!</v>
      </c>
      <c r="AJ124" s="32"/>
      <c r="AK124" s="32">
        <f t="shared" si="3"/>
        <v>3.3954</v>
      </c>
      <c r="AL124" s="32"/>
    </row>
    <row r="125">
      <c r="A125" s="29" t="s">
        <v>1360</v>
      </c>
      <c r="B125" s="29" t="s">
        <v>1347</v>
      </c>
      <c r="C125" s="29" t="s">
        <v>1348</v>
      </c>
      <c r="D125" s="29" t="s">
        <v>122</v>
      </c>
      <c r="E125" s="29">
        <v>0.372</v>
      </c>
      <c r="F125" s="29">
        <v>0.503</v>
      </c>
      <c r="G125" s="29">
        <v>0.414</v>
      </c>
      <c r="H125" s="29">
        <v>0.353</v>
      </c>
      <c r="I125" s="29">
        <v>0.343</v>
      </c>
      <c r="J125" s="29">
        <v>0.234</v>
      </c>
      <c r="K125" s="29">
        <v>0.371</v>
      </c>
      <c r="L125" s="29">
        <v>0.573</v>
      </c>
      <c r="M125" s="29">
        <v>0.235</v>
      </c>
      <c r="N125" s="29">
        <v>0.278</v>
      </c>
      <c r="AI125" s="30" t="str">
        <f t="shared" si="1"/>
        <v>#DIV/0!</v>
      </c>
      <c r="AJ125" s="32"/>
      <c r="AK125" s="32">
        <f t="shared" si="3"/>
        <v>0.3676</v>
      </c>
      <c r="AL125" s="32"/>
    </row>
    <row r="126">
      <c r="A126" s="29" t="s">
        <v>1361</v>
      </c>
      <c r="B126" s="29" t="s">
        <v>1347</v>
      </c>
      <c r="C126" s="29" t="s">
        <v>1348</v>
      </c>
      <c r="D126" s="29" t="s">
        <v>97</v>
      </c>
      <c r="E126" s="29">
        <v>0.32</v>
      </c>
      <c r="F126" s="29">
        <v>0.282</v>
      </c>
      <c r="G126" s="29">
        <v>0.33</v>
      </c>
      <c r="H126" s="29">
        <v>0.149</v>
      </c>
      <c r="I126" s="29">
        <v>0.259</v>
      </c>
      <c r="J126" s="29">
        <v>0.22</v>
      </c>
      <c r="K126" s="29">
        <v>0.204</v>
      </c>
      <c r="L126" s="29">
        <v>0.265</v>
      </c>
      <c r="M126" s="29">
        <v>0.231</v>
      </c>
      <c r="N126" s="29">
        <v>0.23</v>
      </c>
      <c r="AI126" s="30" t="str">
        <f t="shared" si="1"/>
        <v>#DIV/0!</v>
      </c>
      <c r="AJ126" s="32"/>
      <c r="AK126" s="32">
        <f t="shared" si="3"/>
        <v>0.249</v>
      </c>
      <c r="AL126" s="32"/>
    </row>
    <row r="127">
      <c r="A127" s="29" t="s">
        <v>1362</v>
      </c>
      <c r="B127" s="29" t="s">
        <v>1347</v>
      </c>
      <c r="C127" s="29" t="s">
        <v>1348</v>
      </c>
      <c r="D127" s="29" t="s">
        <v>97</v>
      </c>
      <c r="E127" s="29">
        <v>0.177</v>
      </c>
      <c r="F127" s="29">
        <v>0.247</v>
      </c>
      <c r="G127" s="29">
        <v>0.119</v>
      </c>
      <c r="H127" s="29">
        <v>0.164</v>
      </c>
      <c r="I127" s="29">
        <v>0.228</v>
      </c>
      <c r="J127" s="29">
        <v>0.17</v>
      </c>
      <c r="K127" s="29">
        <v>0.149</v>
      </c>
      <c r="L127" s="29">
        <v>0.166</v>
      </c>
      <c r="M127" s="29">
        <v>0.086</v>
      </c>
      <c r="N127" s="29">
        <v>0.176</v>
      </c>
      <c r="AI127" s="30" t="str">
        <f t="shared" si="1"/>
        <v>#DIV/0!</v>
      </c>
      <c r="AJ127" s="32"/>
      <c r="AK127" s="32">
        <f t="shared" si="3"/>
        <v>0.1682</v>
      </c>
      <c r="AL127" s="32"/>
    </row>
    <row r="128">
      <c r="A128" s="29" t="s">
        <v>1363</v>
      </c>
      <c r="B128" s="29" t="s">
        <v>1347</v>
      </c>
      <c r="C128" s="29" t="s">
        <v>1348</v>
      </c>
      <c r="D128" s="29" t="s">
        <v>78</v>
      </c>
      <c r="E128" s="29">
        <v>0.326</v>
      </c>
      <c r="F128" s="29">
        <v>0.297</v>
      </c>
      <c r="G128" s="29">
        <v>0.247</v>
      </c>
      <c r="H128" s="29">
        <v>0.324</v>
      </c>
      <c r="I128" s="29">
        <v>0.279</v>
      </c>
      <c r="J128" s="29">
        <v>0.252</v>
      </c>
      <c r="K128" s="29">
        <v>0.265</v>
      </c>
      <c r="L128" s="29">
        <v>0.281</v>
      </c>
      <c r="M128" s="29">
        <v>0.263</v>
      </c>
      <c r="N128" s="29">
        <v>0.321</v>
      </c>
      <c r="AI128" s="30" t="str">
        <f t="shared" si="1"/>
        <v>#DIV/0!</v>
      </c>
      <c r="AJ128" s="32"/>
      <c r="AK128" s="32">
        <f t="shared" si="3"/>
        <v>0.2855</v>
      </c>
      <c r="AL128" s="32"/>
    </row>
    <row r="129">
      <c r="AI129" s="30" t="str">
        <f t="shared" si="1"/>
        <v>#DIV/0!</v>
      </c>
      <c r="AJ129" s="32"/>
      <c r="AK129" s="32" t="str">
        <f t="shared" si="3"/>
        <v>#DIV/0!</v>
      </c>
      <c r="AL129" s="32"/>
    </row>
    <row r="130">
      <c r="AI130" s="30" t="str">
        <f t="shared" si="1"/>
        <v>#DIV/0!</v>
      </c>
      <c r="AJ130" s="32"/>
      <c r="AK130" s="32" t="str">
        <f t="shared" si="3"/>
        <v>#DIV/0!</v>
      </c>
      <c r="AL130" s="32"/>
    </row>
    <row r="131">
      <c r="AI131" s="30" t="str">
        <f t="shared" si="1"/>
        <v>#DIV/0!</v>
      </c>
      <c r="AJ131" s="32"/>
      <c r="AK131" s="32" t="str">
        <f t="shared" si="3"/>
        <v>#DIV/0!</v>
      </c>
      <c r="AL131" s="32"/>
    </row>
    <row r="132">
      <c r="AI132" s="30" t="str">
        <f t="shared" si="1"/>
        <v>#DIV/0!</v>
      </c>
      <c r="AJ132" s="32"/>
      <c r="AK132" s="32" t="str">
        <f t="shared" si="3"/>
        <v>#DIV/0!</v>
      </c>
      <c r="AL132" s="32"/>
    </row>
    <row r="133">
      <c r="AI133" s="30" t="str">
        <f t="shared" si="1"/>
        <v>#DIV/0!</v>
      </c>
      <c r="AJ133" s="32"/>
      <c r="AK133" s="32" t="str">
        <f t="shared" si="3"/>
        <v>#DIV/0!</v>
      </c>
      <c r="AL133" s="32"/>
    </row>
    <row r="134">
      <c r="AI134" s="30" t="str">
        <f t="shared" si="1"/>
        <v>#DIV/0!</v>
      </c>
      <c r="AJ134" s="32"/>
      <c r="AK134" s="32" t="str">
        <f t="shared" si="3"/>
        <v>#DIV/0!</v>
      </c>
      <c r="AL134" s="32"/>
    </row>
    <row r="135">
      <c r="AI135" s="30" t="str">
        <f t="shared" si="1"/>
        <v>#DIV/0!</v>
      </c>
      <c r="AJ135" s="32"/>
      <c r="AK135" s="32" t="str">
        <f t="shared" si="3"/>
        <v>#DIV/0!</v>
      </c>
      <c r="AL135" s="32"/>
    </row>
    <row r="136">
      <c r="AI136" s="30" t="str">
        <f t="shared" si="1"/>
        <v>#DIV/0!</v>
      </c>
      <c r="AJ136" s="32"/>
      <c r="AK136" s="32" t="str">
        <f t="shared" si="3"/>
        <v>#DIV/0!</v>
      </c>
      <c r="AL136" s="32"/>
    </row>
    <row r="137">
      <c r="AI137" s="30" t="str">
        <f t="shared" si="1"/>
        <v>#DIV/0!</v>
      </c>
      <c r="AJ137" s="32"/>
      <c r="AK137" s="32" t="str">
        <f t="shared" si="3"/>
        <v>#DIV/0!</v>
      </c>
      <c r="AL137" s="32"/>
    </row>
    <row r="138">
      <c r="AI138" s="30" t="str">
        <f t="shared" si="1"/>
        <v>#DIV/0!</v>
      </c>
      <c r="AJ138" s="32"/>
      <c r="AK138" s="32" t="str">
        <f t="shared" si="3"/>
        <v>#DIV/0!</v>
      </c>
      <c r="AL138" s="32"/>
    </row>
    <row r="139">
      <c r="AI139" s="30" t="str">
        <f t="shared" si="1"/>
        <v>#DIV/0!</v>
      </c>
      <c r="AJ139" s="32"/>
      <c r="AK139" s="32" t="str">
        <f t="shared" si="3"/>
        <v>#DIV/0!</v>
      </c>
      <c r="AL139" s="32"/>
    </row>
    <row r="140">
      <c r="AI140" s="30" t="str">
        <f t="shared" si="1"/>
        <v>#DIV/0!</v>
      </c>
      <c r="AJ140" s="32"/>
      <c r="AK140" s="32" t="str">
        <f t="shared" si="3"/>
        <v>#DIV/0!</v>
      </c>
      <c r="AL140" s="32"/>
    </row>
    <row r="141">
      <c r="AI141" s="30" t="str">
        <f t="shared" si="1"/>
        <v>#DIV/0!</v>
      </c>
      <c r="AJ141" s="32"/>
      <c r="AK141" s="32" t="str">
        <f t="shared" si="3"/>
        <v>#DIV/0!</v>
      </c>
      <c r="AL141" s="32"/>
    </row>
    <row r="142">
      <c r="AI142" s="30" t="str">
        <f t="shared" si="1"/>
        <v>#DIV/0!</v>
      </c>
      <c r="AJ142" s="32"/>
      <c r="AK142" s="32" t="str">
        <f t="shared" si="3"/>
        <v>#DIV/0!</v>
      </c>
      <c r="AL142" s="32"/>
    </row>
    <row r="143">
      <c r="AI143" s="30" t="str">
        <f t="shared" si="1"/>
        <v>#DIV/0!</v>
      </c>
      <c r="AJ143" s="32"/>
      <c r="AK143" s="32" t="str">
        <f t="shared" si="3"/>
        <v>#DIV/0!</v>
      </c>
      <c r="AL143" s="32"/>
    </row>
    <row r="144">
      <c r="AI144" s="30" t="str">
        <f t="shared" si="1"/>
        <v>#DIV/0!</v>
      </c>
      <c r="AJ144" s="32"/>
      <c r="AK144" s="32" t="str">
        <f t="shared" si="3"/>
        <v>#DIV/0!</v>
      </c>
      <c r="AL144" s="32"/>
    </row>
    <row r="145">
      <c r="AI145" s="30" t="str">
        <f t="shared" si="1"/>
        <v>#DIV/0!</v>
      </c>
      <c r="AJ145" s="32"/>
      <c r="AK145" s="32" t="str">
        <f t="shared" si="3"/>
        <v>#DIV/0!</v>
      </c>
      <c r="AL145" s="32"/>
    </row>
    <row r="146">
      <c r="AI146" s="30" t="str">
        <f t="shared" si="1"/>
        <v>#DIV/0!</v>
      </c>
      <c r="AJ146" s="32"/>
      <c r="AK146" s="32" t="str">
        <f t="shared" si="3"/>
        <v>#DIV/0!</v>
      </c>
      <c r="AL146" s="32"/>
    </row>
    <row r="147">
      <c r="AI147" s="32"/>
      <c r="AJ147" s="32"/>
      <c r="AK147" s="32"/>
      <c r="AL147" s="32"/>
    </row>
    <row r="148">
      <c r="AI148" s="32"/>
      <c r="AJ148" s="32"/>
      <c r="AK148" s="32"/>
      <c r="AL148" s="32"/>
    </row>
    <row r="149">
      <c r="AI149" s="32"/>
      <c r="AJ149" s="32"/>
      <c r="AK149" s="32"/>
      <c r="AL149" s="32"/>
    </row>
    <row r="150">
      <c r="AI150" s="32"/>
      <c r="AJ150" s="32"/>
      <c r="AK150" s="32"/>
      <c r="AL150" s="32"/>
    </row>
    <row r="151">
      <c r="AI151" s="32"/>
      <c r="AJ151" s="32"/>
      <c r="AK151" s="32"/>
      <c r="AL151" s="32"/>
    </row>
    <row r="152">
      <c r="AI152" s="32"/>
      <c r="AJ152" s="32"/>
      <c r="AK152" s="32"/>
      <c r="AL152" s="32"/>
    </row>
    <row r="153">
      <c r="AI153" s="32"/>
      <c r="AJ153" s="32"/>
      <c r="AK153" s="32"/>
      <c r="AL153" s="32"/>
    </row>
    <row r="154">
      <c r="AI154" s="32"/>
      <c r="AJ154" s="32"/>
      <c r="AK154" s="32"/>
      <c r="AL154" s="32"/>
    </row>
    <row r="155">
      <c r="AI155" s="32"/>
      <c r="AJ155" s="32"/>
      <c r="AK155" s="32"/>
      <c r="AL155" s="32"/>
    </row>
    <row r="156">
      <c r="AI156" s="32"/>
      <c r="AJ156" s="32"/>
      <c r="AK156" s="32"/>
      <c r="AL156" s="32"/>
    </row>
    <row r="157">
      <c r="AI157" s="32"/>
      <c r="AJ157" s="32"/>
      <c r="AK157" s="32"/>
      <c r="AL157" s="32"/>
    </row>
    <row r="158">
      <c r="AI158" s="32"/>
      <c r="AJ158" s="32"/>
      <c r="AK158" s="32"/>
      <c r="AL158" s="32"/>
    </row>
    <row r="159">
      <c r="AI159" s="32"/>
      <c r="AJ159" s="32"/>
      <c r="AK159" s="32"/>
      <c r="AL159" s="32"/>
    </row>
    <row r="160">
      <c r="AI160" s="32"/>
      <c r="AJ160" s="32"/>
      <c r="AK160" s="32"/>
      <c r="AL160" s="32"/>
    </row>
    <row r="161">
      <c r="AI161" s="32"/>
      <c r="AJ161" s="32"/>
      <c r="AK161" s="32"/>
      <c r="AL161" s="32"/>
    </row>
    <row r="162">
      <c r="AI162" s="32"/>
      <c r="AJ162" s="32"/>
      <c r="AK162" s="32"/>
      <c r="AL162" s="32"/>
    </row>
    <row r="163">
      <c r="AI163" s="32"/>
      <c r="AJ163" s="32"/>
      <c r="AK163" s="32"/>
      <c r="AL163" s="32"/>
    </row>
    <row r="164">
      <c r="AI164" s="32"/>
      <c r="AJ164" s="32"/>
      <c r="AK164" s="32"/>
      <c r="AL164" s="32"/>
    </row>
    <row r="165">
      <c r="AI165" s="32"/>
      <c r="AJ165" s="32"/>
      <c r="AK165" s="32"/>
      <c r="AL165" s="32"/>
    </row>
    <row r="166">
      <c r="AI166" s="32"/>
      <c r="AJ166" s="32"/>
      <c r="AK166" s="32"/>
      <c r="AL166" s="32"/>
    </row>
    <row r="167">
      <c r="AI167" s="32"/>
      <c r="AJ167" s="32"/>
      <c r="AK167" s="32"/>
      <c r="AL167" s="32"/>
    </row>
    <row r="168">
      <c r="AI168" s="32"/>
      <c r="AJ168" s="32"/>
      <c r="AK168" s="32"/>
      <c r="AL168" s="32"/>
    </row>
    <row r="169">
      <c r="AI169" s="32"/>
      <c r="AJ169" s="32"/>
      <c r="AK169" s="32"/>
      <c r="AL169" s="32"/>
    </row>
    <row r="170">
      <c r="AI170" s="32"/>
      <c r="AJ170" s="32"/>
      <c r="AK170" s="32"/>
      <c r="AL170" s="32"/>
    </row>
    <row r="171">
      <c r="AI171" s="32"/>
      <c r="AJ171" s="32"/>
      <c r="AK171" s="32"/>
      <c r="AL171" s="32"/>
    </row>
    <row r="172">
      <c r="AI172" s="32"/>
      <c r="AJ172" s="32"/>
      <c r="AK172" s="32"/>
      <c r="AL172" s="32"/>
    </row>
    <row r="173">
      <c r="AI173" s="32"/>
      <c r="AJ173" s="32"/>
      <c r="AK173" s="32"/>
      <c r="AL173" s="32"/>
    </row>
    <row r="174">
      <c r="AI174" s="32"/>
      <c r="AJ174" s="32"/>
      <c r="AK174" s="32"/>
      <c r="AL174" s="32"/>
    </row>
    <row r="175">
      <c r="AI175" s="32"/>
      <c r="AJ175" s="32"/>
      <c r="AK175" s="32"/>
      <c r="AL175" s="32"/>
    </row>
    <row r="176">
      <c r="AI176" s="32"/>
      <c r="AJ176" s="32"/>
      <c r="AK176" s="32"/>
      <c r="AL176" s="32"/>
    </row>
    <row r="177">
      <c r="AI177" s="32"/>
      <c r="AJ177" s="32"/>
      <c r="AK177" s="32"/>
      <c r="AL177" s="32"/>
    </row>
    <row r="178">
      <c r="AI178" s="32"/>
      <c r="AJ178" s="32"/>
      <c r="AK178" s="32"/>
      <c r="AL178" s="32"/>
    </row>
    <row r="179">
      <c r="AI179" s="32"/>
      <c r="AJ179" s="32"/>
      <c r="AK179" s="32"/>
      <c r="AL179" s="32"/>
    </row>
    <row r="180">
      <c r="AI180" s="32"/>
      <c r="AJ180" s="32"/>
      <c r="AK180" s="32"/>
      <c r="AL180" s="32"/>
    </row>
    <row r="181">
      <c r="AI181" s="32"/>
      <c r="AJ181" s="32"/>
      <c r="AK181" s="32"/>
      <c r="AL181" s="32"/>
    </row>
    <row r="182">
      <c r="AI182" s="32"/>
      <c r="AJ182" s="32"/>
      <c r="AK182" s="32"/>
      <c r="AL182" s="32"/>
    </row>
    <row r="183">
      <c r="AI183" s="32"/>
      <c r="AJ183" s="32"/>
      <c r="AK183" s="32"/>
      <c r="AL183" s="32"/>
    </row>
    <row r="184">
      <c r="AI184" s="32"/>
      <c r="AJ184" s="32"/>
      <c r="AK184" s="32"/>
      <c r="AL184" s="32"/>
    </row>
    <row r="185">
      <c r="AI185" s="32"/>
      <c r="AJ185" s="32"/>
      <c r="AK185" s="32"/>
      <c r="AL185" s="32"/>
    </row>
    <row r="186">
      <c r="AI186" s="32"/>
      <c r="AJ186" s="32"/>
      <c r="AK186" s="32"/>
      <c r="AL186" s="32"/>
    </row>
    <row r="187">
      <c r="AI187" s="32"/>
      <c r="AJ187" s="32"/>
      <c r="AK187" s="32"/>
      <c r="AL187" s="32"/>
    </row>
    <row r="188">
      <c r="AI188" s="32"/>
      <c r="AJ188" s="32"/>
      <c r="AK188" s="32"/>
      <c r="AL188" s="32"/>
    </row>
    <row r="189">
      <c r="AI189" s="32"/>
      <c r="AJ189" s="32"/>
      <c r="AK189" s="32"/>
      <c r="AL189" s="32"/>
    </row>
    <row r="190">
      <c r="AI190" s="32"/>
      <c r="AJ190" s="32"/>
      <c r="AK190" s="32"/>
      <c r="AL190" s="32"/>
    </row>
    <row r="191">
      <c r="AI191" s="32"/>
      <c r="AJ191" s="32"/>
      <c r="AK191" s="32"/>
      <c r="AL191" s="32"/>
    </row>
    <row r="192">
      <c r="AI192" s="32"/>
      <c r="AJ192" s="32"/>
      <c r="AK192" s="32"/>
      <c r="AL192" s="32"/>
    </row>
    <row r="193">
      <c r="AI193" s="32"/>
      <c r="AJ193" s="32"/>
      <c r="AK193" s="32"/>
      <c r="AL193" s="32"/>
    </row>
    <row r="194">
      <c r="AI194" s="32"/>
      <c r="AJ194" s="32"/>
      <c r="AK194" s="32"/>
      <c r="AL194" s="32"/>
    </row>
    <row r="195">
      <c r="AI195" s="32"/>
      <c r="AJ195" s="32"/>
      <c r="AK195" s="32"/>
      <c r="AL195" s="32"/>
    </row>
    <row r="196">
      <c r="AI196" s="32"/>
      <c r="AJ196" s="32"/>
      <c r="AK196" s="32"/>
      <c r="AL196" s="32"/>
    </row>
    <row r="197">
      <c r="AI197" s="32"/>
      <c r="AJ197" s="32"/>
      <c r="AK197" s="32"/>
      <c r="AL197" s="32"/>
    </row>
    <row r="198">
      <c r="AI198" s="32"/>
      <c r="AJ198" s="32"/>
      <c r="AK198" s="32"/>
      <c r="AL198" s="32"/>
    </row>
    <row r="199">
      <c r="AI199" s="32"/>
      <c r="AJ199" s="32"/>
      <c r="AK199" s="32"/>
      <c r="AL199" s="32"/>
    </row>
    <row r="200">
      <c r="AI200" s="32"/>
      <c r="AJ200" s="32"/>
      <c r="AK200" s="32"/>
      <c r="AL200" s="32"/>
    </row>
    <row r="201">
      <c r="AI201" s="32"/>
      <c r="AJ201" s="32"/>
      <c r="AK201" s="32"/>
      <c r="AL201" s="32"/>
    </row>
    <row r="202">
      <c r="AI202" s="32"/>
      <c r="AJ202" s="32"/>
      <c r="AK202" s="32"/>
      <c r="AL202" s="32"/>
    </row>
    <row r="203">
      <c r="AI203" s="32"/>
      <c r="AJ203" s="32"/>
      <c r="AK203" s="32"/>
      <c r="AL203" s="32"/>
    </row>
    <row r="204">
      <c r="AI204" s="32"/>
      <c r="AJ204" s="32"/>
      <c r="AK204" s="32"/>
      <c r="AL204" s="32"/>
    </row>
    <row r="205">
      <c r="AI205" s="32"/>
      <c r="AJ205" s="32"/>
      <c r="AK205" s="32"/>
      <c r="AL205" s="32"/>
    </row>
    <row r="206">
      <c r="AI206" s="32"/>
      <c r="AJ206" s="32"/>
      <c r="AK206" s="32"/>
      <c r="AL206" s="32"/>
    </row>
    <row r="207">
      <c r="AI207" s="32"/>
      <c r="AJ207" s="32"/>
      <c r="AK207" s="32"/>
      <c r="AL207" s="32"/>
    </row>
    <row r="208">
      <c r="AI208" s="32"/>
      <c r="AJ208" s="32"/>
      <c r="AK208" s="32"/>
      <c r="AL208" s="32"/>
    </row>
    <row r="209">
      <c r="AI209" s="32"/>
      <c r="AJ209" s="32"/>
      <c r="AK209" s="32"/>
      <c r="AL209" s="32"/>
    </row>
    <row r="210">
      <c r="AI210" s="32"/>
      <c r="AJ210" s="32"/>
      <c r="AK210" s="32"/>
      <c r="AL210" s="32"/>
    </row>
    <row r="211">
      <c r="AI211" s="32"/>
      <c r="AJ211" s="32"/>
      <c r="AK211" s="32"/>
      <c r="AL211" s="32"/>
    </row>
    <row r="212">
      <c r="AI212" s="32"/>
      <c r="AJ212" s="32"/>
      <c r="AK212" s="32"/>
      <c r="AL212" s="32"/>
    </row>
    <row r="213">
      <c r="AI213" s="32"/>
      <c r="AJ213" s="32"/>
      <c r="AK213" s="32"/>
      <c r="AL213" s="32"/>
    </row>
    <row r="214">
      <c r="AI214" s="32"/>
      <c r="AJ214" s="32"/>
      <c r="AK214" s="32"/>
      <c r="AL214" s="32"/>
    </row>
    <row r="215">
      <c r="AI215" s="32"/>
      <c r="AJ215" s="32"/>
      <c r="AK215" s="32"/>
      <c r="AL215" s="32"/>
    </row>
    <row r="216">
      <c r="AI216" s="32"/>
      <c r="AJ216" s="32"/>
      <c r="AK216" s="32"/>
      <c r="AL216" s="32"/>
    </row>
    <row r="217">
      <c r="AI217" s="32"/>
      <c r="AJ217" s="32"/>
      <c r="AK217" s="32"/>
      <c r="AL217" s="32"/>
    </row>
    <row r="218">
      <c r="AI218" s="32"/>
      <c r="AJ218" s="32"/>
      <c r="AK218" s="32"/>
      <c r="AL218" s="32"/>
    </row>
    <row r="219">
      <c r="AI219" s="32"/>
      <c r="AJ219" s="32"/>
      <c r="AK219" s="32"/>
      <c r="AL219" s="32"/>
    </row>
    <row r="220">
      <c r="AI220" s="32"/>
      <c r="AJ220" s="32"/>
      <c r="AK220" s="32"/>
      <c r="AL220" s="32"/>
    </row>
    <row r="221">
      <c r="AI221" s="32"/>
      <c r="AJ221" s="32"/>
      <c r="AK221" s="32"/>
      <c r="AL221" s="32"/>
    </row>
    <row r="222">
      <c r="AI222" s="32"/>
      <c r="AJ222" s="32"/>
      <c r="AK222" s="32"/>
      <c r="AL222" s="32"/>
    </row>
    <row r="223">
      <c r="AI223" s="32"/>
      <c r="AJ223" s="32"/>
      <c r="AK223" s="32"/>
      <c r="AL223" s="32"/>
    </row>
    <row r="224">
      <c r="AI224" s="32"/>
      <c r="AJ224" s="32"/>
      <c r="AK224" s="32"/>
      <c r="AL224" s="32"/>
    </row>
    <row r="225">
      <c r="AI225" s="32"/>
      <c r="AJ225" s="32"/>
      <c r="AK225" s="32"/>
      <c r="AL225" s="32"/>
    </row>
    <row r="226">
      <c r="AI226" s="32"/>
      <c r="AJ226" s="32"/>
      <c r="AK226" s="32"/>
      <c r="AL226" s="32"/>
    </row>
    <row r="227">
      <c r="AI227" s="32"/>
      <c r="AJ227" s="32"/>
      <c r="AK227" s="32"/>
      <c r="AL227" s="32"/>
    </row>
    <row r="228">
      <c r="AI228" s="32"/>
      <c r="AJ228" s="32"/>
      <c r="AK228" s="32"/>
      <c r="AL228" s="32"/>
    </row>
    <row r="229">
      <c r="AI229" s="32"/>
      <c r="AJ229" s="32"/>
      <c r="AK229" s="32"/>
      <c r="AL229" s="32"/>
    </row>
    <row r="230">
      <c r="AI230" s="32"/>
      <c r="AJ230" s="32"/>
      <c r="AK230" s="32"/>
      <c r="AL230" s="32"/>
    </row>
    <row r="231">
      <c r="AI231" s="32"/>
      <c r="AJ231" s="32"/>
      <c r="AK231" s="32"/>
      <c r="AL231" s="32"/>
    </row>
    <row r="232">
      <c r="AI232" s="32"/>
      <c r="AJ232" s="32"/>
      <c r="AK232" s="32"/>
      <c r="AL232" s="32"/>
    </row>
    <row r="233">
      <c r="AI233" s="32"/>
      <c r="AJ233" s="32"/>
      <c r="AK233" s="32"/>
      <c r="AL233" s="32"/>
    </row>
    <row r="234">
      <c r="AI234" s="32"/>
      <c r="AJ234" s="32"/>
      <c r="AK234" s="32"/>
      <c r="AL234" s="32"/>
    </row>
    <row r="235">
      <c r="AI235" s="32"/>
      <c r="AJ235" s="32"/>
      <c r="AK235" s="32"/>
      <c r="AL235" s="32"/>
    </row>
    <row r="236">
      <c r="AI236" s="32"/>
      <c r="AJ236" s="32"/>
      <c r="AK236" s="32"/>
      <c r="AL236" s="32"/>
    </row>
    <row r="237">
      <c r="AI237" s="32"/>
      <c r="AJ237" s="32"/>
      <c r="AK237" s="32"/>
      <c r="AL237" s="32"/>
    </row>
    <row r="238">
      <c r="AI238" s="32"/>
      <c r="AJ238" s="32"/>
      <c r="AK238" s="32"/>
      <c r="AL238" s="32"/>
    </row>
    <row r="239">
      <c r="AI239" s="32"/>
      <c r="AJ239" s="32"/>
      <c r="AK239" s="32"/>
      <c r="AL239" s="32"/>
    </row>
    <row r="240">
      <c r="AI240" s="32"/>
      <c r="AJ240" s="32"/>
      <c r="AK240" s="32"/>
      <c r="AL240" s="32"/>
    </row>
    <row r="241">
      <c r="AI241" s="32"/>
      <c r="AJ241" s="32"/>
      <c r="AK241" s="32"/>
      <c r="AL241" s="32"/>
    </row>
    <row r="242">
      <c r="AI242" s="32"/>
      <c r="AJ242" s="32"/>
      <c r="AK242" s="32"/>
      <c r="AL242" s="32"/>
    </row>
    <row r="243">
      <c r="AI243" s="32"/>
      <c r="AJ243" s="32"/>
      <c r="AK243" s="32"/>
      <c r="AL243" s="32"/>
    </row>
    <row r="244">
      <c r="AI244" s="32"/>
      <c r="AJ244" s="32"/>
      <c r="AK244" s="32"/>
      <c r="AL244" s="32"/>
    </row>
    <row r="245">
      <c r="AI245" s="32"/>
      <c r="AJ245" s="32"/>
      <c r="AK245" s="32"/>
      <c r="AL245" s="32"/>
    </row>
    <row r="246">
      <c r="AI246" s="32"/>
      <c r="AJ246" s="32"/>
      <c r="AK246" s="32"/>
      <c r="AL246" s="32"/>
    </row>
    <row r="247">
      <c r="AI247" s="32"/>
      <c r="AJ247" s="32"/>
      <c r="AK247" s="32"/>
      <c r="AL247" s="32"/>
    </row>
    <row r="248">
      <c r="AI248" s="32"/>
      <c r="AJ248" s="32"/>
      <c r="AK248" s="32"/>
      <c r="AL248" s="32"/>
    </row>
    <row r="249">
      <c r="AI249" s="32"/>
      <c r="AJ249" s="32"/>
      <c r="AK249" s="32"/>
      <c r="AL249" s="32"/>
    </row>
    <row r="250">
      <c r="AI250" s="32"/>
      <c r="AJ250" s="32"/>
      <c r="AK250" s="32"/>
      <c r="AL250" s="32"/>
    </row>
    <row r="251">
      <c r="AI251" s="32"/>
      <c r="AJ251" s="32"/>
      <c r="AK251" s="32"/>
      <c r="AL251" s="32"/>
    </row>
    <row r="252">
      <c r="AI252" s="32"/>
      <c r="AJ252" s="32"/>
      <c r="AK252" s="32"/>
      <c r="AL252" s="32"/>
    </row>
    <row r="253">
      <c r="AI253" s="32"/>
      <c r="AJ253" s="32"/>
      <c r="AK253" s="32"/>
      <c r="AL253" s="32"/>
    </row>
    <row r="254">
      <c r="AI254" s="32"/>
      <c r="AJ254" s="32"/>
      <c r="AK254" s="32"/>
      <c r="AL254" s="32"/>
    </row>
    <row r="255">
      <c r="AI255" s="32"/>
      <c r="AJ255" s="32"/>
      <c r="AK255" s="32"/>
      <c r="AL255" s="32"/>
    </row>
    <row r="256">
      <c r="AI256" s="32"/>
      <c r="AJ256" s="32"/>
      <c r="AK256" s="32"/>
      <c r="AL256" s="32"/>
    </row>
    <row r="257">
      <c r="AI257" s="32"/>
      <c r="AJ257" s="32"/>
      <c r="AK257" s="32"/>
      <c r="AL257" s="32"/>
    </row>
    <row r="258">
      <c r="AI258" s="32"/>
      <c r="AJ258" s="32"/>
      <c r="AK258" s="32"/>
      <c r="AL258" s="32"/>
    </row>
    <row r="259">
      <c r="AI259" s="32"/>
      <c r="AJ259" s="32"/>
      <c r="AK259" s="32"/>
      <c r="AL259" s="32"/>
    </row>
    <row r="260">
      <c r="AI260" s="32"/>
      <c r="AJ260" s="32"/>
      <c r="AK260" s="32"/>
      <c r="AL260" s="32"/>
    </row>
    <row r="261">
      <c r="AI261" s="32"/>
      <c r="AJ261" s="32"/>
      <c r="AK261" s="32"/>
      <c r="AL261" s="32"/>
    </row>
    <row r="262">
      <c r="AI262" s="32"/>
      <c r="AJ262" s="32"/>
      <c r="AK262" s="32"/>
      <c r="AL262" s="32"/>
    </row>
    <row r="263">
      <c r="AI263" s="32"/>
      <c r="AJ263" s="32"/>
      <c r="AK263" s="32"/>
      <c r="AL263" s="32"/>
    </row>
    <row r="264">
      <c r="AI264" s="32"/>
      <c r="AJ264" s="32"/>
      <c r="AK264" s="32"/>
      <c r="AL264" s="32"/>
    </row>
    <row r="265">
      <c r="AI265" s="32"/>
      <c r="AJ265" s="32"/>
      <c r="AK265" s="32"/>
      <c r="AL265" s="32"/>
    </row>
    <row r="266">
      <c r="AI266" s="32"/>
      <c r="AJ266" s="32"/>
      <c r="AK266" s="32"/>
      <c r="AL266" s="32"/>
    </row>
    <row r="267">
      <c r="AI267" s="32"/>
      <c r="AJ267" s="32"/>
      <c r="AK267" s="32"/>
      <c r="AL267" s="32"/>
    </row>
    <row r="268">
      <c r="AI268" s="32"/>
      <c r="AJ268" s="32"/>
      <c r="AK268" s="32"/>
      <c r="AL268" s="32"/>
    </row>
    <row r="269">
      <c r="AI269" s="32"/>
      <c r="AJ269" s="32"/>
      <c r="AK269" s="32"/>
      <c r="AL269" s="32"/>
    </row>
    <row r="270">
      <c r="AI270" s="32"/>
      <c r="AJ270" s="32"/>
      <c r="AK270" s="32"/>
      <c r="AL270" s="32"/>
    </row>
    <row r="271">
      <c r="AI271" s="32"/>
      <c r="AJ271" s="32"/>
      <c r="AK271" s="32"/>
      <c r="AL271" s="32"/>
    </row>
    <row r="272">
      <c r="AI272" s="32"/>
      <c r="AJ272" s="32"/>
      <c r="AK272" s="32"/>
      <c r="AL272" s="32"/>
    </row>
    <row r="273">
      <c r="AI273" s="32"/>
      <c r="AJ273" s="32"/>
      <c r="AK273" s="32"/>
      <c r="AL273" s="32"/>
    </row>
    <row r="274">
      <c r="AI274" s="32"/>
      <c r="AJ274" s="32"/>
      <c r="AK274" s="32"/>
      <c r="AL274" s="32"/>
    </row>
    <row r="275">
      <c r="AI275" s="32"/>
      <c r="AJ275" s="32"/>
      <c r="AK275" s="32"/>
      <c r="AL275" s="32"/>
    </row>
    <row r="276">
      <c r="AI276" s="32"/>
      <c r="AJ276" s="32"/>
      <c r="AK276" s="32"/>
      <c r="AL276" s="32"/>
    </row>
    <row r="277">
      <c r="AI277" s="32"/>
      <c r="AJ277" s="32"/>
      <c r="AK277" s="32"/>
      <c r="AL277" s="32"/>
    </row>
    <row r="278">
      <c r="AI278" s="32"/>
      <c r="AJ278" s="32"/>
      <c r="AK278" s="32"/>
      <c r="AL278" s="32"/>
    </row>
    <row r="279">
      <c r="AI279" s="32"/>
      <c r="AJ279" s="32"/>
      <c r="AK279" s="32"/>
      <c r="AL279" s="32"/>
    </row>
    <row r="280">
      <c r="AI280" s="32"/>
      <c r="AJ280" s="32"/>
      <c r="AK280" s="32"/>
      <c r="AL280" s="32"/>
    </row>
    <row r="281">
      <c r="AI281" s="32"/>
      <c r="AJ281" s="32"/>
      <c r="AK281" s="32"/>
      <c r="AL281" s="32"/>
    </row>
    <row r="282">
      <c r="AI282" s="32"/>
      <c r="AJ282" s="32"/>
      <c r="AK282" s="32"/>
      <c r="AL282" s="32"/>
    </row>
    <row r="283">
      <c r="AI283" s="32"/>
      <c r="AJ283" s="32"/>
      <c r="AK283" s="32"/>
      <c r="AL283" s="32"/>
    </row>
    <row r="284">
      <c r="AI284" s="32"/>
      <c r="AJ284" s="32"/>
      <c r="AK284" s="32"/>
      <c r="AL284" s="32"/>
    </row>
    <row r="285">
      <c r="AI285" s="32"/>
      <c r="AJ285" s="32"/>
      <c r="AK285" s="32"/>
      <c r="AL285" s="32"/>
    </row>
    <row r="286">
      <c r="AI286" s="32"/>
      <c r="AJ286" s="32"/>
      <c r="AK286" s="32"/>
      <c r="AL286" s="32"/>
    </row>
    <row r="287">
      <c r="AI287" s="32"/>
      <c r="AJ287" s="32"/>
      <c r="AK287" s="32"/>
      <c r="AL287" s="32"/>
    </row>
    <row r="288">
      <c r="AI288" s="32"/>
      <c r="AJ288" s="32"/>
      <c r="AK288" s="32"/>
      <c r="AL288" s="32"/>
    </row>
    <row r="289">
      <c r="AI289" s="32"/>
      <c r="AJ289" s="32"/>
      <c r="AK289" s="32"/>
      <c r="AL289" s="32"/>
    </row>
    <row r="290">
      <c r="AI290" s="32"/>
      <c r="AJ290" s="32"/>
      <c r="AK290" s="32"/>
      <c r="AL290" s="32"/>
    </row>
    <row r="291">
      <c r="AI291" s="32"/>
      <c r="AJ291" s="32"/>
      <c r="AK291" s="32"/>
      <c r="AL291" s="32"/>
    </row>
    <row r="292">
      <c r="AI292" s="32"/>
      <c r="AJ292" s="32"/>
      <c r="AK292" s="32"/>
      <c r="AL292" s="32"/>
    </row>
    <row r="293">
      <c r="AI293" s="32"/>
      <c r="AJ293" s="32"/>
      <c r="AK293" s="32"/>
      <c r="AL293" s="32"/>
    </row>
    <row r="294">
      <c r="AI294" s="32"/>
      <c r="AJ294" s="32"/>
      <c r="AK294" s="32"/>
      <c r="AL294" s="32"/>
    </row>
    <row r="295">
      <c r="AI295" s="32"/>
      <c r="AJ295" s="32"/>
      <c r="AK295" s="32"/>
      <c r="AL295" s="32"/>
    </row>
    <row r="296">
      <c r="AI296" s="32"/>
      <c r="AJ296" s="32"/>
      <c r="AK296" s="32"/>
      <c r="AL296" s="32"/>
    </row>
    <row r="297">
      <c r="AI297" s="32"/>
      <c r="AJ297" s="32"/>
      <c r="AK297" s="32"/>
      <c r="AL297" s="32"/>
    </row>
    <row r="298">
      <c r="AI298" s="32"/>
      <c r="AJ298" s="32"/>
      <c r="AK298" s="32"/>
      <c r="AL298" s="32"/>
    </row>
    <row r="299">
      <c r="AI299" s="32"/>
      <c r="AJ299" s="32"/>
      <c r="AK299" s="32"/>
      <c r="AL299" s="32"/>
    </row>
    <row r="300">
      <c r="AI300" s="32"/>
      <c r="AJ300" s="32"/>
      <c r="AK300" s="32"/>
      <c r="AL300" s="32"/>
    </row>
    <row r="301">
      <c r="AI301" s="32"/>
      <c r="AJ301" s="32"/>
      <c r="AK301" s="32"/>
      <c r="AL301" s="32"/>
    </row>
    <row r="302">
      <c r="AI302" s="32"/>
      <c r="AJ302" s="32"/>
      <c r="AK302" s="32"/>
      <c r="AL302" s="32"/>
    </row>
    <row r="303">
      <c r="AI303" s="32"/>
      <c r="AJ303" s="32"/>
      <c r="AK303" s="32"/>
      <c r="AL303" s="32"/>
    </row>
    <row r="304">
      <c r="AI304" s="32"/>
      <c r="AJ304" s="32"/>
      <c r="AK304" s="32"/>
      <c r="AL304" s="32"/>
    </row>
    <row r="305">
      <c r="AI305" s="32"/>
      <c r="AJ305" s="32"/>
      <c r="AK305" s="32"/>
      <c r="AL305" s="32"/>
    </row>
    <row r="306">
      <c r="AI306" s="32"/>
      <c r="AJ306" s="32"/>
      <c r="AK306" s="32"/>
      <c r="AL306" s="32"/>
    </row>
    <row r="307">
      <c r="AI307" s="32"/>
      <c r="AJ307" s="32"/>
      <c r="AK307" s="32"/>
      <c r="AL307" s="32"/>
    </row>
    <row r="308">
      <c r="AI308" s="32"/>
      <c r="AJ308" s="32"/>
      <c r="AK308" s="32"/>
      <c r="AL308" s="32"/>
    </row>
    <row r="309">
      <c r="AI309" s="32"/>
      <c r="AJ309" s="32"/>
      <c r="AK309" s="32"/>
      <c r="AL309" s="32"/>
    </row>
    <row r="310">
      <c r="AI310" s="32"/>
      <c r="AJ310" s="32"/>
      <c r="AK310" s="32"/>
      <c r="AL310" s="32"/>
    </row>
    <row r="311">
      <c r="AI311" s="32"/>
      <c r="AJ311" s="32"/>
      <c r="AK311" s="32"/>
      <c r="AL311" s="32"/>
    </row>
    <row r="312">
      <c r="AI312" s="32"/>
      <c r="AJ312" s="32"/>
      <c r="AK312" s="32"/>
      <c r="AL312" s="32"/>
    </row>
    <row r="313">
      <c r="AI313" s="32"/>
      <c r="AJ313" s="32"/>
      <c r="AK313" s="32"/>
      <c r="AL313" s="32"/>
    </row>
    <row r="314">
      <c r="AI314" s="32"/>
      <c r="AJ314" s="32"/>
      <c r="AK314" s="32"/>
      <c r="AL314" s="32"/>
    </row>
    <row r="315">
      <c r="AI315" s="32"/>
      <c r="AJ315" s="32"/>
      <c r="AK315" s="32"/>
      <c r="AL315" s="32"/>
    </row>
    <row r="316">
      <c r="AI316" s="32"/>
      <c r="AJ316" s="32"/>
      <c r="AK316" s="32"/>
      <c r="AL316" s="32"/>
    </row>
    <row r="317">
      <c r="AI317" s="32"/>
      <c r="AJ317" s="32"/>
      <c r="AK317" s="32"/>
      <c r="AL317" s="32"/>
    </row>
    <row r="318">
      <c r="AI318" s="32"/>
      <c r="AJ318" s="32"/>
      <c r="AK318" s="32"/>
      <c r="AL318" s="32"/>
    </row>
    <row r="319">
      <c r="AI319" s="32"/>
      <c r="AJ319" s="32"/>
      <c r="AK319" s="32"/>
      <c r="AL319" s="32"/>
    </row>
    <row r="320">
      <c r="AI320" s="32"/>
      <c r="AJ320" s="32"/>
      <c r="AK320" s="32"/>
      <c r="AL320" s="32"/>
    </row>
    <row r="321">
      <c r="AI321" s="32"/>
      <c r="AJ321" s="32"/>
      <c r="AK321" s="32"/>
      <c r="AL321" s="32"/>
    </row>
    <row r="322">
      <c r="AI322" s="32"/>
      <c r="AJ322" s="32"/>
      <c r="AK322" s="32"/>
      <c r="AL322" s="32"/>
    </row>
    <row r="323">
      <c r="AI323" s="32"/>
      <c r="AJ323" s="32"/>
      <c r="AK323" s="32"/>
      <c r="AL323" s="32"/>
    </row>
    <row r="324">
      <c r="AI324" s="32"/>
      <c r="AJ324" s="32"/>
      <c r="AK324" s="32"/>
      <c r="AL324" s="32"/>
    </row>
    <row r="325">
      <c r="AI325" s="32"/>
      <c r="AJ325" s="32"/>
      <c r="AK325" s="32"/>
      <c r="AL325" s="32"/>
    </row>
    <row r="326">
      <c r="AI326" s="32"/>
      <c r="AJ326" s="32"/>
      <c r="AK326" s="32"/>
      <c r="AL326" s="32"/>
    </row>
    <row r="327">
      <c r="AI327" s="32"/>
      <c r="AJ327" s="32"/>
      <c r="AK327" s="32"/>
      <c r="AL327" s="32"/>
    </row>
    <row r="328">
      <c r="AI328" s="32"/>
      <c r="AJ328" s="32"/>
      <c r="AK328" s="32"/>
      <c r="AL328" s="32"/>
    </row>
    <row r="329">
      <c r="AI329" s="32"/>
      <c r="AJ329" s="32"/>
      <c r="AK329" s="32"/>
      <c r="AL329" s="32"/>
    </row>
    <row r="330">
      <c r="AI330" s="32"/>
      <c r="AJ330" s="32"/>
      <c r="AK330" s="32"/>
      <c r="AL330" s="32"/>
    </row>
    <row r="331">
      <c r="AI331" s="32"/>
      <c r="AJ331" s="32"/>
      <c r="AK331" s="32"/>
      <c r="AL331" s="32"/>
    </row>
    <row r="332">
      <c r="AI332" s="32"/>
      <c r="AJ332" s="32"/>
      <c r="AK332" s="32"/>
      <c r="AL332" s="32"/>
    </row>
    <row r="333">
      <c r="AI333" s="32"/>
      <c r="AJ333" s="32"/>
      <c r="AK333" s="32"/>
      <c r="AL333" s="32"/>
    </row>
    <row r="334">
      <c r="AI334" s="32"/>
      <c r="AJ334" s="32"/>
      <c r="AK334" s="32"/>
      <c r="AL334" s="32"/>
    </row>
    <row r="335">
      <c r="AI335" s="32"/>
      <c r="AJ335" s="32"/>
      <c r="AK335" s="32"/>
      <c r="AL335" s="32"/>
    </row>
    <row r="336">
      <c r="AI336" s="32"/>
      <c r="AJ336" s="32"/>
      <c r="AK336" s="32"/>
      <c r="AL336" s="32"/>
    </row>
    <row r="337">
      <c r="AI337" s="32"/>
      <c r="AJ337" s="32"/>
      <c r="AK337" s="32"/>
      <c r="AL337" s="32"/>
    </row>
    <row r="338">
      <c r="AI338" s="32"/>
      <c r="AJ338" s="32"/>
      <c r="AK338" s="32"/>
      <c r="AL338" s="32"/>
    </row>
    <row r="339">
      <c r="AI339" s="32"/>
      <c r="AJ339" s="32"/>
      <c r="AK339" s="32"/>
      <c r="AL339" s="32"/>
    </row>
    <row r="340">
      <c r="AI340" s="32"/>
      <c r="AJ340" s="32"/>
      <c r="AK340" s="32"/>
      <c r="AL340" s="32"/>
    </row>
    <row r="341">
      <c r="AI341" s="32"/>
      <c r="AJ341" s="32"/>
      <c r="AK341" s="32"/>
      <c r="AL341" s="32"/>
    </row>
    <row r="342">
      <c r="AI342" s="32"/>
      <c r="AJ342" s="32"/>
      <c r="AK342" s="32"/>
      <c r="AL342" s="32"/>
    </row>
    <row r="343">
      <c r="AI343" s="32"/>
      <c r="AJ343" s="32"/>
      <c r="AK343" s="32"/>
      <c r="AL343" s="32"/>
    </row>
    <row r="344">
      <c r="AI344" s="32"/>
      <c r="AJ344" s="32"/>
      <c r="AK344" s="32"/>
      <c r="AL344" s="32"/>
    </row>
    <row r="345">
      <c r="AI345" s="32"/>
      <c r="AJ345" s="32"/>
      <c r="AK345" s="32"/>
      <c r="AL345" s="32"/>
    </row>
    <row r="346">
      <c r="AI346" s="32"/>
      <c r="AJ346" s="32"/>
      <c r="AK346" s="32"/>
      <c r="AL346" s="32"/>
    </row>
    <row r="347">
      <c r="AI347" s="32"/>
      <c r="AJ347" s="32"/>
      <c r="AK347" s="32"/>
      <c r="AL347" s="32"/>
    </row>
    <row r="348">
      <c r="AI348" s="32"/>
      <c r="AJ348" s="32"/>
      <c r="AK348" s="32"/>
      <c r="AL348" s="32"/>
    </row>
    <row r="349">
      <c r="AI349" s="32"/>
      <c r="AJ349" s="32"/>
      <c r="AK349" s="32"/>
      <c r="AL349" s="32"/>
    </row>
    <row r="350">
      <c r="AI350" s="32"/>
      <c r="AJ350" s="32"/>
      <c r="AK350" s="32"/>
      <c r="AL350" s="32"/>
    </row>
    <row r="351">
      <c r="AI351" s="32"/>
      <c r="AJ351" s="32"/>
      <c r="AK351" s="32"/>
      <c r="AL351" s="32"/>
    </row>
    <row r="352">
      <c r="AI352" s="32"/>
      <c r="AJ352" s="32"/>
      <c r="AK352" s="32"/>
      <c r="AL352" s="32"/>
    </row>
    <row r="353">
      <c r="AI353" s="32"/>
      <c r="AJ353" s="32"/>
      <c r="AK353" s="32"/>
      <c r="AL353" s="32"/>
    </row>
    <row r="354">
      <c r="AI354" s="32"/>
      <c r="AJ354" s="32"/>
      <c r="AK354" s="32"/>
      <c r="AL354" s="32"/>
    </row>
    <row r="355">
      <c r="AI355" s="32"/>
      <c r="AJ355" s="32"/>
      <c r="AK355" s="32"/>
      <c r="AL355" s="32"/>
    </row>
    <row r="356">
      <c r="AI356" s="32"/>
      <c r="AJ356" s="32"/>
      <c r="AK356" s="32"/>
      <c r="AL356" s="32"/>
    </row>
    <row r="357">
      <c r="AI357" s="32"/>
      <c r="AJ357" s="32"/>
      <c r="AK357" s="32"/>
      <c r="AL357" s="32"/>
    </row>
    <row r="358">
      <c r="AI358" s="32"/>
      <c r="AJ358" s="32"/>
      <c r="AK358" s="32"/>
      <c r="AL358" s="32"/>
    </row>
    <row r="359">
      <c r="AI359" s="32"/>
      <c r="AJ359" s="32"/>
      <c r="AK359" s="32"/>
      <c r="AL359" s="32"/>
    </row>
    <row r="360">
      <c r="AI360" s="32"/>
      <c r="AJ360" s="32"/>
      <c r="AK360" s="32"/>
      <c r="AL360" s="32"/>
    </row>
    <row r="361">
      <c r="AI361" s="32"/>
      <c r="AJ361" s="32"/>
      <c r="AK361" s="32"/>
      <c r="AL361" s="32"/>
    </row>
    <row r="362">
      <c r="AI362" s="32"/>
      <c r="AJ362" s="32"/>
      <c r="AK362" s="32"/>
      <c r="AL362" s="32"/>
    </row>
    <row r="363">
      <c r="AI363" s="32"/>
      <c r="AJ363" s="32"/>
      <c r="AK363" s="32"/>
      <c r="AL363" s="32"/>
    </row>
    <row r="364">
      <c r="AI364" s="32"/>
      <c r="AJ364" s="32"/>
      <c r="AK364" s="32"/>
      <c r="AL364" s="32"/>
    </row>
    <row r="365">
      <c r="AI365" s="32"/>
      <c r="AJ365" s="32"/>
      <c r="AK365" s="32"/>
      <c r="AL365" s="32"/>
    </row>
    <row r="366">
      <c r="AI366" s="32"/>
      <c r="AJ366" s="32"/>
      <c r="AK366" s="32"/>
      <c r="AL366" s="32"/>
    </row>
    <row r="367">
      <c r="AI367" s="32"/>
      <c r="AJ367" s="32"/>
      <c r="AK367" s="32"/>
      <c r="AL367" s="32"/>
    </row>
    <row r="368">
      <c r="AI368" s="32"/>
      <c r="AJ368" s="32"/>
      <c r="AK368" s="32"/>
      <c r="AL368" s="32"/>
    </row>
    <row r="369">
      <c r="AI369" s="32"/>
      <c r="AJ369" s="32"/>
      <c r="AK369" s="32"/>
      <c r="AL369" s="32"/>
    </row>
    <row r="370">
      <c r="AI370" s="32"/>
      <c r="AJ370" s="32"/>
      <c r="AK370" s="32"/>
      <c r="AL370" s="32"/>
    </row>
    <row r="371">
      <c r="AI371" s="32"/>
      <c r="AJ371" s="32"/>
      <c r="AK371" s="32"/>
      <c r="AL371" s="32"/>
    </row>
    <row r="372">
      <c r="AI372" s="32"/>
      <c r="AJ372" s="32"/>
      <c r="AK372" s="32"/>
      <c r="AL372" s="32"/>
    </row>
    <row r="373">
      <c r="AI373" s="32"/>
      <c r="AJ373" s="32"/>
      <c r="AK373" s="32"/>
      <c r="AL373" s="32"/>
    </row>
    <row r="374">
      <c r="AI374" s="32"/>
      <c r="AJ374" s="32"/>
      <c r="AK374" s="32"/>
      <c r="AL374" s="32"/>
    </row>
    <row r="375">
      <c r="AI375" s="32"/>
      <c r="AJ375" s="32"/>
      <c r="AK375" s="32"/>
      <c r="AL375" s="32"/>
    </row>
    <row r="376">
      <c r="AI376" s="32"/>
      <c r="AJ376" s="32"/>
      <c r="AK376" s="32"/>
      <c r="AL376" s="32"/>
    </row>
    <row r="377">
      <c r="AI377" s="32"/>
      <c r="AJ377" s="32"/>
      <c r="AK377" s="32"/>
      <c r="AL377" s="32"/>
    </row>
    <row r="378">
      <c r="AI378" s="32"/>
      <c r="AJ378" s="32"/>
      <c r="AK378" s="32"/>
      <c r="AL378" s="32"/>
    </row>
    <row r="379">
      <c r="AI379" s="32"/>
      <c r="AJ379" s="32"/>
      <c r="AK379" s="32"/>
      <c r="AL379" s="32"/>
    </row>
    <row r="380">
      <c r="AI380" s="32"/>
      <c r="AJ380" s="32"/>
      <c r="AK380" s="32"/>
      <c r="AL380" s="32"/>
    </row>
    <row r="381">
      <c r="AI381" s="32"/>
      <c r="AJ381" s="32"/>
      <c r="AK381" s="32"/>
      <c r="AL381" s="32"/>
    </row>
    <row r="382">
      <c r="AI382" s="32"/>
      <c r="AJ382" s="32"/>
      <c r="AK382" s="32"/>
      <c r="AL382" s="32"/>
    </row>
    <row r="383">
      <c r="AI383" s="32"/>
      <c r="AJ383" s="32"/>
      <c r="AK383" s="32"/>
      <c r="AL383" s="32"/>
    </row>
    <row r="384">
      <c r="AI384" s="32"/>
      <c r="AJ384" s="32"/>
      <c r="AK384" s="32"/>
      <c r="AL384" s="32"/>
    </row>
    <row r="385">
      <c r="AI385" s="32"/>
      <c r="AJ385" s="32"/>
      <c r="AK385" s="32"/>
      <c r="AL385" s="32"/>
    </row>
    <row r="386">
      <c r="AI386" s="32"/>
      <c r="AJ386" s="32"/>
      <c r="AK386" s="32"/>
      <c r="AL386" s="32"/>
    </row>
    <row r="387">
      <c r="AI387" s="32"/>
      <c r="AJ387" s="32"/>
      <c r="AK387" s="32"/>
      <c r="AL387" s="32"/>
    </row>
    <row r="388">
      <c r="AI388" s="32"/>
      <c r="AJ388" s="32"/>
      <c r="AK388" s="32"/>
      <c r="AL388" s="32"/>
    </row>
    <row r="389">
      <c r="AI389" s="32"/>
      <c r="AJ389" s="32"/>
      <c r="AK389" s="32"/>
      <c r="AL389" s="32"/>
    </row>
    <row r="390">
      <c r="AI390" s="32"/>
      <c r="AJ390" s="32"/>
      <c r="AK390" s="32"/>
      <c r="AL390" s="32"/>
    </row>
    <row r="391">
      <c r="AI391" s="32"/>
      <c r="AJ391" s="32"/>
      <c r="AK391" s="32"/>
      <c r="AL391" s="32"/>
    </row>
    <row r="392">
      <c r="AI392" s="32"/>
      <c r="AJ392" s="32"/>
      <c r="AK392" s="32"/>
      <c r="AL392" s="32"/>
    </row>
    <row r="393">
      <c r="AI393" s="32"/>
      <c r="AJ393" s="32"/>
      <c r="AK393" s="32"/>
      <c r="AL393" s="32"/>
    </row>
    <row r="394">
      <c r="AI394" s="32"/>
      <c r="AJ394" s="32"/>
      <c r="AK394" s="32"/>
      <c r="AL394" s="32"/>
    </row>
    <row r="395">
      <c r="AI395" s="32"/>
      <c r="AJ395" s="32"/>
      <c r="AK395" s="32"/>
      <c r="AL395" s="32"/>
    </row>
    <row r="396">
      <c r="AI396" s="32"/>
      <c r="AJ396" s="32"/>
      <c r="AK396" s="32"/>
      <c r="AL396" s="32"/>
    </row>
    <row r="397">
      <c r="AI397" s="32"/>
      <c r="AJ397" s="32"/>
      <c r="AK397" s="32"/>
      <c r="AL397" s="32"/>
    </row>
    <row r="398">
      <c r="AI398" s="32"/>
      <c r="AJ398" s="32"/>
      <c r="AK398" s="32"/>
      <c r="AL398" s="32"/>
    </row>
    <row r="399">
      <c r="AI399" s="32"/>
      <c r="AJ399" s="32"/>
      <c r="AK399" s="32"/>
      <c r="AL399" s="32"/>
    </row>
    <row r="400">
      <c r="AI400" s="32"/>
      <c r="AJ400" s="32"/>
      <c r="AK400" s="32"/>
      <c r="AL400" s="32"/>
    </row>
    <row r="401">
      <c r="AI401" s="32"/>
      <c r="AJ401" s="32"/>
      <c r="AK401" s="32"/>
      <c r="AL401" s="32"/>
    </row>
    <row r="402">
      <c r="AI402" s="32"/>
      <c r="AJ402" s="32"/>
      <c r="AK402" s="32"/>
      <c r="AL402" s="32"/>
    </row>
    <row r="403">
      <c r="AI403" s="32"/>
      <c r="AJ403" s="32"/>
      <c r="AK403" s="32"/>
      <c r="AL403" s="32"/>
    </row>
    <row r="404">
      <c r="AI404" s="32"/>
      <c r="AJ404" s="32"/>
      <c r="AK404" s="32"/>
      <c r="AL404" s="32"/>
    </row>
    <row r="405">
      <c r="AI405" s="32"/>
      <c r="AJ405" s="32"/>
      <c r="AK405" s="32"/>
      <c r="AL405" s="32"/>
    </row>
    <row r="406">
      <c r="AI406" s="32"/>
      <c r="AJ406" s="32"/>
      <c r="AK406" s="32"/>
      <c r="AL406" s="32"/>
    </row>
    <row r="407">
      <c r="AI407" s="32"/>
      <c r="AJ407" s="32"/>
      <c r="AK407" s="32"/>
      <c r="AL407" s="32"/>
    </row>
    <row r="408">
      <c r="AI408" s="32"/>
      <c r="AJ408" s="32"/>
      <c r="AK408" s="32"/>
      <c r="AL408" s="32"/>
    </row>
    <row r="409">
      <c r="AI409" s="32"/>
      <c r="AJ409" s="32"/>
      <c r="AK409" s="32"/>
      <c r="AL409" s="32"/>
    </row>
    <row r="410">
      <c r="AI410" s="32"/>
      <c r="AJ410" s="32"/>
      <c r="AK410" s="32"/>
      <c r="AL410" s="32"/>
    </row>
    <row r="411">
      <c r="AI411" s="32"/>
      <c r="AJ411" s="32"/>
      <c r="AK411" s="32"/>
      <c r="AL411" s="32"/>
    </row>
    <row r="412">
      <c r="AI412" s="32"/>
      <c r="AJ412" s="32"/>
      <c r="AK412" s="32"/>
      <c r="AL412" s="32"/>
    </row>
    <row r="413">
      <c r="AI413" s="32"/>
      <c r="AJ413" s="32"/>
      <c r="AK413" s="32"/>
      <c r="AL413" s="32"/>
    </row>
    <row r="414">
      <c r="AI414" s="32"/>
      <c r="AJ414" s="32"/>
      <c r="AK414" s="32"/>
      <c r="AL414" s="32"/>
    </row>
    <row r="415">
      <c r="AI415" s="32"/>
      <c r="AJ415" s="32"/>
      <c r="AK415" s="32"/>
      <c r="AL415" s="32"/>
    </row>
    <row r="416">
      <c r="AI416" s="32"/>
      <c r="AJ416" s="32"/>
      <c r="AK416" s="32"/>
      <c r="AL416" s="32"/>
    </row>
    <row r="417">
      <c r="AI417" s="32"/>
      <c r="AJ417" s="32"/>
      <c r="AK417" s="32"/>
      <c r="AL417" s="32"/>
    </row>
    <row r="418">
      <c r="AI418" s="32"/>
      <c r="AJ418" s="32"/>
      <c r="AK418" s="32"/>
      <c r="AL418" s="32"/>
    </row>
    <row r="419">
      <c r="AI419" s="32"/>
      <c r="AJ419" s="32"/>
      <c r="AK419" s="32"/>
      <c r="AL419" s="32"/>
    </row>
    <row r="420">
      <c r="AI420" s="32"/>
      <c r="AJ420" s="32"/>
      <c r="AK420" s="32"/>
      <c r="AL420" s="32"/>
    </row>
    <row r="421">
      <c r="AI421" s="32"/>
      <c r="AJ421" s="32"/>
      <c r="AK421" s="32"/>
      <c r="AL421" s="32"/>
    </row>
    <row r="422">
      <c r="AI422" s="32"/>
      <c r="AJ422" s="32"/>
      <c r="AK422" s="32"/>
      <c r="AL422" s="32"/>
    </row>
    <row r="423">
      <c r="AI423" s="32"/>
      <c r="AJ423" s="32"/>
      <c r="AK423" s="32"/>
      <c r="AL423" s="32"/>
    </row>
    <row r="424">
      <c r="AI424" s="32"/>
      <c r="AJ424" s="32"/>
      <c r="AK424" s="32"/>
      <c r="AL424" s="32"/>
    </row>
    <row r="425">
      <c r="AI425" s="32"/>
      <c r="AJ425" s="32"/>
      <c r="AK425" s="32"/>
      <c r="AL425" s="32"/>
    </row>
    <row r="426">
      <c r="AI426" s="32"/>
      <c r="AJ426" s="32"/>
      <c r="AK426" s="32"/>
      <c r="AL426" s="32"/>
    </row>
    <row r="427">
      <c r="AI427" s="32"/>
      <c r="AJ427" s="32"/>
      <c r="AK427" s="32"/>
      <c r="AL427" s="32"/>
    </row>
    <row r="428">
      <c r="AI428" s="32"/>
      <c r="AJ428" s="32"/>
      <c r="AK428" s="32"/>
      <c r="AL428" s="32"/>
    </row>
    <row r="429">
      <c r="AI429" s="32"/>
      <c r="AJ429" s="32"/>
      <c r="AK429" s="32"/>
      <c r="AL429" s="32"/>
    </row>
    <row r="430">
      <c r="AI430" s="32"/>
      <c r="AJ430" s="32"/>
      <c r="AK430" s="32"/>
      <c r="AL430" s="32"/>
    </row>
    <row r="431">
      <c r="AI431" s="32"/>
      <c r="AJ431" s="32"/>
      <c r="AK431" s="32"/>
      <c r="AL431" s="32"/>
    </row>
    <row r="432">
      <c r="AI432" s="32"/>
      <c r="AJ432" s="32"/>
      <c r="AK432" s="32"/>
      <c r="AL432" s="32"/>
    </row>
    <row r="433">
      <c r="AI433" s="32"/>
      <c r="AJ433" s="32"/>
      <c r="AK433" s="32"/>
      <c r="AL433" s="32"/>
    </row>
    <row r="434">
      <c r="AI434" s="32"/>
      <c r="AJ434" s="32"/>
      <c r="AK434" s="32"/>
      <c r="AL434" s="32"/>
    </row>
    <row r="435">
      <c r="AI435" s="32"/>
      <c r="AJ435" s="32"/>
      <c r="AK435" s="32"/>
      <c r="AL435" s="32"/>
    </row>
    <row r="436">
      <c r="AI436" s="32"/>
      <c r="AJ436" s="32"/>
      <c r="AK436" s="32"/>
      <c r="AL436" s="32"/>
    </row>
    <row r="437">
      <c r="AI437" s="32"/>
      <c r="AJ437" s="32"/>
      <c r="AK437" s="32"/>
      <c r="AL437" s="32"/>
    </row>
    <row r="438">
      <c r="AI438" s="32"/>
      <c r="AJ438" s="32"/>
      <c r="AK438" s="32"/>
      <c r="AL438" s="32"/>
    </row>
    <row r="439">
      <c r="AI439" s="32"/>
      <c r="AJ439" s="32"/>
      <c r="AK439" s="32"/>
      <c r="AL439" s="32"/>
    </row>
    <row r="440">
      <c r="AI440" s="32"/>
      <c r="AJ440" s="32"/>
      <c r="AK440" s="32"/>
      <c r="AL440" s="32"/>
    </row>
    <row r="441">
      <c r="AI441" s="32"/>
      <c r="AJ441" s="32"/>
      <c r="AK441" s="32"/>
      <c r="AL441" s="32"/>
    </row>
    <row r="442">
      <c r="AI442" s="32"/>
      <c r="AJ442" s="32"/>
      <c r="AK442" s="32"/>
      <c r="AL442" s="32"/>
    </row>
    <row r="443">
      <c r="AI443" s="32"/>
      <c r="AJ443" s="32"/>
      <c r="AK443" s="32"/>
      <c r="AL443" s="32"/>
    </row>
    <row r="444">
      <c r="AI444" s="32"/>
      <c r="AJ444" s="32"/>
      <c r="AK444" s="32"/>
      <c r="AL444" s="32"/>
    </row>
    <row r="445">
      <c r="AI445" s="32"/>
      <c r="AJ445" s="32"/>
      <c r="AK445" s="32"/>
      <c r="AL445" s="32"/>
    </row>
    <row r="446">
      <c r="AI446" s="32"/>
      <c r="AJ446" s="32"/>
      <c r="AK446" s="32"/>
      <c r="AL446" s="32"/>
    </row>
    <row r="447">
      <c r="AI447" s="32"/>
      <c r="AJ447" s="32"/>
      <c r="AK447" s="32"/>
      <c r="AL447" s="32"/>
    </row>
    <row r="448">
      <c r="AI448" s="32"/>
      <c r="AJ448" s="32"/>
      <c r="AK448" s="32"/>
      <c r="AL448" s="32"/>
    </row>
    <row r="449">
      <c r="AI449" s="32"/>
      <c r="AJ449" s="32"/>
      <c r="AK449" s="32"/>
      <c r="AL449" s="32"/>
    </row>
    <row r="450">
      <c r="AI450" s="32"/>
      <c r="AJ450" s="32"/>
      <c r="AK450" s="32"/>
      <c r="AL450" s="32"/>
    </row>
    <row r="451">
      <c r="AI451" s="32"/>
      <c r="AJ451" s="32"/>
      <c r="AK451" s="32"/>
      <c r="AL451" s="32"/>
    </row>
    <row r="452">
      <c r="AI452" s="32"/>
      <c r="AJ452" s="32"/>
      <c r="AK452" s="32"/>
      <c r="AL452" s="32"/>
    </row>
    <row r="453">
      <c r="AI453" s="32"/>
      <c r="AJ453" s="32"/>
      <c r="AK453" s="32"/>
      <c r="AL453" s="32"/>
    </row>
    <row r="454">
      <c r="AI454" s="32"/>
      <c r="AJ454" s="32"/>
      <c r="AK454" s="32"/>
      <c r="AL454" s="32"/>
    </row>
    <row r="455">
      <c r="AI455" s="32"/>
      <c r="AJ455" s="32"/>
      <c r="AK455" s="32"/>
      <c r="AL455" s="32"/>
    </row>
    <row r="456">
      <c r="AI456" s="32"/>
      <c r="AJ456" s="32"/>
      <c r="AK456" s="32"/>
      <c r="AL456" s="32"/>
    </row>
    <row r="457">
      <c r="AI457" s="32"/>
      <c r="AJ457" s="32"/>
      <c r="AK457" s="32"/>
      <c r="AL457" s="32"/>
    </row>
    <row r="458">
      <c r="AI458" s="32"/>
      <c r="AJ458" s="32"/>
      <c r="AK458" s="32"/>
      <c r="AL458" s="32"/>
    </row>
    <row r="459">
      <c r="AI459" s="32"/>
      <c r="AJ459" s="32"/>
      <c r="AK459" s="32"/>
      <c r="AL459" s="32"/>
    </row>
    <row r="460">
      <c r="AI460" s="32"/>
      <c r="AJ460" s="32"/>
      <c r="AK460" s="32"/>
      <c r="AL460" s="32"/>
    </row>
    <row r="461">
      <c r="AI461" s="32"/>
      <c r="AJ461" s="32"/>
      <c r="AK461" s="32"/>
      <c r="AL461" s="32"/>
    </row>
    <row r="462">
      <c r="AI462" s="32"/>
      <c r="AJ462" s="32"/>
      <c r="AK462" s="32"/>
      <c r="AL462" s="32"/>
    </row>
    <row r="463">
      <c r="AI463" s="32"/>
      <c r="AJ463" s="32"/>
      <c r="AK463" s="32"/>
      <c r="AL463" s="32"/>
    </row>
    <row r="464">
      <c r="AI464" s="32"/>
      <c r="AJ464" s="32"/>
      <c r="AK464" s="32"/>
      <c r="AL464" s="32"/>
    </row>
    <row r="465">
      <c r="AI465" s="32"/>
      <c r="AJ465" s="32"/>
      <c r="AK465" s="32"/>
      <c r="AL465" s="32"/>
    </row>
    <row r="466">
      <c r="AI466" s="32"/>
      <c r="AJ466" s="32"/>
      <c r="AK466" s="32"/>
      <c r="AL466" s="32"/>
    </row>
    <row r="467">
      <c r="AI467" s="32"/>
      <c r="AJ467" s="32"/>
      <c r="AK467" s="32"/>
      <c r="AL467" s="32"/>
    </row>
    <row r="468">
      <c r="AI468" s="32"/>
      <c r="AJ468" s="32"/>
      <c r="AK468" s="32"/>
      <c r="AL468" s="32"/>
    </row>
    <row r="469">
      <c r="AI469" s="32"/>
      <c r="AJ469" s="32"/>
      <c r="AK469" s="32"/>
      <c r="AL469" s="32"/>
    </row>
    <row r="470">
      <c r="AI470" s="32"/>
      <c r="AJ470" s="32"/>
      <c r="AK470" s="32"/>
      <c r="AL470" s="32"/>
    </row>
    <row r="471">
      <c r="AI471" s="32"/>
      <c r="AJ471" s="32"/>
      <c r="AK471" s="32"/>
      <c r="AL471" s="32"/>
    </row>
    <row r="472">
      <c r="AI472" s="32"/>
      <c r="AJ472" s="32"/>
      <c r="AK472" s="32"/>
      <c r="AL472" s="32"/>
    </row>
    <row r="473">
      <c r="AI473" s="32"/>
      <c r="AJ473" s="32"/>
      <c r="AK473" s="32"/>
      <c r="AL473" s="32"/>
    </row>
    <row r="474">
      <c r="AI474" s="32"/>
      <c r="AJ474" s="32"/>
      <c r="AK474" s="32"/>
      <c r="AL474" s="32"/>
    </row>
    <row r="475">
      <c r="AI475" s="32"/>
      <c r="AJ475" s="32"/>
      <c r="AK475" s="32"/>
      <c r="AL475" s="32"/>
    </row>
    <row r="476">
      <c r="AI476" s="32"/>
      <c r="AJ476" s="32"/>
      <c r="AK476" s="32"/>
      <c r="AL476" s="32"/>
    </row>
    <row r="477">
      <c r="AI477" s="32"/>
      <c r="AJ477" s="32"/>
      <c r="AK477" s="32"/>
      <c r="AL477" s="32"/>
    </row>
    <row r="478">
      <c r="AI478" s="32"/>
      <c r="AJ478" s="32"/>
      <c r="AK478" s="32"/>
      <c r="AL478" s="32"/>
    </row>
    <row r="479">
      <c r="AI479" s="32"/>
      <c r="AJ479" s="32"/>
      <c r="AK479" s="32"/>
      <c r="AL479" s="32"/>
    </row>
    <row r="480">
      <c r="AI480" s="32"/>
      <c r="AJ480" s="32"/>
      <c r="AK480" s="32"/>
      <c r="AL480" s="32"/>
    </row>
    <row r="481">
      <c r="AI481" s="32"/>
      <c r="AJ481" s="32"/>
      <c r="AK481" s="32"/>
      <c r="AL481" s="32"/>
    </row>
    <row r="482">
      <c r="AI482" s="32"/>
      <c r="AJ482" s="32"/>
      <c r="AK482" s="32"/>
      <c r="AL482" s="32"/>
    </row>
    <row r="483">
      <c r="AI483" s="32"/>
      <c r="AJ483" s="32"/>
      <c r="AK483" s="32"/>
      <c r="AL483" s="32"/>
    </row>
    <row r="484">
      <c r="AI484" s="32"/>
      <c r="AJ484" s="32"/>
      <c r="AK484" s="32"/>
      <c r="AL484" s="32"/>
    </row>
    <row r="485">
      <c r="AI485" s="32"/>
      <c r="AJ485" s="32"/>
      <c r="AK485" s="32"/>
      <c r="AL485" s="32"/>
    </row>
    <row r="486">
      <c r="AI486" s="32"/>
      <c r="AJ486" s="32"/>
      <c r="AK486" s="32"/>
      <c r="AL486" s="32"/>
    </row>
    <row r="487">
      <c r="AI487" s="32"/>
      <c r="AJ487" s="32"/>
      <c r="AK487" s="32"/>
      <c r="AL487" s="32"/>
    </row>
    <row r="488">
      <c r="AI488" s="32"/>
      <c r="AJ488" s="32"/>
      <c r="AK488" s="32"/>
      <c r="AL488" s="32"/>
    </row>
    <row r="489">
      <c r="AI489" s="32"/>
      <c r="AJ489" s="32"/>
      <c r="AK489" s="32"/>
      <c r="AL489" s="32"/>
    </row>
    <row r="490">
      <c r="AI490" s="32"/>
      <c r="AJ490" s="32"/>
      <c r="AK490" s="32"/>
      <c r="AL490" s="32"/>
    </row>
    <row r="491">
      <c r="AI491" s="32"/>
      <c r="AJ491" s="32"/>
      <c r="AK491" s="32"/>
      <c r="AL491" s="32"/>
    </row>
    <row r="492">
      <c r="AI492" s="32"/>
      <c r="AJ492" s="32"/>
      <c r="AK492" s="32"/>
      <c r="AL492" s="32"/>
    </row>
    <row r="493">
      <c r="AI493" s="32"/>
      <c r="AJ493" s="32"/>
      <c r="AK493" s="32"/>
      <c r="AL493" s="32"/>
    </row>
    <row r="494">
      <c r="AI494" s="32"/>
      <c r="AJ494" s="32"/>
      <c r="AK494" s="32"/>
      <c r="AL494" s="32"/>
    </row>
    <row r="495">
      <c r="AI495" s="32"/>
      <c r="AJ495" s="32"/>
      <c r="AK495" s="32"/>
      <c r="AL495" s="32"/>
    </row>
    <row r="496">
      <c r="AI496" s="32"/>
      <c r="AJ496" s="32"/>
      <c r="AK496" s="32"/>
      <c r="AL496" s="32"/>
    </row>
    <row r="497">
      <c r="AI497" s="32"/>
      <c r="AJ497" s="32"/>
      <c r="AK497" s="32"/>
      <c r="AL497" s="32"/>
    </row>
    <row r="498">
      <c r="AI498" s="32"/>
      <c r="AJ498" s="32"/>
      <c r="AK498" s="32"/>
      <c r="AL498" s="32"/>
    </row>
    <row r="499">
      <c r="AI499" s="32"/>
      <c r="AJ499" s="32"/>
      <c r="AK499" s="32"/>
      <c r="AL499" s="32"/>
    </row>
    <row r="500">
      <c r="AI500" s="32"/>
      <c r="AJ500" s="32"/>
      <c r="AK500" s="32"/>
      <c r="AL500" s="32"/>
    </row>
    <row r="501">
      <c r="AI501" s="32"/>
      <c r="AJ501" s="32"/>
      <c r="AK501" s="32"/>
      <c r="AL501" s="32"/>
    </row>
    <row r="502">
      <c r="AI502" s="32"/>
      <c r="AJ502" s="32"/>
      <c r="AK502" s="32"/>
      <c r="AL502" s="32"/>
    </row>
    <row r="503">
      <c r="AI503" s="32"/>
      <c r="AJ503" s="32"/>
      <c r="AK503" s="32"/>
      <c r="AL503" s="32"/>
    </row>
    <row r="504">
      <c r="AI504" s="32"/>
      <c r="AJ504" s="32"/>
      <c r="AK504" s="32"/>
      <c r="AL504" s="32"/>
    </row>
    <row r="505">
      <c r="AI505" s="32"/>
      <c r="AJ505" s="32"/>
      <c r="AK505" s="32"/>
      <c r="AL505" s="32"/>
    </row>
    <row r="506">
      <c r="AI506" s="32"/>
      <c r="AJ506" s="32"/>
      <c r="AK506" s="32"/>
      <c r="AL506" s="32"/>
    </row>
    <row r="507">
      <c r="AI507" s="32"/>
      <c r="AJ507" s="32"/>
      <c r="AK507" s="32"/>
      <c r="AL507" s="32"/>
    </row>
    <row r="508">
      <c r="AI508" s="32"/>
      <c r="AJ508" s="32"/>
      <c r="AK508" s="32"/>
      <c r="AL508" s="32"/>
    </row>
    <row r="509">
      <c r="AI509" s="32"/>
      <c r="AJ509" s="32"/>
      <c r="AK509" s="32"/>
      <c r="AL509" s="32"/>
    </row>
    <row r="510">
      <c r="AI510" s="32"/>
      <c r="AJ510" s="32"/>
      <c r="AK510" s="32"/>
      <c r="AL510" s="32"/>
    </row>
    <row r="511">
      <c r="AI511" s="32"/>
      <c r="AJ511" s="32"/>
      <c r="AK511" s="32"/>
      <c r="AL511" s="32"/>
    </row>
    <row r="512">
      <c r="AI512" s="32"/>
      <c r="AJ512" s="32"/>
      <c r="AK512" s="32"/>
      <c r="AL512" s="32"/>
    </row>
    <row r="513">
      <c r="AI513" s="32"/>
      <c r="AJ513" s="32"/>
      <c r="AK513" s="32"/>
      <c r="AL513" s="32"/>
    </row>
    <row r="514">
      <c r="AI514" s="32"/>
      <c r="AJ514" s="32"/>
      <c r="AK514" s="32"/>
      <c r="AL514" s="32"/>
    </row>
    <row r="515">
      <c r="AI515" s="32"/>
      <c r="AJ515" s="32"/>
      <c r="AK515" s="32"/>
      <c r="AL515" s="32"/>
    </row>
    <row r="516">
      <c r="AI516" s="32"/>
      <c r="AJ516" s="32"/>
      <c r="AK516" s="32"/>
      <c r="AL516" s="32"/>
    </row>
    <row r="517">
      <c r="AI517" s="32"/>
      <c r="AJ517" s="32"/>
      <c r="AK517" s="32"/>
      <c r="AL517" s="32"/>
    </row>
    <row r="518">
      <c r="AI518" s="32"/>
      <c r="AJ518" s="32"/>
      <c r="AK518" s="32"/>
      <c r="AL518" s="32"/>
    </row>
    <row r="519">
      <c r="AI519" s="32"/>
      <c r="AJ519" s="32"/>
      <c r="AK519" s="32"/>
      <c r="AL519" s="32"/>
    </row>
    <row r="520">
      <c r="AI520" s="32"/>
      <c r="AJ520" s="32"/>
      <c r="AK520" s="32"/>
      <c r="AL520" s="32"/>
    </row>
    <row r="521">
      <c r="AI521" s="32"/>
      <c r="AJ521" s="32"/>
      <c r="AK521" s="32"/>
      <c r="AL521" s="32"/>
    </row>
    <row r="522">
      <c r="AI522" s="32"/>
      <c r="AJ522" s="32"/>
      <c r="AK522" s="32"/>
      <c r="AL522" s="32"/>
    </row>
    <row r="523">
      <c r="AI523" s="32"/>
      <c r="AJ523" s="32"/>
      <c r="AK523" s="32"/>
      <c r="AL523" s="32"/>
    </row>
    <row r="524">
      <c r="AI524" s="32"/>
      <c r="AJ524" s="32"/>
      <c r="AK524" s="32"/>
      <c r="AL524" s="32"/>
    </row>
    <row r="525">
      <c r="AI525" s="32"/>
      <c r="AJ525" s="32"/>
      <c r="AK525" s="32"/>
      <c r="AL525" s="32"/>
    </row>
    <row r="526">
      <c r="AI526" s="32"/>
      <c r="AJ526" s="32"/>
      <c r="AK526" s="32"/>
      <c r="AL526" s="32"/>
    </row>
    <row r="527">
      <c r="AI527" s="32"/>
      <c r="AJ527" s="32"/>
      <c r="AK527" s="32"/>
      <c r="AL527" s="32"/>
    </row>
    <row r="528">
      <c r="AI528" s="32"/>
      <c r="AJ528" s="32"/>
      <c r="AK528" s="32"/>
      <c r="AL528" s="32"/>
    </row>
    <row r="529">
      <c r="AI529" s="32"/>
      <c r="AJ529" s="32"/>
      <c r="AK529" s="32"/>
      <c r="AL529" s="32"/>
    </row>
    <row r="530">
      <c r="AI530" s="32"/>
      <c r="AJ530" s="32"/>
      <c r="AK530" s="32"/>
      <c r="AL530" s="32"/>
    </row>
    <row r="531">
      <c r="AI531" s="32"/>
      <c r="AJ531" s="32"/>
      <c r="AK531" s="32"/>
      <c r="AL531" s="32"/>
    </row>
    <row r="532">
      <c r="AI532" s="32"/>
      <c r="AJ532" s="32"/>
      <c r="AK532" s="32"/>
      <c r="AL532" s="32"/>
    </row>
    <row r="533">
      <c r="AI533" s="32"/>
      <c r="AJ533" s="32"/>
      <c r="AK533" s="32"/>
      <c r="AL533" s="32"/>
    </row>
    <row r="534">
      <c r="AI534" s="32"/>
      <c r="AJ534" s="32"/>
      <c r="AK534" s="32"/>
      <c r="AL534" s="32"/>
    </row>
    <row r="535">
      <c r="AI535" s="32"/>
      <c r="AJ535" s="32"/>
      <c r="AK535" s="32"/>
      <c r="AL535" s="32"/>
    </row>
    <row r="536">
      <c r="AI536" s="32"/>
      <c r="AJ536" s="32"/>
      <c r="AK536" s="32"/>
      <c r="AL536" s="32"/>
    </row>
    <row r="537">
      <c r="AI537" s="32"/>
      <c r="AJ537" s="32"/>
      <c r="AK537" s="32"/>
      <c r="AL537" s="32"/>
    </row>
    <row r="538">
      <c r="AI538" s="32"/>
      <c r="AJ538" s="32"/>
      <c r="AK538" s="32"/>
      <c r="AL538" s="32"/>
    </row>
    <row r="539">
      <c r="AI539" s="32"/>
      <c r="AJ539" s="32"/>
      <c r="AK539" s="32"/>
      <c r="AL539" s="32"/>
    </row>
    <row r="540">
      <c r="AI540" s="32"/>
      <c r="AJ540" s="32"/>
      <c r="AK540" s="32"/>
      <c r="AL540" s="32"/>
    </row>
    <row r="541">
      <c r="AI541" s="32"/>
      <c r="AJ541" s="32"/>
      <c r="AK541" s="32"/>
      <c r="AL541" s="32"/>
    </row>
    <row r="542">
      <c r="AI542" s="32"/>
      <c r="AJ542" s="32"/>
      <c r="AK542" s="32"/>
      <c r="AL542" s="32"/>
    </row>
    <row r="543">
      <c r="AI543" s="32"/>
      <c r="AJ543" s="32"/>
      <c r="AK543" s="32"/>
      <c r="AL543" s="32"/>
    </row>
    <row r="544">
      <c r="AI544" s="32"/>
      <c r="AJ544" s="32"/>
      <c r="AK544" s="32"/>
      <c r="AL544" s="32"/>
    </row>
    <row r="545">
      <c r="AI545" s="32"/>
      <c r="AJ545" s="32"/>
      <c r="AK545" s="32"/>
      <c r="AL545" s="32"/>
    </row>
    <row r="546">
      <c r="AI546" s="32"/>
      <c r="AJ546" s="32"/>
      <c r="AK546" s="32"/>
      <c r="AL546" s="32"/>
    </row>
    <row r="547">
      <c r="AI547" s="32"/>
      <c r="AJ547" s="32"/>
      <c r="AK547" s="32"/>
      <c r="AL547" s="32"/>
    </row>
    <row r="548">
      <c r="AI548" s="32"/>
      <c r="AJ548" s="32"/>
      <c r="AK548" s="32"/>
      <c r="AL548" s="32"/>
    </row>
    <row r="549">
      <c r="AI549" s="32"/>
      <c r="AJ549" s="32"/>
      <c r="AK549" s="32"/>
      <c r="AL549" s="32"/>
    </row>
    <row r="550">
      <c r="AI550" s="32"/>
      <c r="AJ550" s="32"/>
      <c r="AK550" s="32"/>
      <c r="AL550" s="32"/>
    </row>
    <row r="551">
      <c r="AI551" s="32"/>
      <c r="AJ551" s="32"/>
      <c r="AK551" s="32"/>
      <c r="AL551" s="32"/>
    </row>
    <row r="552">
      <c r="AI552" s="32"/>
      <c r="AJ552" s="32"/>
      <c r="AK552" s="32"/>
      <c r="AL552" s="32"/>
    </row>
    <row r="553">
      <c r="AI553" s="32"/>
      <c r="AJ553" s="32"/>
      <c r="AK553" s="32"/>
      <c r="AL553" s="32"/>
    </row>
    <row r="554">
      <c r="AI554" s="32"/>
      <c r="AJ554" s="32"/>
      <c r="AK554" s="32"/>
      <c r="AL554" s="32"/>
    </row>
    <row r="555">
      <c r="AI555" s="32"/>
      <c r="AJ555" s="32"/>
      <c r="AK555" s="32"/>
      <c r="AL555" s="32"/>
    </row>
    <row r="556">
      <c r="AI556" s="32"/>
      <c r="AJ556" s="32"/>
      <c r="AK556" s="32"/>
      <c r="AL556" s="32"/>
    </row>
    <row r="557">
      <c r="AI557" s="32"/>
      <c r="AJ557" s="32"/>
      <c r="AK557" s="32"/>
      <c r="AL557" s="32"/>
    </row>
    <row r="558">
      <c r="AI558" s="32"/>
      <c r="AJ558" s="32"/>
      <c r="AK558" s="32"/>
      <c r="AL558" s="32"/>
    </row>
    <row r="559">
      <c r="AI559" s="32"/>
      <c r="AJ559" s="32"/>
      <c r="AK559" s="32"/>
      <c r="AL559" s="32"/>
    </row>
    <row r="560">
      <c r="AI560" s="32"/>
      <c r="AJ560" s="32"/>
      <c r="AK560" s="32"/>
      <c r="AL560" s="32"/>
    </row>
    <row r="561">
      <c r="AI561" s="32"/>
      <c r="AJ561" s="32"/>
      <c r="AK561" s="32"/>
      <c r="AL561" s="32"/>
    </row>
    <row r="562">
      <c r="AI562" s="32"/>
      <c r="AJ562" s="32"/>
      <c r="AK562" s="32"/>
      <c r="AL562" s="32"/>
    </row>
    <row r="563">
      <c r="AI563" s="32"/>
      <c r="AJ563" s="32"/>
      <c r="AK563" s="32"/>
      <c r="AL563" s="32"/>
    </row>
    <row r="564">
      <c r="AI564" s="32"/>
      <c r="AJ564" s="32"/>
      <c r="AK564" s="32"/>
      <c r="AL564" s="32"/>
    </row>
    <row r="565">
      <c r="AI565" s="32"/>
      <c r="AJ565" s="32"/>
      <c r="AK565" s="32"/>
      <c r="AL565" s="32"/>
    </row>
    <row r="566">
      <c r="AI566" s="32"/>
      <c r="AJ566" s="32"/>
      <c r="AK566" s="32"/>
      <c r="AL566" s="32"/>
    </row>
    <row r="567">
      <c r="AI567" s="32"/>
      <c r="AJ567" s="32"/>
      <c r="AK567" s="32"/>
      <c r="AL567" s="32"/>
    </row>
    <row r="568">
      <c r="AI568" s="32"/>
      <c r="AJ568" s="32"/>
      <c r="AK568" s="32"/>
      <c r="AL568" s="32"/>
    </row>
    <row r="569">
      <c r="AI569" s="32"/>
      <c r="AJ569" s="32"/>
      <c r="AK569" s="32"/>
      <c r="AL569" s="32"/>
    </row>
    <row r="570">
      <c r="AI570" s="32"/>
      <c r="AJ570" s="32"/>
      <c r="AK570" s="32"/>
      <c r="AL570" s="32"/>
    </row>
    <row r="571">
      <c r="AI571" s="32"/>
      <c r="AJ571" s="32"/>
      <c r="AK571" s="32"/>
      <c r="AL571" s="32"/>
    </row>
    <row r="572">
      <c r="AI572" s="32"/>
      <c r="AJ572" s="32"/>
      <c r="AK572" s="32"/>
      <c r="AL572" s="32"/>
    </row>
    <row r="573">
      <c r="AI573" s="32"/>
      <c r="AJ573" s="32"/>
      <c r="AK573" s="32"/>
      <c r="AL573" s="32"/>
    </row>
    <row r="574">
      <c r="AI574" s="32"/>
      <c r="AJ574" s="32"/>
      <c r="AK574" s="32"/>
      <c r="AL574" s="32"/>
    </row>
    <row r="575">
      <c r="AI575" s="32"/>
      <c r="AJ575" s="32"/>
      <c r="AK575" s="32"/>
      <c r="AL575" s="32"/>
    </row>
    <row r="576">
      <c r="AI576" s="32"/>
      <c r="AJ576" s="32"/>
      <c r="AK576" s="32"/>
      <c r="AL576" s="32"/>
    </row>
    <row r="577">
      <c r="AI577" s="32"/>
      <c r="AJ577" s="32"/>
      <c r="AK577" s="32"/>
      <c r="AL577" s="32"/>
    </row>
    <row r="578">
      <c r="AI578" s="32"/>
      <c r="AJ578" s="32"/>
      <c r="AK578" s="32"/>
      <c r="AL578" s="32"/>
    </row>
    <row r="579">
      <c r="AI579" s="32"/>
      <c r="AJ579" s="32"/>
      <c r="AK579" s="32"/>
      <c r="AL579" s="32"/>
    </row>
    <row r="580">
      <c r="AI580" s="32"/>
      <c r="AJ580" s="32"/>
      <c r="AK580" s="32"/>
      <c r="AL580" s="32"/>
    </row>
    <row r="581">
      <c r="AI581" s="32"/>
      <c r="AJ581" s="32"/>
      <c r="AK581" s="32"/>
      <c r="AL581" s="32"/>
    </row>
    <row r="582">
      <c r="AI582" s="32"/>
      <c r="AJ582" s="32"/>
      <c r="AK582" s="32"/>
      <c r="AL582" s="32"/>
    </row>
    <row r="583">
      <c r="AI583" s="32"/>
      <c r="AJ583" s="32"/>
      <c r="AK583" s="32"/>
      <c r="AL583" s="32"/>
    </row>
    <row r="584">
      <c r="AI584" s="32"/>
      <c r="AJ584" s="32"/>
      <c r="AK584" s="32"/>
      <c r="AL584" s="32"/>
    </row>
    <row r="585">
      <c r="AI585" s="32"/>
      <c r="AJ585" s="32"/>
      <c r="AK585" s="32"/>
      <c r="AL585" s="32"/>
    </row>
    <row r="586">
      <c r="AI586" s="32"/>
      <c r="AJ586" s="32"/>
      <c r="AK586" s="32"/>
      <c r="AL586" s="32"/>
    </row>
    <row r="587">
      <c r="AI587" s="32"/>
      <c r="AJ587" s="32"/>
      <c r="AK587" s="32"/>
      <c r="AL587" s="32"/>
    </row>
    <row r="588">
      <c r="AI588" s="32"/>
      <c r="AJ588" s="32"/>
      <c r="AK588" s="32"/>
      <c r="AL588" s="32"/>
    </row>
    <row r="589">
      <c r="AI589" s="32"/>
      <c r="AJ589" s="32"/>
      <c r="AK589" s="32"/>
      <c r="AL589" s="32"/>
    </row>
    <row r="590">
      <c r="AI590" s="32"/>
      <c r="AJ590" s="32"/>
      <c r="AK590" s="32"/>
      <c r="AL590" s="32"/>
    </row>
    <row r="591">
      <c r="AI591" s="32"/>
      <c r="AJ591" s="32"/>
      <c r="AK591" s="32"/>
      <c r="AL591" s="32"/>
    </row>
    <row r="592">
      <c r="AI592" s="32"/>
      <c r="AJ592" s="32"/>
      <c r="AK592" s="32"/>
      <c r="AL592" s="32"/>
    </row>
    <row r="593">
      <c r="AI593" s="32"/>
      <c r="AJ593" s="32"/>
      <c r="AK593" s="32"/>
      <c r="AL593" s="32"/>
    </row>
    <row r="594">
      <c r="AI594" s="32"/>
      <c r="AJ594" s="32"/>
      <c r="AK594" s="32"/>
      <c r="AL594" s="32"/>
    </row>
    <row r="595">
      <c r="AI595" s="32"/>
      <c r="AJ595" s="32"/>
      <c r="AK595" s="32"/>
      <c r="AL595" s="32"/>
    </row>
    <row r="596">
      <c r="AI596" s="32"/>
      <c r="AJ596" s="32"/>
      <c r="AK596" s="32"/>
      <c r="AL596" s="32"/>
    </row>
    <row r="597">
      <c r="AI597" s="32"/>
      <c r="AJ597" s="32"/>
      <c r="AK597" s="32"/>
      <c r="AL597" s="32"/>
    </row>
    <row r="598">
      <c r="AI598" s="32"/>
      <c r="AJ598" s="32"/>
      <c r="AK598" s="32"/>
      <c r="AL598" s="32"/>
    </row>
    <row r="599">
      <c r="AI599" s="32"/>
      <c r="AJ599" s="32"/>
      <c r="AK599" s="32"/>
      <c r="AL599" s="32"/>
    </row>
    <row r="600">
      <c r="AI600" s="32"/>
      <c r="AJ600" s="32"/>
      <c r="AK600" s="32"/>
      <c r="AL600" s="32"/>
    </row>
    <row r="601">
      <c r="AI601" s="32"/>
      <c r="AJ601" s="32"/>
      <c r="AK601" s="32"/>
      <c r="AL601" s="32"/>
    </row>
    <row r="602">
      <c r="AI602" s="32"/>
      <c r="AJ602" s="32"/>
      <c r="AK602" s="32"/>
      <c r="AL602" s="32"/>
    </row>
    <row r="603">
      <c r="AI603" s="32"/>
      <c r="AJ603" s="32"/>
      <c r="AK603" s="32"/>
      <c r="AL603" s="32"/>
    </row>
    <row r="604">
      <c r="AI604" s="32"/>
      <c r="AJ604" s="32"/>
      <c r="AK604" s="32"/>
      <c r="AL604" s="32"/>
    </row>
    <row r="605">
      <c r="AI605" s="32"/>
      <c r="AJ605" s="32"/>
      <c r="AK605" s="32"/>
      <c r="AL605" s="32"/>
    </row>
    <row r="606">
      <c r="AI606" s="32"/>
      <c r="AJ606" s="32"/>
      <c r="AK606" s="32"/>
      <c r="AL606" s="32"/>
    </row>
    <row r="607">
      <c r="AI607" s="32"/>
      <c r="AJ607" s="32"/>
      <c r="AK607" s="32"/>
      <c r="AL607" s="32"/>
    </row>
    <row r="608">
      <c r="AI608" s="32"/>
      <c r="AJ608" s="32"/>
      <c r="AK608" s="32"/>
      <c r="AL608" s="32"/>
    </row>
    <row r="609">
      <c r="AI609" s="32"/>
      <c r="AJ609" s="32"/>
      <c r="AK609" s="32"/>
      <c r="AL609" s="32"/>
    </row>
    <row r="610">
      <c r="AI610" s="32"/>
      <c r="AJ610" s="32"/>
      <c r="AK610" s="32"/>
      <c r="AL610" s="32"/>
    </row>
    <row r="611">
      <c r="AI611" s="32"/>
      <c r="AJ611" s="32"/>
      <c r="AK611" s="32"/>
      <c r="AL611" s="32"/>
    </row>
    <row r="612">
      <c r="AI612" s="32"/>
      <c r="AJ612" s="32"/>
      <c r="AK612" s="32"/>
      <c r="AL612" s="32"/>
    </row>
    <row r="613">
      <c r="AI613" s="32"/>
      <c r="AJ613" s="32"/>
      <c r="AK613" s="32"/>
      <c r="AL613" s="32"/>
    </row>
    <row r="614">
      <c r="AI614" s="32"/>
      <c r="AJ614" s="32"/>
      <c r="AK614" s="32"/>
      <c r="AL614" s="32"/>
    </row>
    <row r="615">
      <c r="AI615" s="32"/>
      <c r="AJ615" s="32"/>
      <c r="AK615" s="32"/>
      <c r="AL615" s="32"/>
    </row>
    <row r="616">
      <c r="AI616" s="32"/>
      <c r="AJ616" s="32"/>
      <c r="AK616" s="32"/>
      <c r="AL616" s="32"/>
    </row>
    <row r="617">
      <c r="AI617" s="32"/>
      <c r="AJ617" s="32"/>
      <c r="AK617" s="32"/>
      <c r="AL617" s="32"/>
    </row>
    <row r="618">
      <c r="AI618" s="32"/>
      <c r="AJ618" s="32"/>
      <c r="AK618" s="32"/>
      <c r="AL618" s="32"/>
    </row>
    <row r="619">
      <c r="AI619" s="32"/>
      <c r="AJ619" s="32"/>
      <c r="AK619" s="32"/>
      <c r="AL619" s="32"/>
    </row>
    <row r="620">
      <c r="AI620" s="32"/>
      <c r="AJ620" s="32"/>
      <c r="AK620" s="32"/>
      <c r="AL620" s="32"/>
    </row>
    <row r="621">
      <c r="AI621" s="32"/>
      <c r="AJ621" s="32"/>
      <c r="AK621" s="32"/>
      <c r="AL621" s="32"/>
    </row>
    <row r="622">
      <c r="AI622" s="32"/>
      <c r="AJ622" s="32"/>
      <c r="AK622" s="32"/>
      <c r="AL622" s="32"/>
    </row>
    <row r="623">
      <c r="AI623" s="32"/>
      <c r="AJ623" s="32"/>
      <c r="AK623" s="32"/>
      <c r="AL623" s="32"/>
    </row>
    <row r="624">
      <c r="AI624" s="32"/>
      <c r="AJ624" s="32"/>
      <c r="AK624" s="32"/>
      <c r="AL624" s="32"/>
    </row>
    <row r="625">
      <c r="AI625" s="32"/>
      <c r="AJ625" s="32"/>
      <c r="AK625" s="32"/>
      <c r="AL625" s="32"/>
    </row>
    <row r="626">
      <c r="AI626" s="32"/>
      <c r="AJ626" s="32"/>
      <c r="AK626" s="32"/>
      <c r="AL626" s="32"/>
    </row>
    <row r="627">
      <c r="AI627" s="32"/>
      <c r="AJ627" s="32"/>
      <c r="AK627" s="32"/>
      <c r="AL627" s="32"/>
    </row>
    <row r="628">
      <c r="AI628" s="32"/>
      <c r="AJ628" s="32"/>
      <c r="AK628" s="32"/>
      <c r="AL628" s="32"/>
    </row>
    <row r="629">
      <c r="AI629" s="32"/>
      <c r="AJ629" s="32"/>
      <c r="AK629" s="32"/>
      <c r="AL629" s="32"/>
    </row>
    <row r="630">
      <c r="AI630" s="32"/>
      <c r="AJ630" s="32"/>
      <c r="AK630" s="32"/>
      <c r="AL630" s="32"/>
    </row>
    <row r="631">
      <c r="AI631" s="32"/>
      <c r="AJ631" s="32"/>
      <c r="AK631" s="32"/>
      <c r="AL631" s="32"/>
    </row>
    <row r="632">
      <c r="AI632" s="32"/>
      <c r="AJ632" s="32"/>
      <c r="AK632" s="32"/>
      <c r="AL632" s="32"/>
    </row>
    <row r="633">
      <c r="AI633" s="32"/>
      <c r="AJ633" s="32"/>
      <c r="AK633" s="32"/>
      <c r="AL633" s="32"/>
    </row>
    <row r="634">
      <c r="AI634" s="32"/>
      <c r="AJ634" s="32"/>
      <c r="AK634" s="32"/>
      <c r="AL634" s="32"/>
    </row>
    <row r="635">
      <c r="AI635" s="32"/>
      <c r="AJ635" s="32"/>
      <c r="AK635" s="32"/>
      <c r="AL635" s="32"/>
    </row>
    <row r="636">
      <c r="AI636" s="32"/>
      <c r="AJ636" s="32"/>
      <c r="AK636" s="32"/>
      <c r="AL636" s="32"/>
    </row>
    <row r="637">
      <c r="AI637" s="32"/>
      <c r="AJ637" s="32"/>
      <c r="AK637" s="32"/>
      <c r="AL637" s="32"/>
    </row>
    <row r="638">
      <c r="AI638" s="32"/>
      <c r="AJ638" s="32"/>
      <c r="AK638" s="32"/>
      <c r="AL638" s="32"/>
    </row>
    <row r="639">
      <c r="AI639" s="32"/>
      <c r="AJ639" s="32"/>
      <c r="AK639" s="32"/>
      <c r="AL639" s="32"/>
    </row>
    <row r="640">
      <c r="AI640" s="32"/>
      <c r="AJ640" s="32"/>
      <c r="AK640" s="32"/>
      <c r="AL640" s="32"/>
    </row>
    <row r="641">
      <c r="AI641" s="32"/>
      <c r="AJ641" s="32"/>
      <c r="AK641" s="32"/>
      <c r="AL641" s="32"/>
    </row>
    <row r="642">
      <c r="AI642" s="32"/>
      <c r="AJ642" s="32"/>
      <c r="AK642" s="32"/>
      <c r="AL642" s="32"/>
    </row>
    <row r="643">
      <c r="AI643" s="32"/>
      <c r="AJ643" s="32"/>
      <c r="AK643" s="32"/>
      <c r="AL643" s="32"/>
    </row>
    <row r="644">
      <c r="AI644" s="32"/>
      <c r="AJ644" s="32"/>
      <c r="AK644" s="32"/>
      <c r="AL644" s="32"/>
    </row>
    <row r="645">
      <c r="AI645" s="32"/>
      <c r="AJ645" s="32"/>
      <c r="AK645" s="32"/>
      <c r="AL645" s="32"/>
    </row>
    <row r="646">
      <c r="AI646" s="32"/>
      <c r="AJ646" s="32"/>
      <c r="AK646" s="32"/>
      <c r="AL646" s="32"/>
    </row>
    <row r="647">
      <c r="AI647" s="32"/>
      <c r="AJ647" s="32"/>
      <c r="AK647" s="32"/>
      <c r="AL647" s="32"/>
    </row>
    <row r="648">
      <c r="AI648" s="32"/>
      <c r="AJ648" s="32"/>
      <c r="AK648" s="32"/>
      <c r="AL648" s="32"/>
    </row>
    <row r="649">
      <c r="AI649" s="32"/>
      <c r="AJ649" s="32"/>
      <c r="AK649" s="32"/>
      <c r="AL649" s="32"/>
    </row>
    <row r="650">
      <c r="AI650" s="32"/>
      <c r="AJ650" s="32"/>
      <c r="AK650" s="32"/>
      <c r="AL650" s="32"/>
    </row>
    <row r="651">
      <c r="AI651" s="32"/>
      <c r="AJ651" s="32"/>
      <c r="AK651" s="32"/>
      <c r="AL651" s="32"/>
    </row>
    <row r="652">
      <c r="AI652" s="32"/>
      <c r="AJ652" s="32"/>
      <c r="AK652" s="32"/>
      <c r="AL652" s="32"/>
    </row>
    <row r="653">
      <c r="AI653" s="32"/>
      <c r="AJ653" s="32"/>
      <c r="AK653" s="32"/>
      <c r="AL653" s="32"/>
    </row>
    <row r="654">
      <c r="AI654" s="32"/>
      <c r="AJ654" s="32"/>
      <c r="AK654" s="32"/>
      <c r="AL654" s="32"/>
    </row>
    <row r="655">
      <c r="AI655" s="32"/>
      <c r="AJ655" s="32"/>
      <c r="AK655" s="32"/>
      <c r="AL655" s="32"/>
    </row>
    <row r="656">
      <c r="AI656" s="32"/>
      <c r="AJ656" s="32"/>
      <c r="AK656" s="32"/>
      <c r="AL656" s="32"/>
    </row>
    <row r="657">
      <c r="AI657" s="32"/>
      <c r="AJ657" s="32"/>
      <c r="AK657" s="32"/>
      <c r="AL657" s="32"/>
    </row>
    <row r="658">
      <c r="AI658" s="32"/>
      <c r="AJ658" s="32"/>
      <c r="AK658" s="32"/>
      <c r="AL658" s="32"/>
    </row>
    <row r="659">
      <c r="AI659" s="32"/>
      <c r="AJ659" s="32"/>
      <c r="AK659" s="32"/>
      <c r="AL659" s="32"/>
    </row>
    <row r="660">
      <c r="AI660" s="32"/>
      <c r="AJ660" s="32"/>
      <c r="AK660" s="32"/>
      <c r="AL660" s="32"/>
    </row>
    <row r="661">
      <c r="AI661" s="32"/>
      <c r="AJ661" s="32"/>
      <c r="AK661" s="32"/>
      <c r="AL661" s="32"/>
    </row>
    <row r="662">
      <c r="AI662" s="32"/>
      <c r="AJ662" s="32"/>
      <c r="AK662" s="32"/>
      <c r="AL662" s="32"/>
    </row>
    <row r="663">
      <c r="AI663" s="32"/>
      <c r="AJ663" s="32"/>
      <c r="AK663" s="32"/>
      <c r="AL663" s="32"/>
    </row>
    <row r="664">
      <c r="AI664" s="32"/>
      <c r="AJ664" s="32"/>
      <c r="AK664" s="32"/>
      <c r="AL664" s="32"/>
    </row>
    <row r="665">
      <c r="AI665" s="32"/>
      <c r="AJ665" s="32"/>
      <c r="AK665" s="32"/>
      <c r="AL665" s="32"/>
    </row>
    <row r="666">
      <c r="AI666" s="32"/>
      <c r="AJ666" s="32"/>
      <c r="AK666" s="32"/>
      <c r="AL666" s="32"/>
    </row>
    <row r="667">
      <c r="AI667" s="32"/>
      <c r="AJ667" s="32"/>
      <c r="AK667" s="32"/>
      <c r="AL667" s="32"/>
    </row>
    <row r="668">
      <c r="AI668" s="32"/>
      <c r="AJ668" s="32"/>
      <c r="AK668" s="32"/>
      <c r="AL668" s="32"/>
    </row>
    <row r="669">
      <c r="AI669" s="32"/>
      <c r="AJ669" s="32"/>
      <c r="AK669" s="32"/>
      <c r="AL669" s="32"/>
    </row>
    <row r="670">
      <c r="AI670" s="32"/>
      <c r="AJ670" s="32"/>
      <c r="AK670" s="32"/>
      <c r="AL670" s="32"/>
    </row>
    <row r="671">
      <c r="AI671" s="32"/>
      <c r="AJ671" s="32"/>
      <c r="AK671" s="32"/>
      <c r="AL671" s="32"/>
    </row>
    <row r="672">
      <c r="AI672" s="32"/>
      <c r="AJ672" s="32"/>
      <c r="AK672" s="32"/>
      <c r="AL672" s="32"/>
    </row>
    <row r="673">
      <c r="AI673" s="32"/>
      <c r="AJ673" s="32"/>
      <c r="AK673" s="32"/>
      <c r="AL673" s="32"/>
    </row>
    <row r="674">
      <c r="AI674" s="32"/>
      <c r="AJ674" s="32"/>
      <c r="AK674" s="32"/>
      <c r="AL674" s="32"/>
    </row>
    <row r="675">
      <c r="AI675" s="32"/>
      <c r="AJ675" s="32"/>
      <c r="AK675" s="32"/>
      <c r="AL675" s="32"/>
    </row>
    <row r="676">
      <c r="AI676" s="32"/>
      <c r="AJ676" s="32"/>
      <c r="AK676" s="32"/>
      <c r="AL676" s="32"/>
    </row>
    <row r="677">
      <c r="AI677" s="32"/>
      <c r="AJ677" s="32"/>
      <c r="AK677" s="32"/>
      <c r="AL677" s="32"/>
    </row>
    <row r="678">
      <c r="AI678" s="32"/>
      <c r="AJ678" s="32"/>
      <c r="AK678" s="32"/>
      <c r="AL678" s="32"/>
    </row>
    <row r="679">
      <c r="AI679" s="32"/>
      <c r="AJ679" s="32"/>
      <c r="AK679" s="32"/>
      <c r="AL679" s="32"/>
    </row>
    <row r="680">
      <c r="AI680" s="32"/>
      <c r="AJ680" s="32"/>
      <c r="AK680" s="32"/>
      <c r="AL680" s="32"/>
    </row>
    <row r="681">
      <c r="AI681" s="32"/>
      <c r="AJ681" s="32"/>
      <c r="AK681" s="32"/>
      <c r="AL681" s="32"/>
    </row>
    <row r="682">
      <c r="AI682" s="32"/>
      <c r="AJ682" s="32"/>
      <c r="AK682" s="32"/>
      <c r="AL682" s="32"/>
    </row>
    <row r="683">
      <c r="AI683" s="32"/>
      <c r="AJ683" s="32"/>
      <c r="AK683" s="32"/>
      <c r="AL683" s="32"/>
    </row>
    <row r="684">
      <c r="AI684" s="32"/>
      <c r="AJ684" s="32"/>
      <c r="AK684" s="32"/>
      <c r="AL684" s="32"/>
    </row>
    <row r="685">
      <c r="AI685" s="32"/>
      <c r="AJ685" s="32"/>
      <c r="AK685" s="32"/>
      <c r="AL685" s="32"/>
    </row>
    <row r="686">
      <c r="AI686" s="32"/>
      <c r="AJ686" s="32"/>
      <c r="AK686" s="32"/>
      <c r="AL686" s="32"/>
    </row>
    <row r="687">
      <c r="AI687" s="32"/>
      <c r="AJ687" s="32"/>
      <c r="AK687" s="32"/>
      <c r="AL687" s="32"/>
    </row>
    <row r="688">
      <c r="AI688" s="32"/>
      <c r="AJ688" s="32"/>
      <c r="AK688" s="32"/>
      <c r="AL688" s="32"/>
    </row>
    <row r="689">
      <c r="AI689" s="32"/>
      <c r="AJ689" s="32"/>
      <c r="AK689" s="32"/>
      <c r="AL689" s="32"/>
    </row>
    <row r="690">
      <c r="AI690" s="32"/>
      <c r="AJ690" s="32"/>
      <c r="AK690" s="32"/>
      <c r="AL690" s="32"/>
    </row>
    <row r="691">
      <c r="AI691" s="32"/>
      <c r="AJ691" s="32"/>
      <c r="AK691" s="32"/>
      <c r="AL691" s="32"/>
    </row>
    <row r="692">
      <c r="AI692" s="32"/>
      <c r="AJ692" s="32"/>
      <c r="AK692" s="32"/>
      <c r="AL692" s="32"/>
    </row>
    <row r="693">
      <c r="AI693" s="32"/>
      <c r="AJ693" s="32"/>
      <c r="AK693" s="32"/>
      <c r="AL693" s="32"/>
    </row>
    <row r="694">
      <c r="AI694" s="32"/>
      <c r="AJ694" s="32"/>
      <c r="AK694" s="32"/>
      <c r="AL694" s="32"/>
    </row>
    <row r="695">
      <c r="AI695" s="32"/>
      <c r="AJ695" s="32"/>
      <c r="AK695" s="32"/>
      <c r="AL695" s="32"/>
    </row>
    <row r="696">
      <c r="AI696" s="32"/>
      <c r="AJ696" s="32"/>
      <c r="AK696" s="32"/>
      <c r="AL696" s="32"/>
    </row>
    <row r="697">
      <c r="AI697" s="32"/>
      <c r="AJ697" s="32"/>
      <c r="AK697" s="32"/>
      <c r="AL697" s="32"/>
    </row>
    <row r="698">
      <c r="AI698" s="32"/>
      <c r="AJ698" s="32"/>
      <c r="AK698" s="32"/>
      <c r="AL698" s="32"/>
    </row>
    <row r="699">
      <c r="AI699" s="32"/>
      <c r="AJ699" s="32"/>
      <c r="AK699" s="32"/>
      <c r="AL699" s="32"/>
    </row>
    <row r="700">
      <c r="AI700" s="32"/>
      <c r="AJ700" s="32"/>
      <c r="AK700" s="32"/>
      <c r="AL700" s="32"/>
    </row>
    <row r="701">
      <c r="AI701" s="32"/>
      <c r="AJ701" s="32"/>
      <c r="AK701" s="32"/>
      <c r="AL701" s="32"/>
    </row>
    <row r="702">
      <c r="AI702" s="32"/>
      <c r="AJ702" s="32"/>
      <c r="AK702" s="32"/>
      <c r="AL702" s="32"/>
    </row>
    <row r="703">
      <c r="AI703" s="32"/>
      <c r="AJ703" s="32"/>
      <c r="AK703" s="32"/>
      <c r="AL703" s="32"/>
    </row>
    <row r="704">
      <c r="AI704" s="32"/>
      <c r="AJ704" s="32"/>
      <c r="AK704" s="32"/>
      <c r="AL704" s="32"/>
    </row>
    <row r="705">
      <c r="AI705" s="32"/>
      <c r="AJ705" s="32"/>
      <c r="AK705" s="32"/>
      <c r="AL705" s="32"/>
    </row>
    <row r="706">
      <c r="AI706" s="32"/>
      <c r="AJ706" s="32"/>
      <c r="AK706" s="32"/>
      <c r="AL706" s="32"/>
    </row>
    <row r="707">
      <c r="AI707" s="32"/>
      <c r="AJ707" s="32"/>
      <c r="AK707" s="32"/>
      <c r="AL707" s="32"/>
    </row>
    <row r="708">
      <c r="AI708" s="32"/>
      <c r="AJ708" s="32"/>
      <c r="AK708" s="32"/>
      <c r="AL708" s="32"/>
    </row>
    <row r="709">
      <c r="AI709" s="32"/>
      <c r="AJ709" s="32"/>
      <c r="AK709" s="32"/>
      <c r="AL709" s="32"/>
    </row>
    <row r="710">
      <c r="AI710" s="32"/>
      <c r="AJ710" s="32"/>
      <c r="AK710" s="32"/>
      <c r="AL710" s="32"/>
    </row>
    <row r="711">
      <c r="AI711" s="32"/>
      <c r="AJ711" s="32"/>
      <c r="AK711" s="32"/>
      <c r="AL711" s="32"/>
    </row>
    <row r="712">
      <c r="AI712" s="32"/>
      <c r="AJ712" s="32"/>
      <c r="AK712" s="32"/>
      <c r="AL712" s="32"/>
    </row>
    <row r="713">
      <c r="AI713" s="32"/>
      <c r="AJ713" s="32"/>
      <c r="AK713" s="32"/>
      <c r="AL713" s="32"/>
    </row>
    <row r="714">
      <c r="AI714" s="32"/>
      <c r="AJ714" s="32"/>
      <c r="AK714" s="32"/>
      <c r="AL714" s="32"/>
    </row>
    <row r="715">
      <c r="AI715" s="32"/>
      <c r="AJ715" s="32"/>
      <c r="AK715" s="32"/>
      <c r="AL715" s="32"/>
    </row>
    <row r="716">
      <c r="AI716" s="32"/>
      <c r="AJ716" s="32"/>
      <c r="AK716" s="32"/>
      <c r="AL716" s="32"/>
    </row>
    <row r="717">
      <c r="AI717" s="32"/>
      <c r="AJ717" s="32"/>
      <c r="AK717" s="32"/>
      <c r="AL717" s="32"/>
    </row>
    <row r="718">
      <c r="AI718" s="32"/>
      <c r="AJ718" s="32"/>
      <c r="AK718" s="32"/>
      <c r="AL718" s="32"/>
    </row>
    <row r="719">
      <c r="AI719" s="32"/>
      <c r="AJ719" s="32"/>
      <c r="AK719" s="32"/>
      <c r="AL719" s="32"/>
    </row>
    <row r="720">
      <c r="AI720" s="32"/>
      <c r="AJ720" s="32"/>
      <c r="AK720" s="32"/>
      <c r="AL720" s="32"/>
    </row>
    <row r="721">
      <c r="AI721" s="32"/>
      <c r="AJ721" s="32"/>
      <c r="AK721" s="32"/>
      <c r="AL721" s="32"/>
    </row>
    <row r="722">
      <c r="AI722" s="32"/>
      <c r="AJ722" s="32"/>
      <c r="AK722" s="32"/>
      <c r="AL722" s="32"/>
    </row>
    <row r="723">
      <c r="AI723" s="32"/>
      <c r="AJ723" s="32"/>
      <c r="AK723" s="32"/>
      <c r="AL723" s="32"/>
    </row>
    <row r="724">
      <c r="AI724" s="32"/>
      <c r="AJ724" s="32"/>
      <c r="AK724" s="32"/>
      <c r="AL724" s="32"/>
    </row>
    <row r="725">
      <c r="AI725" s="32"/>
      <c r="AJ725" s="32"/>
      <c r="AK725" s="32"/>
      <c r="AL725" s="32"/>
    </row>
    <row r="726">
      <c r="AI726" s="32"/>
      <c r="AJ726" s="32"/>
      <c r="AK726" s="32"/>
      <c r="AL726" s="32"/>
    </row>
    <row r="727">
      <c r="AI727" s="32"/>
      <c r="AJ727" s="32"/>
      <c r="AK727" s="32"/>
      <c r="AL727" s="32"/>
    </row>
    <row r="728">
      <c r="AI728" s="32"/>
      <c r="AJ728" s="32"/>
      <c r="AK728" s="32"/>
      <c r="AL728" s="32"/>
    </row>
    <row r="729">
      <c r="AI729" s="32"/>
      <c r="AJ729" s="32"/>
      <c r="AK729" s="32"/>
      <c r="AL729" s="32"/>
    </row>
    <row r="730">
      <c r="AI730" s="32"/>
      <c r="AJ730" s="32"/>
      <c r="AK730" s="32"/>
      <c r="AL730" s="32"/>
    </row>
    <row r="731">
      <c r="AI731" s="32"/>
      <c r="AJ731" s="32"/>
      <c r="AK731" s="32"/>
      <c r="AL731" s="32"/>
    </row>
    <row r="732">
      <c r="AI732" s="32"/>
      <c r="AJ732" s="32"/>
      <c r="AK732" s="32"/>
      <c r="AL732" s="32"/>
    </row>
    <row r="733">
      <c r="AI733" s="32"/>
      <c r="AJ733" s="32"/>
      <c r="AK733" s="32"/>
      <c r="AL733" s="32"/>
    </row>
    <row r="734">
      <c r="AI734" s="32"/>
      <c r="AJ734" s="32"/>
      <c r="AK734" s="32"/>
      <c r="AL734" s="32"/>
    </row>
    <row r="735">
      <c r="AI735" s="32"/>
      <c r="AJ735" s="32"/>
      <c r="AK735" s="32"/>
      <c r="AL735" s="32"/>
    </row>
    <row r="736">
      <c r="AI736" s="32"/>
      <c r="AJ736" s="32"/>
      <c r="AK736" s="32"/>
      <c r="AL736" s="32"/>
    </row>
    <row r="737">
      <c r="AI737" s="32"/>
      <c r="AJ737" s="32"/>
      <c r="AK737" s="32"/>
      <c r="AL737" s="32"/>
    </row>
    <row r="738">
      <c r="AI738" s="32"/>
      <c r="AJ738" s="32"/>
      <c r="AK738" s="32"/>
      <c r="AL738" s="32"/>
    </row>
    <row r="739">
      <c r="AI739" s="32"/>
      <c r="AJ739" s="32"/>
      <c r="AK739" s="32"/>
      <c r="AL739" s="32"/>
    </row>
    <row r="740">
      <c r="AI740" s="32"/>
      <c r="AJ740" s="32"/>
      <c r="AK740" s="32"/>
      <c r="AL740" s="32"/>
    </row>
    <row r="741">
      <c r="AI741" s="32"/>
      <c r="AJ741" s="32"/>
      <c r="AK741" s="32"/>
      <c r="AL741" s="32"/>
    </row>
    <row r="742">
      <c r="AI742" s="32"/>
      <c r="AJ742" s="32"/>
      <c r="AK742" s="32"/>
      <c r="AL742" s="32"/>
    </row>
    <row r="743">
      <c r="AI743" s="32"/>
      <c r="AJ743" s="32"/>
      <c r="AK743" s="32"/>
      <c r="AL743" s="32"/>
    </row>
    <row r="744">
      <c r="AI744" s="32"/>
      <c r="AJ744" s="32"/>
      <c r="AK744" s="32"/>
      <c r="AL744" s="32"/>
    </row>
    <row r="745">
      <c r="AI745" s="32"/>
      <c r="AJ745" s="32"/>
      <c r="AK745" s="32"/>
      <c r="AL745" s="32"/>
    </row>
    <row r="746">
      <c r="AI746" s="32"/>
      <c r="AJ746" s="32"/>
      <c r="AK746" s="32"/>
      <c r="AL746" s="32"/>
    </row>
    <row r="747">
      <c r="AI747" s="32"/>
      <c r="AJ747" s="32"/>
      <c r="AK747" s="32"/>
      <c r="AL747" s="32"/>
    </row>
    <row r="748">
      <c r="AI748" s="32"/>
      <c r="AJ748" s="32"/>
      <c r="AK748" s="32"/>
      <c r="AL748" s="32"/>
    </row>
    <row r="749">
      <c r="AI749" s="32"/>
      <c r="AJ749" s="32"/>
      <c r="AK749" s="32"/>
      <c r="AL749" s="32"/>
    </row>
    <row r="750">
      <c r="AI750" s="32"/>
      <c r="AJ750" s="32"/>
      <c r="AK750" s="32"/>
      <c r="AL750" s="32"/>
    </row>
    <row r="751">
      <c r="AI751" s="32"/>
      <c r="AJ751" s="32"/>
      <c r="AK751" s="32"/>
      <c r="AL751" s="32"/>
    </row>
    <row r="752">
      <c r="AI752" s="32"/>
      <c r="AJ752" s="32"/>
      <c r="AK752" s="32"/>
      <c r="AL752" s="32"/>
    </row>
    <row r="753">
      <c r="AI753" s="32"/>
      <c r="AJ753" s="32"/>
      <c r="AK753" s="32"/>
      <c r="AL753" s="32"/>
    </row>
    <row r="754">
      <c r="AI754" s="32"/>
      <c r="AJ754" s="32"/>
      <c r="AK754" s="32"/>
      <c r="AL754" s="32"/>
    </row>
    <row r="755">
      <c r="AI755" s="32"/>
      <c r="AJ755" s="32"/>
      <c r="AK755" s="32"/>
      <c r="AL755" s="32"/>
    </row>
    <row r="756">
      <c r="AI756" s="32"/>
      <c r="AJ756" s="32"/>
      <c r="AK756" s="32"/>
      <c r="AL756" s="32"/>
    </row>
    <row r="757">
      <c r="AI757" s="32"/>
      <c r="AJ757" s="32"/>
      <c r="AK757" s="32"/>
      <c r="AL757" s="32"/>
    </row>
    <row r="758">
      <c r="AI758" s="32"/>
      <c r="AJ758" s="32"/>
      <c r="AK758" s="32"/>
      <c r="AL758" s="32"/>
    </row>
    <row r="759">
      <c r="AI759" s="32"/>
      <c r="AJ759" s="32"/>
      <c r="AK759" s="32"/>
      <c r="AL759" s="32"/>
    </row>
    <row r="760">
      <c r="AI760" s="32"/>
      <c r="AJ760" s="32"/>
      <c r="AK760" s="32"/>
      <c r="AL760" s="32"/>
    </row>
    <row r="761">
      <c r="AI761" s="32"/>
      <c r="AJ761" s="32"/>
      <c r="AK761" s="32"/>
      <c r="AL761" s="32"/>
    </row>
    <row r="762">
      <c r="AI762" s="32"/>
      <c r="AJ762" s="32"/>
      <c r="AK762" s="32"/>
      <c r="AL762" s="32"/>
    </row>
    <row r="763">
      <c r="AI763" s="32"/>
      <c r="AJ763" s="32"/>
      <c r="AK763" s="32"/>
      <c r="AL763" s="32"/>
    </row>
    <row r="764">
      <c r="AI764" s="32"/>
      <c r="AJ764" s="32"/>
      <c r="AK764" s="32"/>
      <c r="AL764" s="32"/>
    </row>
    <row r="765">
      <c r="AI765" s="32"/>
      <c r="AJ765" s="32"/>
      <c r="AK765" s="32"/>
      <c r="AL765" s="32"/>
    </row>
    <row r="766">
      <c r="AI766" s="32"/>
      <c r="AJ766" s="32"/>
      <c r="AK766" s="32"/>
      <c r="AL766" s="32"/>
    </row>
    <row r="767">
      <c r="AI767" s="32"/>
      <c r="AJ767" s="32"/>
      <c r="AK767" s="32"/>
      <c r="AL767" s="32"/>
    </row>
    <row r="768">
      <c r="AI768" s="32"/>
      <c r="AJ768" s="32"/>
      <c r="AK768" s="32"/>
      <c r="AL768" s="32"/>
    </row>
    <row r="769">
      <c r="AI769" s="32"/>
      <c r="AJ769" s="32"/>
      <c r="AK769" s="32"/>
      <c r="AL769" s="32"/>
    </row>
    <row r="770">
      <c r="AI770" s="32"/>
      <c r="AJ770" s="32"/>
      <c r="AK770" s="32"/>
      <c r="AL770" s="32"/>
    </row>
    <row r="771">
      <c r="AI771" s="32"/>
      <c r="AJ771" s="32"/>
      <c r="AK771" s="32"/>
      <c r="AL771" s="32"/>
    </row>
    <row r="772">
      <c r="AI772" s="32"/>
      <c r="AJ772" s="32"/>
      <c r="AK772" s="32"/>
      <c r="AL772" s="32"/>
    </row>
    <row r="773">
      <c r="AI773" s="32"/>
      <c r="AJ773" s="32"/>
      <c r="AK773" s="32"/>
      <c r="AL773" s="32"/>
    </row>
    <row r="774">
      <c r="AI774" s="32"/>
      <c r="AJ774" s="32"/>
      <c r="AK774" s="32"/>
      <c r="AL774" s="32"/>
    </row>
    <row r="775">
      <c r="AI775" s="32"/>
      <c r="AJ775" s="32"/>
      <c r="AK775" s="32"/>
      <c r="AL775" s="32"/>
    </row>
    <row r="776">
      <c r="AI776" s="32"/>
      <c r="AJ776" s="32"/>
      <c r="AK776" s="32"/>
      <c r="AL776" s="32"/>
    </row>
    <row r="777">
      <c r="AI777" s="32"/>
      <c r="AJ777" s="32"/>
      <c r="AK777" s="32"/>
      <c r="AL777" s="32"/>
    </row>
    <row r="778">
      <c r="AI778" s="32"/>
      <c r="AJ778" s="32"/>
      <c r="AK778" s="32"/>
      <c r="AL778" s="32"/>
    </row>
    <row r="779">
      <c r="AI779" s="32"/>
      <c r="AJ779" s="32"/>
      <c r="AK779" s="32"/>
      <c r="AL779" s="32"/>
    </row>
    <row r="780">
      <c r="AI780" s="32"/>
      <c r="AJ780" s="32"/>
      <c r="AK780" s="32"/>
      <c r="AL780" s="32"/>
    </row>
    <row r="781">
      <c r="AI781" s="32"/>
      <c r="AJ781" s="32"/>
      <c r="AK781" s="32"/>
      <c r="AL781" s="32"/>
    </row>
    <row r="782">
      <c r="AI782" s="32"/>
      <c r="AJ782" s="32"/>
      <c r="AK782" s="32"/>
      <c r="AL782" s="32"/>
    </row>
    <row r="783">
      <c r="AI783" s="32"/>
      <c r="AJ783" s="32"/>
      <c r="AK783" s="32"/>
      <c r="AL783" s="32"/>
    </row>
    <row r="784">
      <c r="AI784" s="32"/>
      <c r="AJ784" s="32"/>
      <c r="AK784" s="32"/>
      <c r="AL784" s="32"/>
    </row>
    <row r="785">
      <c r="AI785" s="32"/>
      <c r="AJ785" s="32"/>
      <c r="AK785" s="32"/>
      <c r="AL785" s="32"/>
    </row>
    <row r="786">
      <c r="AI786" s="32"/>
      <c r="AJ786" s="32"/>
      <c r="AK786" s="32"/>
      <c r="AL786" s="32"/>
    </row>
    <row r="787">
      <c r="AI787" s="32"/>
      <c r="AJ787" s="32"/>
      <c r="AK787" s="32"/>
      <c r="AL787" s="32"/>
    </row>
    <row r="788">
      <c r="AI788" s="32"/>
      <c r="AJ788" s="32"/>
      <c r="AK788" s="32"/>
      <c r="AL788" s="32"/>
    </row>
    <row r="789">
      <c r="AI789" s="32"/>
      <c r="AJ789" s="32"/>
      <c r="AK789" s="32"/>
      <c r="AL789" s="32"/>
    </row>
    <row r="790">
      <c r="AI790" s="32"/>
      <c r="AJ790" s="32"/>
      <c r="AK790" s="32"/>
      <c r="AL790" s="32"/>
    </row>
    <row r="791">
      <c r="AI791" s="32"/>
      <c r="AJ791" s="32"/>
      <c r="AK791" s="32"/>
      <c r="AL791" s="32"/>
    </row>
    <row r="792">
      <c r="AI792" s="32"/>
      <c r="AJ792" s="32"/>
      <c r="AK792" s="32"/>
      <c r="AL792" s="32"/>
    </row>
    <row r="793">
      <c r="AI793" s="32"/>
      <c r="AJ793" s="32"/>
      <c r="AK793" s="32"/>
      <c r="AL793" s="32"/>
    </row>
    <row r="794">
      <c r="AI794" s="32"/>
      <c r="AJ794" s="32"/>
      <c r="AK794" s="32"/>
      <c r="AL794" s="32"/>
    </row>
    <row r="795">
      <c r="AI795" s="32"/>
      <c r="AJ795" s="32"/>
      <c r="AK795" s="32"/>
      <c r="AL795" s="32"/>
    </row>
    <row r="796">
      <c r="AI796" s="32"/>
      <c r="AJ796" s="32"/>
      <c r="AK796" s="32"/>
      <c r="AL796" s="32"/>
    </row>
    <row r="797">
      <c r="AI797" s="32"/>
      <c r="AJ797" s="32"/>
      <c r="AK797" s="32"/>
      <c r="AL797" s="32"/>
    </row>
    <row r="798">
      <c r="AI798" s="32"/>
      <c r="AJ798" s="32"/>
      <c r="AK798" s="32"/>
      <c r="AL798" s="32"/>
    </row>
    <row r="799">
      <c r="AI799" s="32"/>
      <c r="AJ799" s="32"/>
      <c r="AK799" s="32"/>
      <c r="AL799" s="32"/>
    </row>
    <row r="800">
      <c r="AI800" s="32"/>
      <c r="AJ800" s="32"/>
      <c r="AK800" s="32"/>
      <c r="AL800" s="32"/>
    </row>
    <row r="801">
      <c r="AI801" s="32"/>
      <c r="AJ801" s="32"/>
      <c r="AK801" s="32"/>
      <c r="AL801" s="32"/>
    </row>
    <row r="802">
      <c r="AI802" s="32"/>
      <c r="AJ802" s="32"/>
      <c r="AK802" s="32"/>
      <c r="AL802" s="32"/>
    </row>
    <row r="803">
      <c r="AI803" s="32"/>
      <c r="AJ803" s="32"/>
      <c r="AK803" s="32"/>
      <c r="AL803" s="32"/>
    </row>
    <row r="804">
      <c r="AI804" s="32"/>
      <c r="AJ804" s="32"/>
      <c r="AK804" s="32"/>
      <c r="AL804" s="32"/>
    </row>
    <row r="805">
      <c r="AI805" s="32"/>
      <c r="AJ805" s="32"/>
      <c r="AK805" s="32"/>
      <c r="AL805" s="32"/>
    </row>
    <row r="806">
      <c r="AI806" s="32"/>
      <c r="AJ806" s="32"/>
      <c r="AK806" s="32"/>
      <c r="AL806" s="32"/>
    </row>
    <row r="807">
      <c r="AI807" s="32"/>
      <c r="AJ807" s="32"/>
      <c r="AK807" s="32"/>
      <c r="AL807" s="32"/>
    </row>
    <row r="808">
      <c r="AI808" s="32"/>
      <c r="AJ808" s="32"/>
      <c r="AK808" s="32"/>
      <c r="AL808" s="32"/>
    </row>
    <row r="809">
      <c r="AI809" s="32"/>
      <c r="AJ809" s="32"/>
      <c r="AK809" s="32"/>
      <c r="AL809" s="32"/>
    </row>
    <row r="810">
      <c r="AI810" s="32"/>
      <c r="AJ810" s="32"/>
      <c r="AK810" s="32"/>
      <c r="AL810" s="32"/>
    </row>
    <row r="811">
      <c r="AI811" s="32"/>
      <c r="AJ811" s="32"/>
      <c r="AK811" s="32"/>
      <c r="AL811" s="32"/>
    </row>
    <row r="812">
      <c r="AI812" s="32"/>
      <c r="AJ812" s="32"/>
      <c r="AK812" s="32"/>
      <c r="AL812" s="32"/>
    </row>
    <row r="813">
      <c r="AI813" s="32"/>
      <c r="AJ813" s="32"/>
      <c r="AK813" s="32"/>
      <c r="AL813" s="32"/>
    </row>
    <row r="814">
      <c r="AI814" s="32"/>
      <c r="AJ814" s="32"/>
      <c r="AK814" s="32"/>
      <c r="AL814" s="32"/>
    </row>
    <row r="815">
      <c r="AI815" s="32"/>
      <c r="AJ815" s="32"/>
      <c r="AK815" s="32"/>
      <c r="AL815" s="32"/>
    </row>
    <row r="816">
      <c r="AI816" s="32"/>
      <c r="AJ816" s="32"/>
      <c r="AK816" s="32"/>
      <c r="AL816" s="32"/>
    </row>
    <row r="817">
      <c r="AI817" s="32"/>
      <c r="AJ817" s="32"/>
      <c r="AK817" s="32"/>
      <c r="AL817" s="32"/>
    </row>
    <row r="818">
      <c r="AI818" s="32"/>
      <c r="AJ818" s="32"/>
      <c r="AK818" s="32"/>
      <c r="AL818" s="32"/>
    </row>
    <row r="819">
      <c r="AI819" s="32"/>
      <c r="AJ819" s="32"/>
      <c r="AK819" s="32"/>
      <c r="AL819" s="32"/>
    </row>
    <row r="820">
      <c r="AI820" s="32"/>
      <c r="AJ820" s="32"/>
      <c r="AK820" s="32"/>
      <c r="AL820" s="32"/>
    </row>
    <row r="821">
      <c r="AI821" s="32"/>
      <c r="AJ821" s="32"/>
      <c r="AK821" s="32"/>
      <c r="AL821" s="32"/>
    </row>
    <row r="822">
      <c r="AI822" s="32"/>
      <c r="AJ822" s="32"/>
      <c r="AK822" s="32"/>
      <c r="AL822" s="32"/>
    </row>
    <row r="823">
      <c r="AI823" s="32"/>
      <c r="AJ823" s="32"/>
      <c r="AK823" s="32"/>
      <c r="AL823" s="32"/>
    </row>
    <row r="824">
      <c r="AI824" s="32"/>
      <c r="AJ824" s="32"/>
      <c r="AK824" s="32"/>
      <c r="AL824" s="32"/>
    </row>
    <row r="825">
      <c r="AI825" s="32"/>
      <c r="AJ825" s="32"/>
      <c r="AK825" s="32"/>
      <c r="AL825" s="32"/>
    </row>
    <row r="826">
      <c r="AI826" s="32"/>
      <c r="AJ826" s="32"/>
      <c r="AK826" s="32"/>
      <c r="AL826" s="32"/>
    </row>
    <row r="827">
      <c r="AI827" s="32"/>
      <c r="AJ827" s="32"/>
      <c r="AK827" s="32"/>
      <c r="AL827" s="32"/>
    </row>
    <row r="828">
      <c r="AI828" s="32"/>
      <c r="AJ828" s="32"/>
      <c r="AK828" s="32"/>
      <c r="AL828" s="32"/>
    </row>
    <row r="829">
      <c r="AI829" s="32"/>
      <c r="AJ829" s="32"/>
      <c r="AK829" s="32"/>
      <c r="AL829" s="32"/>
    </row>
    <row r="830">
      <c r="AI830" s="32"/>
      <c r="AJ830" s="32"/>
      <c r="AK830" s="32"/>
      <c r="AL830" s="32"/>
    </row>
    <row r="831">
      <c r="AI831" s="32"/>
      <c r="AJ831" s="32"/>
      <c r="AK831" s="32"/>
      <c r="AL831" s="32"/>
    </row>
    <row r="832">
      <c r="AI832" s="32"/>
      <c r="AJ832" s="32"/>
      <c r="AK832" s="32"/>
      <c r="AL832" s="32"/>
    </row>
    <row r="833">
      <c r="AI833" s="32"/>
      <c r="AJ833" s="32"/>
      <c r="AK833" s="32"/>
      <c r="AL833" s="32"/>
    </row>
    <row r="834">
      <c r="AI834" s="32"/>
      <c r="AJ834" s="32"/>
      <c r="AK834" s="32"/>
      <c r="AL834" s="32"/>
    </row>
    <row r="835">
      <c r="AI835" s="32"/>
      <c r="AJ835" s="32"/>
      <c r="AK835" s="32"/>
      <c r="AL835" s="32"/>
    </row>
    <row r="836">
      <c r="AI836" s="32"/>
      <c r="AJ836" s="32"/>
      <c r="AK836" s="32"/>
      <c r="AL836" s="32"/>
    </row>
    <row r="837">
      <c r="AI837" s="32"/>
      <c r="AJ837" s="32"/>
      <c r="AK837" s="32"/>
      <c r="AL837" s="32"/>
    </row>
    <row r="838">
      <c r="AI838" s="32"/>
      <c r="AJ838" s="32"/>
      <c r="AK838" s="32"/>
      <c r="AL838" s="32"/>
    </row>
    <row r="839">
      <c r="AI839" s="32"/>
      <c r="AJ839" s="32"/>
      <c r="AK839" s="32"/>
      <c r="AL839" s="32"/>
    </row>
    <row r="840">
      <c r="AI840" s="32"/>
      <c r="AJ840" s="32"/>
      <c r="AK840" s="32"/>
      <c r="AL840" s="32"/>
    </row>
    <row r="841">
      <c r="AI841" s="32"/>
      <c r="AJ841" s="32"/>
      <c r="AK841" s="32"/>
      <c r="AL841" s="32"/>
    </row>
    <row r="842">
      <c r="AI842" s="32"/>
      <c r="AJ842" s="32"/>
      <c r="AK842" s="32"/>
      <c r="AL842" s="32"/>
    </row>
    <row r="843">
      <c r="AI843" s="32"/>
      <c r="AJ843" s="32"/>
      <c r="AK843" s="32"/>
      <c r="AL843" s="32"/>
    </row>
    <row r="844">
      <c r="AI844" s="32"/>
      <c r="AJ844" s="32"/>
      <c r="AK844" s="32"/>
      <c r="AL844" s="32"/>
    </row>
    <row r="845">
      <c r="AI845" s="32"/>
      <c r="AJ845" s="32"/>
      <c r="AK845" s="32"/>
      <c r="AL845" s="32"/>
    </row>
    <row r="846">
      <c r="AI846" s="32"/>
      <c r="AJ846" s="32"/>
      <c r="AK846" s="32"/>
      <c r="AL846" s="32"/>
    </row>
    <row r="847">
      <c r="AI847" s="32"/>
      <c r="AJ847" s="32"/>
      <c r="AK847" s="32"/>
      <c r="AL847" s="32"/>
    </row>
    <row r="848">
      <c r="AI848" s="32"/>
      <c r="AJ848" s="32"/>
      <c r="AK848" s="32"/>
      <c r="AL848" s="32"/>
    </row>
    <row r="849">
      <c r="AI849" s="32"/>
      <c r="AJ849" s="32"/>
      <c r="AK849" s="32"/>
      <c r="AL849" s="32"/>
    </row>
    <row r="850">
      <c r="AI850" s="32"/>
      <c r="AJ850" s="32"/>
      <c r="AK850" s="32"/>
      <c r="AL850" s="32"/>
    </row>
    <row r="851">
      <c r="AI851" s="32"/>
      <c r="AJ851" s="32"/>
      <c r="AK851" s="32"/>
      <c r="AL851" s="32"/>
    </row>
    <row r="852">
      <c r="AI852" s="32"/>
      <c r="AJ852" s="32"/>
      <c r="AK852" s="32"/>
      <c r="AL852" s="32"/>
    </row>
    <row r="853">
      <c r="AI853" s="32"/>
      <c r="AJ853" s="32"/>
      <c r="AK853" s="32"/>
      <c r="AL853" s="32"/>
    </row>
    <row r="854">
      <c r="AI854" s="32"/>
      <c r="AJ854" s="32"/>
      <c r="AK854" s="32"/>
      <c r="AL854" s="32"/>
    </row>
    <row r="855">
      <c r="AI855" s="32"/>
      <c r="AJ855" s="32"/>
      <c r="AK855" s="32"/>
      <c r="AL855" s="32"/>
    </row>
    <row r="856">
      <c r="AI856" s="32"/>
      <c r="AJ856" s="32"/>
      <c r="AK856" s="32"/>
      <c r="AL856" s="32"/>
    </row>
    <row r="857">
      <c r="AI857" s="32"/>
      <c r="AJ857" s="32"/>
      <c r="AK857" s="32"/>
      <c r="AL857" s="32"/>
    </row>
    <row r="858">
      <c r="AI858" s="32"/>
      <c r="AJ858" s="32"/>
      <c r="AK858" s="32"/>
      <c r="AL858" s="32"/>
    </row>
    <row r="859">
      <c r="AI859" s="32"/>
      <c r="AJ859" s="32"/>
      <c r="AK859" s="32"/>
      <c r="AL859" s="32"/>
    </row>
    <row r="860">
      <c r="AI860" s="32"/>
      <c r="AJ860" s="32"/>
      <c r="AK860" s="32"/>
      <c r="AL860" s="32"/>
    </row>
    <row r="861">
      <c r="AI861" s="32"/>
      <c r="AJ861" s="32"/>
      <c r="AK861" s="32"/>
      <c r="AL861" s="32"/>
    </row>
    <row r="862">
      <c r="AI862" s="32"/>
      <c r="AJ862" s="32"/>
      <c r="AK862" s="32"/>
      <c r="AL862" s="32"/>
    </row>
    <row r="863">
      <c r="AI863" s="32"/>
      <c r="AJ863" s="32"/>
      <c r="AK863" s="32"/>
      <c r="AL863" s="32"/>
    </row>
    <row r="864">
      <c r="AI864" s="32"/>
      <c r="AJ864" s="32"/>
      <c r="AK864" s="32"/>
      <c r="AL864" s="32"/>
    </row>
    <row r="865">
      <c r="AI865" s="32"/>
      <c r="AJ865" s="32"/>
      <c r="AK865" s="32"/>
      <c r="AL865" s="32"/>
    </row>
    <row r="866">
      <c r="AI866" s="32"/>
      <c r="AJ866" s="32"/>
      <c r="AK866" s="32"/>
      <c r="AL866" s="32"/>
    </row>
    <row r="867">
      <c r="AI867" s="32"/>
      <c r="AJ867" s="32"/>
      <c r="AK867" s="32"/>
      <c r="AL867" s="32"/>
    </row>
    <row r="868">
      <c r="AI868" s="32"/>
      <c r="AJ868" s="32"/>
      <c r="AK868" s="32"/>
      <c r="AL868" s="32"/>
    </row>
    <row r="869">
      <c r="AI869" s="32"/>
      <c r="AJ869" s="32"/>
      <c r="AK869" s="32"/>
      <c r="AL869" s="32"/>
    </row>
    <row r="870">
      <c r="AI870" s="32"/>
      <c r="AJ870" s="32"/>
      <c r="AK870" s="32"/>
      <c r="AL870" s="32"/>
    </row>
    <row r="871">
      <c r="AI871" s="32"/>
      <c r="AJ871" s="32"/>
      <c r="AK871" s="32"/>
      <c r="AL871" s="32"/>
    </row>
    <row r="872">
      <c r="AI872" s="32"/>
      <c r="AJ872" s="32"/>
      <c r="AK872" s="32"/>
      <c r="AL872" s="32"/>
    </row>
    <row r="873">
      <c r="AI873" s="32"/>
      <c r="AJ873" s="32"/>
      <c r="AK873" s="32"/>
      <c r="AL873" s="32"/>
    </row>
    <row r="874">
      <c r="AI874" s="32"/>
      <c r="AJ874" s="32"/>
      <c r="AK874" s="32"/>
      <c r="AL874" s="32"/>
    </row>
    <row r="875">
      <c r="AI875" s="32"/>
      <c r="AJ875" s="32"/>
      <c r="AK875" s="32"/>
      <c r="AL875" s="32"/>
    </row>
    <row r="876">
      <c r="AI876" s="32"/>
      <c r="AJ876" s="32"/>
      <c r="AK876" s="32"/>
      <c r="AL876" s="32"/>
    </row>
    <row r="877">
      <c r="AI877" s="32"/>
      <c r="AJ877" s="32"/>
      <c r="AK877" s="32"/>
      <c r="AL877" s="32"/>
    </row>
    <row r="878">
      <c r="AI878" s="32"/>
      <c r="AJ878" s="32"/>
      <c r="AK878" s="32"/>
      <c r="AL878" s="32"/>
    </row>
    <row r="879">
      <c r="AI879" s="32"/>
      <c r="AJ879" s="32"/>
      <c r="AK879" s="32"/>
      <c r="AL879" s="32"/>
    </row>
    <row r="880">
      <c r="AI880" s="32"/>
      <c r="AJ880" s="32"/>
      <c r="AK880" s="32"/>
      <c r="AL880" s="32"/>
    </row>
    <row r="881">
      <c r="AI881" s="32"/>
      <c r="AJ881" s="32"/>
      <c r="AK881" s="32"/>
      <c r="AL881" s="32"/>
    </row>
    <row r="882">
      <c r="AI882" s="32"/>
      <c r="AJ882" s="32"/>
      <c r="AK882" s="32"/>
      <c r="AL882" s="32"/>
    </row>
    <row r="883">
      <c r="AI883" s="32"/>
      <c r="AJ883" s="32"/>
      <c r="AK883" s="32"/>
      <c r="AL883" s="32"/>
    </row>
    <row r="884">
      <c r="AI884" s="32"/>
      <c r="AJ884" s="32"/>
      <c r="AK884" s="32"/>
      <c r="AL884" s="32"/>
    </row>
    <row r="885">
      <c r="AI885" s="32"/>
      <c r="AJ885" s="32"/>
      <c r="AK885" s="32"/>
      <c r="AL885" s="32"/>
    </row>
    <row r="886">
      <c r="AI886" s="32"/>
      <c r="AJ886" s="32"/>
      <c r="AK886" s="32"/>
      <c r="AL886" s="32"/>
    </row>
    <row r="887">
      <c r="AI887" s="32"/>
      <c r="AJ887" s="32"/>
      <c r="AK887" s="32"/>
      <c r="AL887" s="32"/>
    </row>
    <row r="888">
      <c r="AI888" s="32"/>
      <c r="AJ888" s="32"/>
      <c r="AK888" s="32"/>
      <c r="AL888" s="32"/>
    </row>
    <row r="889">
      <c r="AI889" s="32"/>
      <c r="AJ889" s="32"/>
      <c r="AK889" s="32"/>
      <c r="AL889" s="32"/>
    </row>
    <row r="890">
      <c r="AI890" s="32"/>
      <c r="AJ890" s="32"/>
      <c r="AK890" s="32"/>
      <c r="AL890" s="32"/>
    </row>
    <row r="891">
      <c r="AI891" s="32"/>
      <c r="AJ891" s="32"/>
      <c r="AK891" s="32"/>
      <c r="AL891" s="32"/>
    </row>
    <row r="892">
      <c r="AI892" s="32"/>
      <c r="AJ892" s="32"/>
      <c r="AK892" s="32"/>
      <c r="AL892" s="32"/>
    </row>
    <row r="893">
      <c r="AI893" s="32"/>
      <c r="AJ893" s="32"/>
      <c r="AK893" s="32"/>
      <c r="AL893" s="32"/>
    </row>
    <row r="894">
      <c r="AI894" s="32"/>
      <c r="AJ894" s="32"/>
      <c r="AK894" s="32"/>
      <c r="AL894" s="32"/>
    </row>
    <row r="895">
      <c r="AI895" s="32"/>
      <c r="AJ895" s="32"/>
      <c r="AK895" s="32"/>
      <c r="AL895" s="32"/>
    </row>
    <row r="896">
      <c r="AI896" s="32"/>
      <c r="AJ896" s="32"/>
      <c r="AK896" s="32"/>
      <c r="AL896" s="32"/>
    </row>
    <row r="897">
      <c r="AI897" s="32"/>
      <c r="AJ897" s="32"/>
      <c r="AK897" s="32"/>
      <c r="AL897" s="32"/>
    </row>
    <row r="898">
      <c r="AI898" s="32"/>
      <c r="AJ898" s="32"/>
      <c r="AK898" s="32"/>
      <c r="AL898" s="32"/>
    </row>
    <row r="899">
      <c r="AI899" s="32"/>
      <c r="AJ899" s="32"/>
      <c r="AK899" s="32"/>
      <c r="AL899" s="32"/>
    </row>
    <row r="900">
      <c r="AI900" s="32"/>
      <c r="AJ900" s="32"/>
      <c r="AK900" s="32"/>
      <c r="AL900" s="32"/>
    </row>
    <row r="901">
      <c r="AI901" s="32"/>
      <c r="AJ901" s="32"/>
      <c r="AK901" s="32"/>
      <c r="AL901" s="32"/>
    </row>
    <row r="902">
      <c r="AI902" s="32"/>
      <c r="AJ902" s="32"/>
      <c r="AK902" s="32"/>
      <c r="AL902" s="32"/>
    </row>
    <row r="903">
      <c r="AI903" s="32"/>
      <c r="AJ903" s="32"/>
      <c r="AK903" s="32"/>
      <c r="AL903" s="32"/>
    </row>
    <row r="904">
      <c r="AI904" s="32"/>
      <c r="AJ904" s="32"/>
      <c r="AK904" s="32"/>
      <c r="AL904" s="32"/>
    </row>
    <row r="905">
      <c r="AI905" s="32"/>
      <c r="AJ905" s="32"/>
      <c r="AK905" s="32"/>
      <c r="AL905" s="32"/>
    </row>
    <row r="906">
      <c r="AI906" s="32"/>
      <c r="AJ906" s="32"/>
      <c r="AK906" s="32"/>
      <c r="AL906" s="32"/>
    </row>
    <row r="907">
      <c r="AI907" s="32"/>
      <c r="AJ907" s="32"/>
      <c r="AK907" s="32"/>
      <c r="AL907" s="32"/>
    </row>
    <row r="908">
      <c r="AI908" s="32"/>
      <c r="AJ908" s="32"/>
      <c r="AK908" s="32"/>
      <c r="AL908" s="32"/>
    </row>
    <row r="909">
      <c r="AI909" s="32"/>
      <c r="AJ909" s="32"/>
      <c r="AK909" s="32"/>
      <c r="AL909" s="32"/>
    </row>
    <row r="910">
      <c r="AI910" s="32"/>
      <c r="AJ910" s="32"/>
      <c r="AK910" s="32"/>
      <c r="AL910" s="32"/>
    </row>
    <row r="911">
      <c r="AI911" s="32"/>
      <c r="AJ911" s="32"/>
      <c r="AK911" s="32"/>
      <c r="AL911" s="32"/>
    </row>
    <row r="912">
      <c r="AI912" s="32"/>
      <c r="AJ912" s="32"/>
      <c r="AK912" s="32"/>
      <c r="AL912" s="32"/>
    </row>
    <row r="913">
      <c r="AI913" s="32"/>
      <c r="AJ913" s="32"/>
      <c r="AK913" s="32"/>
      <c r="AL913" s="32"/>
    </row>
    <row r="914">
      <c r="AI914" s="32"/>
      <c r="AJ914" s="32"/>
      <c r="AK914" s="32"/>
      <c r="AL914" s="32"/>
    </row>
    <row r="915">
      <c r="AI915" s="32"/>
      <c r="AJ915" s="32"/>
      <c r="AK915" s="32"/>
      <c r="AL915" s="32"/>
    </row>
    <row r="916">
      <c r="AI916" s="32"/>
      <c r="AJ916" s="32"/>
      <c r="AK916" s="32"/>
      <c r="AL916" s="32"/>
    </row>
    <row r="917">
      <c r="AI917" s="32"/>
      <c r="AJ917" s="32"/>
      <c r="AK917" s="32"/>
      <c r="AL917" s="32"/>
    </row>
    <row r="918">
      <c r="AI918" s="32"/>
      <c r="AJ918" s="32"/>
      <c r="AK918" s="32"/>
      <c r="AL918" s="32"/>
    </row>
    <row r="919">
      <c r="AI919" s="32"/>
      <c r="AJ919" s="32"/>
      <c r="AK919" s="32"/>
      <c r="AL919" s="32"/>
    </row>
    <row r="920">
      <c r="AI920" s="32"/>
      <c r="AJ920" s="32"/>
      <c r="AK920" s="32"/>
      <c r="AL920" s="32"/>
    </row>
    <row r="921">
      <c r="AI921" s="32"/>
      <c r="AJ921" s="32"/>
      <c r="AK921" s="32"/>
      <c r="AL921" s="32"/>
    </row>
    <row r="922">
      <c r="AI922" s="32"/>
      <c r="AJ922" s="32"/>
      <c r="AK922" s="32"/>
      <c r="AL922" s="32"/>
    </row>
    <row r="923">
      <c r="AI923" s="32"/>
      <c r="AJ923" s="32"/>
      <c r="AK923" s="32"/>
      <c r="AL923" s="32"/>
    </row>
    <row r="924">
      <c r="AI924" s="32"/>
      <c r="AJ924" s="32"/>
      <c r="AK924" s="32"/>
      <c r="AL924" s="32"/>
    </row>
    <row r="925">
      <c r="AI925" s="32"/>
      <c r="AJ925" s="32"/>
      <c r="AK925" s="32"/>
      <c r="AL925" s="32"/>
    </row>
    <row r="926">
      <c r="AI926" s="32"/>
      <c r="AJ926" s="32"/>
      <c r="AK926" s="32"/>
      <c r="AL926" s="32"/>
    </row>
    <row r="927">
      <c r="AI927" s="32"/>
      <c r="AJ927" s="32"/>
      <c r="AK927" s="32"/>
      <c r="AL927" s="32"/>
    </row>
    <row r="928">
      <c r="AI928" s="32"/>
      <c r="AJ928" s="32"/>
      <c r="AK928" s="32"/>
      <c r="AL928" s="32"/>
    </row>
    <row r="929">
      <c r="AI929" s="32"/>
      <c r="AJ929" s="32"/>
      <c r="AK929" s="32"/>
      <c r="AL929" s="32"/>
    </row>
    <row r="930">
      <c r="AI930" s="32"/>
      <c r="AJ930" s="32"/>
      <c r="AK930" s="32"/>
      <c r="AL930" s="32"/>
    </row>
    <row r="931">
      <c r="AI931" s="32"/>
      <c r="AJ931" s="32"/>
      <c r="AK931" s="32"/>
      <c r="AL931" s="32"/>
    </row>
    <row r="932">
      <c r="AI932" s="32"/>
      <c r="AJ932" s="32"/>
      <c r="AK932" s="32"/>
      <c r="AL932" s="32"/>
    </row>
    <row r="933">
      <c r="AI933" s="32"/>
      <c r="AJ933" s="32"/>
      <c r="AK933" s="32"/>
      <c r="AL933" s="32"/>
    </row>
    <row r="934">
      <c r="AI934" s="32"/>
      <c r="AJ934" s="32"/>
      <c r="AK934" s="32"/>
      <c r="AL934" s="32"/>
    </row>
    <row r="935">
      <c r="AI935" s="32"/>
      <c r="AJ935" s="32"/>
      <c r="AK935" s="32"/>
      <c r="AL935" s="32"/>
    </row>
    <row r="936">
      <c r="AI936" s="32"/>
      <c r="AJ936" s="32"/>
      <c r="AK936" s="32"/>
      <c r="AL936" s="32"/>
    </row>
    <row r="937">
      <c r="AI937" s="32"/>
      <c r="AJ937" s="32"/>
      <c r="AK937" s="32"/>
      <c r="AL937" s="32"/>
    </row>
    <row r="938">
      <c r="AI938" s="32"/>
      <c r="AJ938" s="32"/>
      <c r="AK938" s="32"/>
      <c r="AL938" s="32"/>
    </row>
    <row r="939">
      <c r="AI939" s="32"/>
      <c r="AJ939" s="32"/>
      <c r="AK939" s="32"/>
      <c r="AL939" s="32"/>
    </row>
    <row r="940">
      <c r="AI940" s="32"/>
      <c r="AJ940" s="32"/>
      <c r="AK940" s="32"/>
      <c r="AL940" s="32"/>
    </row>
    <row r="941">
      <c r="AI941" s="32"/>
      <c r="AJ941" s="32"/>
      <c r="AK941" s="32"/>
      <c r="AL941" s="32"/>
    </row>
    <row r="942">
      <c r="AI942" s="32"/>
      <c r="AJ942" s="32"/>
      <c r="AK942" s="32"/>
      <c r="AL942" s="32"/>
    </row>
    <row r="943">
      <c r="AI943" s="32"/>
      <c r="AJ943" s="32"/>
      <c r="AK943" s="32"/>
      <c r="AL943" s="32"/>
    </row>
    <row r="944">
      <c r="AI944" s="32"/>
      <c r="AJ944" s="32"/>
      <c r="AK944" s="32"/>
      <c r="AL944" s="32"/>
    </row>
    <row r="945">
      <c r="AI945" s="32"/>
      <c r="AJ945" s="32"/>
      <c r="AK945" s="32"/>
      <c r="AL945" s="32"/>
    </row>
    <row r="946">
      <c r="AI946" s="32"/>
      <c r="AJ946" s="32"/>
      <c r="AK946" s="32"/>
      <c r="AL946" s="32"/>
    </row>
    <row r="947">
      <c r="AI947" s="32"/>
      <c r="AJ947" s="32"/>
      <c r="AK947" s="32"/>
      <c r="AL947" s="32"/>
    </row>
    <row r="948">
      <c r="AI948" s="32"/>
      <c r="AJ948" s="32"/>
      <c r="AK948" s="32"/>
      <c r="AL948" s="32"/>
    </row>
    <row r="949">
      <c r="AI949" s="32"/>
      <c r="AJ949" s="32"/>
      <c r="AK949" s="32"/>
      <c r="AL949" s="32"/>
    </row>
    <row r="950">
      <c r="AI950" s="32"/>
      <c r="AJ950" s="32"/>
      <c r="AK950" s="32"/>
      <c r="AL950" s="32"/>
    </row>
    <row r="951">
      <c r="AI951" s="32"/>
      <c r="AJ951" s="32"/>
      <c r="AK951" s="32"/>
      <c r="AL951" s="32"/>
    </row>
    <row r="952">
      <c r="AI952" s="32"/>
      <c r="AJ952" s="32"/>
      <c r="AK952" s="32"/>
      <c r="AL952" s="32"/>
    </row>
    <row r="953">
      <c r="AI953" s="32"/>
      <c r="AJ953" s="32"/>
      <c r="AK953" s="32"/>
      <c r="AL953" s="32"/>
    </row>
    <row r="954">
      <c r="AI954" s="32"/>
      <c r="AJ954" s="32"/>
      <c r="AK954" s="32"/>
      <c r="AL954" s="32"/>
    </row>
    <row r="955">
      <c r="AI955" s="32"/>
      <c r="AJ955" s="32"/>
      <c r="AK955" s="32"/>
      <c r="AL955" s="32"/>
    </row>
    <row r="956">
      <c r="AI956" s="32"/>
      <c r="AJ956" s="32"/>
      <c r="AK956" s="32"/>
      <c r="AL956" s="32"/>
    </row>
    <row r="957">
      <c r="AI957" s="32"/>
      <c r="AJ957" s="32"/>
      <c r="AK957" s="32"/>
      <c r="AL957" s="32"/>
    </row>
    <row r="958">
      <c r="AI958" s="32"/>
      <c r="AJ958" s="32"/>
      <c r="AK958" s="32"/>
      <c r="AL958" s="32"/>
    </row>
    <row r="959">
      <c r="AI959" s="32"/>
      <c r="AJ959" s="32"/>
      <c r="AK959" s="32"/>
      <c r="AL959" s="32"/>
    </row>
    <row r="960">
      <c r="AI960" s="32"/>
      <c r="AJ960" s="32"/>
      <c r="AK960" s="32"/>
      <c r="AL960" s="32"/>
    </row>
    <row r="961">
      <c r="AI961" s="32"/>
      <c r="AJ961" s="32"/>
      <c r="AK961" s="32"/>
      <c r="AL961" s="32"/>
    </row>
    <row r="962">
      <c r="AI962" s="32"/>
      <c r="AJ962" s="32"/>
      <c r="AK962" s="32"/>
      <c r="AL962" s="32"/>
    </row>
    <row r="963">
      <c r="AI963" s="32"/>
      <c r="AJ963" s="32"/>
      <c r="AK963" s="32"/>
      <c r="AL963" s="32"/>
    </row>
    <row r="964">
      <c r="AI964" s="32"/>
      <c r="AJ964" s="32"/>
      <c r="AK964" s="32"/>
      <c r="AL964" s="32"/>
    </row>
    <row r="965">
      <c r="AI965" s="32"/>
      <c r="AJ965" s="32"/>
      <c r="AK965" s="32"/>
      <c r="AL965" s="32"/>
    </row>
    <row r="966">
      <c r="AI966" s="32"/>
      <c r="AJ966" s="32"/>
      <c r="AK966" s="32"/>
      <c r="AL966" s="32"/>
    </row>
    <row r="967">
      <c r="AI967" s="32"/>
      <c r="AJ967" s="32"/>
      <c r="AK967" s="32"/>
      <c r="AL967" s="32"/>
    </row>
    <row r="968">
      <c r="AI968" s="32"/>
      <c r="AJ968" s="32"/>
      <c r="AK968" s="32"/>
      <c r="AL968" s="32"/>
    </row>
    <row r="969">
      <c r="AI969" s="32"/>
      <c r="AJ969" s="32"/>
      <c r="AK969" s="32"/>
      <c r="AL969" s="32"/>
    </row>
    <row r="970">
      <c r="AI970" s="32"/>
      <c r="AJ970" s="32"/>
      <c r="AK970" s="32"/>
      <c r="AL970" s="32"/>
    </row>
    <row r="971">
      <c r="AI971" s="32"/>
      <c r="AJ971" s="32"/>
      <c r="AK971" s="32"/>
      <c r="AL971" s="32"/>
    </row>
    <row r="972">
      <c r="AI972" s="32"/>
      <c r="AJ972" s="32"/>
      <c r="AK972" s="32"/>
      <c r="AL972" s="32"/>
    </row>
    <row r="973">
      <c r="AI973" s="32"/>
      <c r="AJ973" s="32"/>
      <c r="AK973" s="32"/>
      <c r="AL973" s="32"/>
    </row>
    <row r="974">
      <c r="AI974" s="32"/>
      <c r="AJ974" s="32"/>
      <c r="AK974" s="32"/>
      <c r="AL974" s="32"/>
    </row>
    <row r="975">
      <c r="AI975" s="32"/>
      <c r="AJ975" s="32"/>
      <c r="AK975" s="32"/>
      <c r="AL975" s="32"/>
    </row>
    <row r="976">
      <c r="AI976" s="32"/>
      <c r="AJ976" s="32"/>
      <c r="AK976" s="32"/>
      <c r="AL976" s="32"/>
    </row>
    <row r="977">
      <c r="AI977" s="32"/>
      <c r="AJ977" s="32"/>
      <c r="AK977" s="32"/>
      <c r="AL977" s="32"/>
    </row>
    <row r="978">
      <c r="AI978" s="32"/>
      <c r="AJ978" s="32"/>
      <c r="AK978" s="32"/>
      <c r="AL978" s="32"/>
    </row>
    <row r="979">
      <c r="AI979" s="32"/>
      <c r="AJ979" s="32"/>
      <c r="AK979" s="32"/>
      <c r="AL979" s="32"/>
    </row>
    <row r="980">
      <c r="AI980" s="32"/>
      <c r="AJ980" s="32"/>
      <c r="AK980" s="32"/>
      <c r="AL980" s="32"/>
    </row>
    <row r="981">
      <c r="AI981" s="32"/>
      <c r="AJ981" s="32"/>
      <c r="AK981" s="32"/>
      <c r="AL981" s="32"/>
    </row>
    <row r="982">
      <c r="AI982" s="32"/>
      <c r="AJ982" s="32"/>
      <c r="AK982" s="32"/>
      <c r="AL982" s="32"/>
    </row>
    <row r="983">
      <c r="AI983" s="32"/>
      <c r="AJ983" s="32"/>
      <c r="AK983" s="32"/>
      <c r="AL983" s="32"/>
    </row>
    <row r="984">
      <c r="AI984" s="32"/>
      <c r="AJ984" s="32"/>
      <c r="AK984" s="32"/>
      <c r="AL984" s="32"/>
    </row>
    <row r="985">
      <c r="AI985" s="32"/>
      <c r="AJ985" s="32"/>
      <c r="AK985" s="32"/>
      <c r="AL985" s="32"/>
    </row>
    <row r="986">
      <c r="AI986" s="32"/>
      <c r="AJ986" s="32"/>
      <c r="AK986" s="32"/>
      <c r="AL986" s="32"/>
    </row>
    <row r="987">
      <c r="AI987" s="32"/>
      <c r="AJ987" s="32"/>
      <c r="AK987" s="32"/>
      <c r="AL987" s="32"/>
    </row>
    <row r="988">
      <c r="AI988" s="32"/>
      <c r="AJ988" s="32"/>
      <c r="AK988" s="32"/>
      <c r="AL988" s="32"/>
    </row>
    <row r="989">
      <c r="AI989" s="32"/>
      <c r="AJ989" s="32"/>
      <c r="AK989" s="32"/>
      <c r="AL989" s="32"/>
    </row>
    <row r="990">
      <c r="AI990" s="32"/>
      <c r="AJ990" s="32"/>
      <c r="AK990" s="32"/>
      <c r="AL990" s="32"/>
    </row>
    <row r="991">
      <c r="AI991" s="32"/>
      <c r="AJ991" s="32"/>
      <c r="AK991" s="32"/>
      <c r="AL991" s="32"/>
    </row>
    <row r="992">
      <c r="AI992" s="32"/>
      <c r="AJ992" s="32"/>
      <c r="AK992" s="32"/>
      <c r="AL992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5.0"/>
    <col customWidth="1" min="4" max="4" width="20.13"/>
    <col customWidth="1" min="5" max="5" width="13.25"/>
  </cols>
  <sheetData>
    <row r="1">
      <c r="A1" s="29" t="s">
        <v>1364</v>
      </c>
      <c r="B1" s="29" t="s">
        <v>1</v>
      </c>
      <c r="C1" s="29" t="s">
        <v>4</v>
      </c>
      <c r="D1" s="29" t="s">
        <v>9</v>
      </c>
      <c r="E1" s="29" t="s">
        <v>1365</v>
      </c>
      <c r="F1" s="29" t="s">
        <v>1366</v>
      </c>
    </row>
    <row r="2">
      <c r="A2" s="29" t="s">
        <v>1367</v>
      </c>
      <c r="B2" s="29" t="s">
        <v>1238</v>
      </c>
      <c r="C2" s="29" t="s">
        <v>1368</v>
      </c>
      <c r="D2" s="29" t="s">
        <v>24</v>
      </c>
      <c r="E2" s="29" t="s">
        <v>1369</v>
      </c>
      <c r="F2" s="29">
        <v>5.0</v>
      </c>
    </row>
    <row r="3">
      <c r="A3" s="29" t="s">
        <v>1370</v>
      </c>
      <c r="B3" s="29" t="s">
        <v>1238</v>
      </c>
      <c r="C3" s="29" t="s">
        <v>1371</v>
      </c>
      <c r="D3" s="29" t="s">
        <v>31</v>
      </c>
      <c r="E3" s="29" t="s">
        <v>1372</v>
      </c>
      <c r="F3" s="29">
        <v>5.0</v>
      </c>
    </row>
    <row r="4">
      <c r="A4" s="29" t="s">
        <v>1373</v>
      </c>
      <c r="B4" s="29" t="s">
        <v>1238</v>
      </c>
      <c r="C4" s="29" t="s">
        <v>1374</v>
      </c>
      <c r="D4" s="29" t="s">
        <v>27</v>
      </c>
      <c r="E4" s="29" t="s">
        <v>1369</v>
      </c>
      <c r="F4" s="29">
        <v>5.0</v>
      </c>
    </row>
    <row r="5">
      <c r="A5" s="29" t="s">
        <v>1375</v>
      </c>
      <c r="B5" s="29" t="s">
        <v>1238</v>
      </c>
      <c r="C5" s="29" t="s">
        <v>1376</v>
      </c>
      <c r="D5" s="29" t="s">
        <v>117</v>
      </c>
      <c r="E5" s="29" t="s">
        <v>1369</v>
      </c>
      <c r="F5" s="29">
        <v>5.0</v>
      </c>
    </row>
    <row r="6" ht="16.5" customHeight="1">
      <c r="A6" s="29" t="s">
        <v>1225</v>
      </c>
      <c r="B6" s="29" t="s">
        <v>1226</v>
      </c>
      <c r="C6" s="29" t="s">
        <v>1374</v>
      </c>
      <c r="D6" s="29" t="s">
        <v>104</v>
      </c>
      <c r="E6" s="29" t="s">
        <v>1369</v>
      </c>
      <c r="F6" s="29">
        <v>10.0</v>
      </c>
    </row>
    <row r="7">
      <c r="A7" s="29" t="s">
        <v>1228</v>
      </c>
      <c r="B7" s="29" t="s">
        <v>1226</v>
      </c>
      <c r="C7" s="29" t="s">
        <v>1371</v>
      </c>
      <c r="D7" s="29" t="s">
        <v>1154</v>
      </c>
      <c r="E7" s="29" t="s">
        <v>1369</v>
      </c>
      <c r="F7" s="29">
        <v>10.0</v>
      </c>
    </row>
    <row r="8">
      <c r="A8" s="29" t="s">
        <v>1229</v>
      </c>
      <c r="B8" s="29" t="s">
        <v>1226</v>
      </c>
      <c r="C8" s="29" t="s">
        <v>1377</v>
      </c>
      <c r="D8" s="29" t="s">
        <v>56</v>
      </c>
      <c r="E8" s="29" t="s">
        <v>1369</v>
      </c>
      <c r="F8" s="29">
        <v>10.0</v>
      </c>
    </row>
    <row r="9">
      <c r="A9" s="29" t="s">
        <v>1230</v>
      </c>
      <c r="B9" s="29" t="s">
        <v>1226</v>
      </c>
      <c r="C9" s="29" t="s">
        <v>1378</v>
      </c>
      <c r="D9" s="29" t="s">
        <v>153</v>
      </c>
      <c r="E9" s="29" t="s">
        <v>1369</v>
      </c>
      <c r="F9" s="29">
        <v>10.0</v>
      </c>
    </row>
    <row r="10">
      <c r="A10" s="29" t="s">
        <v>1231</v>
      </c>
      <c r="B10" s="29" t="s">
        <v>1226</v>
      </c>
      <c r="C10" s="29" t="s">
        <v>1376</v>
      </c>
      <c r="D10" s="29" t="s">
        <v>164</v>
      </c>
      <c r="E10" s="29" t="s">
        <v>1369</v>
      </c>
      <c r="F10" s="29">
        <v>10.0</v>
      </c>
    </row>
    <row r="11">
      <c r="A11" s="29" t="s">
        <v>1232</v>
      </c>
      <c r="B11" s="29" t="s">
        <v>1226</v>
      </c>
      <c r="C11" s="29" t="s">
        <v>1379</v>
      </c>
      <c r="D11" s="29" t="s">
        <v>1380</v>
      </c>
      <c r="E11" s="29" t="s">
        <v>1369</v>
      </c>
      <c r="F11" s="29">
        <v>10.0</v>
      </c>
    </row>
    <row r="12">
      <c r="A12" s="29" t="s">
        <v>1233</v>
      </c>
      <c r="B12" s="29" t="s">
        <v>1226</v>
      </c>
      <c r="C12" s="29" t="s">
        <v>1381</v>
      </c>
      <c r="D12" s="29" t="s">
        <v>97</v>
      </c>
      <c r="E12" s="29" t="s">
        <v>1369</v>
      </c>
      <c r="F12" s="29">
        <v>10.0</v>
      </c>
    </row>
    <row r="13" ht="15.75" customHeight="1">
      <c r="A13" s="29" t="s">
        <v>1234</v>
      </c>
      <c r="B13" s="29" t="s">
        <v>1226</v>
      </c>
      <c r="C13" s="29" t="s">
        <v>1382</v>
      </c>
      <c r="D13" s="29" t="s">
        <v>55</v>
      </c>
      <c r="E13" s="29" t="s">
        <v>1369</v>
      </c>
      <c r="F13" s="29">
        <v>10.0</v>
      </c>
    </row>
    <row r="14">
      <c r="A14" s="29" t="s">
        <v>1383</v>
      </c>
      <c r="B14" s="29" t="s">
        <v>1226</v>
      </c>
      <c r="C14" s="29" t="s">
        <v>1382</v>
      </c>
      <c r="D14" s="29" t="s">
        <v>73</v>
      </c>
      <c r="E14" s="29" t="s">
        <v>1369</v>
      </c>
      <c r="F14" s="29">
        <v>10.0</v>
      </c>
    </row>
    <row r="15">
      <c r="A15" s="29" t="s">
        <v>1236</v>
      </c>
      <c r="B15" s="29" t="s">
        <v>1226</v>
      </c>
      <c r="C15" s="29" t="s">
        <v>1382</v>
      </c>
      <c r="D15" s="29" t="s">
        <v>154</v>
      </c>
      <c r="E15" s="29" t="s">
        <v>1369</v>
      </c>
      <c r="F15" s="29">
        <v>10.0</v>
      </c>
    </row>
    <row r="16">
      <c r="A16" s="29" t="s">
        <v>1384</v>
      </c>
      <c r="B16" s="29" t="s">
        <v>1226</v>
      </c>
      <c r="C16" s="29" t="s">
        <v>1381</v>
      </c>
      <c r="D16" s="29" t="s">
        <v>1385</v>
      </c>
      <c r="E16" s="29" t="s">
        <v>1369</v>
      </c>
      <c r="F16" s="29">
        <v>10.0</v>
      </c>
    </row>
    <row r="17">
      <c r="A17" s="29" t="s">
        <v>1237</v>
      </c>
      <c r="B17" s="29" t="s">
        <v>1238</v>
      </c>
      <c r="C17" s="29" t="s">
        <v>1371</v>
      </c>
      <c r="D17" s="29" t="s">
        <v>335</v>
      </c>
      <c r="E17" s="29" t="s">
        <v>1369</v>
      </c>
      <c r="F17" s="29">
        <v>10.0</v>
      </c>
    </row>
    <row r="18">
      <c r="A18" s="29" t="s">
        <v>1240</v>
      </c>
      <c r="B18" s="29" t="s">
        <v>1238</v>
      </c>
      <c r="C18" s="29" t="s">
        <v>1371</v>
      </c>
      <c r="D18" s="29" t="s">
        <v>37</v>
      </c>
      <c r="E18" s="29" t="s">
        <v>1369</v>
      </c>
      <c r="F18" s="29">
        <v>10.0</v>
      </c>
    </row>
    <row r="19">
      <c r="A19" s="29" t="s">
        <v>1241</v>
      </c>
      <c r="B19" s="29" t="s">
        <v>1238</v>
      </c>
      <c r="C19" s="29" t="s">
        <v>1371</v>
      </c>
      <c r="D19" s="29" t="s">
        <v>31</v>
      </c>
      <c r="E19" s="29" t="s">
        <v>1372</v>
      </c>
      <c r="F19" s="29">
        <v>10.0</v>
      </c>
    </row>
    <row r="20">
      <c r="A20" s="29" t="s">
        <v>1242</v>
      </c>
      <c r="B20" s="29" t="s">
        <v>1238</v>
      </c>
      <c r="C20" s="29" t="s">
        <v>1371</v>
      </c>
      <c r="D20" s="29" t="s">
        <v>24</v>
      </c>
      <c r="E20" s="29" t="s">
        <v>1369</v>
      </c>
      <c r="F20" s="29">
        <v>10.0</v>
      </c>
    </row>
    <row r="21">
      <c r="A21" s="29" t="s">
        <v>1243</v>
      </c>
      <c r="B21" s="29" t="s">
        <v>1238</v>
      </c>
      <c r="C21" s="29" t="s">
        <v>1371</v>
      </c>
      <c r="D21" s="29" t="s">
        <v>1244</v>
      </c>
      <c r="E21" s="29" t="s">
        <v>1369</v>
      </c>
      <c r="F21" s="29">
        <v>10.0</v>
      </c>
    </row>
    <row r="22">
      <c r="A22" s="29" t="s">
        <v>1245</v>
      </c>
      <c r="B22" s="29" t="s">
        <v>1238</v>
      </c>
      <c r="C22" s="29" t="s">
        <v>1374</v>
      </c>
      <c r="D22" s="29" t="s">
        <v>78</v>
      </c>
      <c r="E22" s="29" t="s">
        <v>1369</v>
      </c>
      <c r="F22" s="29">
        <v>10.0</v>
      </c>
    </row>
    <row r="23">
      <c r="A23" s="29" t="s">
        <v>1246</v>
      </c>
      <c r="B23" s="29" t="s">
        <v>1238</v>
      </c>
      <c r="C23" s="29" t="s">
        <v>1374</v>
      </c>
      <c r="D23" s="29" t="s">
        <v>323</v>
      </c>
      <c r="E23" s="29" t="s">
        <v>1369</v>
      </c>
      <c r="F23" s="29">
        <v>10.0</v>
      </c>
    </row>
    <row r="24">
      <c r="A24" s="29" t="s">
        <v>1247</v>
      </c>
      <c r="B24" s="29" t="s">
        <v>1238</v>
      </c>
      <c r="C24" s="29" t="s">
        <v>1376</v>
      </c>
      <c r="D24" s="29" t="s">
        <v>1096</v>
      </c>
      <c r="E24" s="29" t="s">
        <v>1369</v>
      </c>
      <c r="F24" s="29">
        <v>10.0</v>
      </c>
    </row>
    <row r="25">
      <c r="A25" s="29" t="s">
        <v>1248</v>
      </c>
      <c r="B25" s="29" t="s">
        <v>1238</v>
      </c>
      <c r="C25" s="29" t="s">
        <v>1376</v>
      </c>
      <c r="D25" s="29" t="s">
        <v>86</v>
      </c>
      <c r="E25" s="29" t="s">
        <v>1369</v>
      </c>
      <c r="F25" s="29">
        <v>10.0</v>
      </c>
    </row>
    <row r="26">
      <c r="A26" s="29" t="s">
        <v>1249</v>
      </c>
      <c r="B26" s="29" t="s">
        <v>1238</v>
      </c>
      <c r="C26" s="29" t="s">
        <v>1376</v>
      </c>
      <c r="D26" s="29" t="s">
        <v>85</v>
      </c>
      <c r="E26" s="29" t="s">
        <v>1386</v>
      </c>
      <c r="F26" s="29">
        <v>10.0</v>
      </c>
    </row>
    <row r="27">
      <c r="A27" s="29" t="s">
        <v>1387</v>
      </c>
      <c r="B27" s="29" t="s">
        <v>1238</v>
      </c>
      <c r="C27" s="29" t="s">
        <v>1235</v>
      </c>
      <c r="D27" s="29" t="s">
        <v>1388</v>
      </c>
      <c r="E27" s="29">
        <v>0.882</v>
      </c>
      <c r="F27" s="29">
        <v>1.091</v>
      </c>
      <c r="G27" s="29">
        <v>1.587</v>
      </c>
      <c r="H27" s="29">
        <v>1.38</v>
      </c>
      <c r="I27" s="29">
        <v>1.051</v>
      </c>
      <c r="J27" s="29" t="s">
        <v>315</v>
      </c>
      <c r="K27" s="29" t="s">
        <v>315</v>
      </c>
      <c r="L27" s="29" t="s">
        <v>315</v>
      </c>
      <c r="M27" s="29" t="s">
        <v>315</v>
      </c>
      <c r="N27" s="29" t="s">
        <v>315</v>
      </c>
      <c r="O27" s="29">
        <v>0.446</v>
      </c>
      <c r="P27" s="29">
        <v>0.363</v>
      </c>
      <c r="Q27" s="29">
        <v>0.552</v>
      </c>
      <c r="R27" s="29">
        <v>0.45</v>
      </c>
      <c r="S27" s="29">
        <v>0.339</v>
      </c>
      <c r="T27" s="29" t="s">
        <v>315</v>
      </c>
      <c r="U27" s="29" t="s">
        <v>315</v>
      </c>
      <c r="V27" s="29" t="s">
        <v>315</v>
      </c>
      <c r="W27" s="29" t="s">
        <v>315</v>
      </c>
      <c r="X27" s="29" t="s">
        <v>315</v>
      </c>
      <c r="Y27" s="29">
        <v>73.898</v>
      </c>
      <c r="Z27" s="29">
        <v>59.762</v>
      </c>
      <c r="AA27" s="29">
        <v>90.621</v>
      </c>
      <c r="AB27" s="29">
        <v>72.471</v>
      </c>
      <c r="AC27" s="29">
        <v>56.469</v>
      </c>
      <c r="AD27" s="29" t="s">
        <v>315</v>
      </c>
      <c r="AE27" s="29" t="s">
        <v>315</v>
      </c>
      <c r="AF27" s="29" t="s">
        <v>315</v>
      </c>
      <c r="AG27" s="29" t="s">
        <v>315</v>
      </c>
      <c r="AH27" s="29" t="s">
        <v>315</v>
      </c>
      <c r="AI27" s="30" t="str">
        <f t="shared" ref="AI27:AI36" si="1">AVERAGE(Y27/O27)+(Z27/P27)+(AA27/Q27)+(AB27/R27)+(AC27/S27)+(AD27/T27)+(AE27/U27)+(AF27/V27)+(AG27/W27)+(AH27/X27)</f>
        <v>#VALUE!</v>
      </c>
      <c r="AJ27" s="30" t="str">
        <f t="shared" ref="AJ27:AJ36" si="2">AI27/10</f>
        <v>#VALUE!</v>
      </c>
      <c r="AK27" s="32">
        <f t="shared" ref="AK27:AK36" si="3">AVERAGE(O27:X27)</f>
        <v>0.43</v>
      </c>
      <c r="AL27" s="38">
        <f t="shared" ref="AL27:AL36" si="4">100*(AVERAGE(E27:N27)-AVERAGE(O27:X27))/(AVERAGE(E27:N27))</f>
        <v>64.11283592</v>
      </c>
      <c r="AM27" s="38">
        <f t="shared" ref="AM27:AM36" si="5">(AVERAGE(O27:X27)/AVERAGE(E27:N27))</f>
        <v>0.3588716408</v>
      </c>
      <c r="AN27" s="33">
        <f t="shared" ref="AN27:AN36" si="6">pi()*0.5*(0.4/2)^2</f>
        <v>0.06283185307</v>
      </c>
      <c r="AP27" s="32">
        <f t="shared" ref="AP27:AP36" si="7">AO27/AN27</f>
        <v>0</v>
      </c>
      <c r="AQ27" s="30">
        <f t="shared" ref="AQ27:AQ36" si="8">AP27*1000</f>
        <v>0</v>
      </c>
      <c r="AR27" s="34">
        <f t="shared" ref="AR27:AR36" si="9">AVERAGE(Y27:AH27)</f>
        <v>70.6442</v>
      </c>
    </row>
    <row r="28">
      <c r="A28" s="29" t="s">
        <v>1389</v>
      </c>
      <c r="B28" s="29" t="s">
        <v>1238</v>
      </c>
      <c r="C28" s="29" t="s">
        <v>1235</v>
      </c>
      <c r="D28" s="29" t="s">
        <v>1390</v>
      </c>
      <c r="E28" s="29">
        <v>1.497</v>
      </c>
      <c r="F28" s="29">
        <v>0.932</v>
      </c>
      <c r="G28" s="29">
        <v>1.873</v>
      </c>
      <c r="H28" s="29">
        <v>1.787</v>
      </c>
      <c r="I28" s="29">
        <v>1.47</v>
      </c>
      <c r="J28" s="29" t="s">
        <v>315</v>
      </c>
      <c r="K28" s="29" t="s">
        <v>315</v>
      </c>
      <c r="L28" s="29" t="s">
        <v>315</v>
      </c>
      <c r="M28" s="29" t="s">
        <v>315</v>
      </c>
      <c r="N28" s="29" t="s">
        <v>315</v>
      </c>
      <c r="O28" s="29">
        <v>0.491</v>
      </c>
      <c r="P28" s="29">
        <v>0.305</v>
      </c>
      <c r="Q28" s="29">
        <v>0.626</v>
      </c>
      <c r="R28" s="29">
        <v>0.595</v>
      </c>
      <c r="S28" s="29">
        <v>0.508</v>
      </c>
      <c r="T28" s="29" t="s">
        <v>315</v>
      </c>
      <c r="U28" s="29" t="s">
        <v>315</v>
      </c>
      <c r="V28" s="29" t="s">
        <v>315</v>
      </c>
      <c r="W28" s="29" t="s">
        <v>315</v>
      </c>
      <c r="X28" s="29" t="s">
        <v>315</v>
      </c>
      <c r="Y28" s="29">
        <v>82.586</v>
      </c>
      <c r="Z28" s="29">
        <v>51.133</v>
      </c>
      <c r="AA28" s="29">
        <v>104.333</v>
      </c>
      <c r="AB28" s="29">
        <v>96.585</v>
      </c>
      <c r="AC28" s="29">
        <v>79.722</v>
      </c>
      <c r="AD28" s="29" t="s">
        <v>315</v>
      </c>
      <c r="AE28" s="29" t="s">
        <v>315</v>
      </c>
      <c r="AF28" s="29" t="s">
        <v>315</v>
      </c>
      <c r="AG28" s="29" t="s">
        <v>315</v>
      </c>
      <c r="AH28" s="29" t="s">
        <v>315</v>
      </c>
      <c r="AI28" s="30" t="str">
        <f t="shared" si="1"/>
        <v>#VALUE!</v>
      </c>
      <c r="AJ28" s="30" t="str">
        <f t="shared" si="2"/>
        <v>#VALUE!</v>
      </c>
      <c r="AK28" s="32">
        <f t="shared" si="3"/>
        <v>0.505</v>
      </c>
      <c r="AL28" s="38">
        <f t="shared" si="4"/>
        <v>66.5961106</v>
      </c>
      <c r="AM28" s="38">
        <f t="shared" si="5"/>
        <v>0.334038894</v>
      </c>
      <c r="AN28" s="33">
        <f t="shared" si="6"/>
        <v>0.06283185307</v>
      </c>
      <c r="AP28" s="32">
        <f t="shared" si="7"/>
        <v>0</v>
      </c>
      <c r="AQ28" s="30">
        <f t="shared" si="8"/>
        <v>0</v>
      </c>
      <c r="AR28" s="34">
        <f t="shared" si="9"/>
        <v>82.8718</v>
      </c>
    </row>
    <row r="29">
      <c r="A29" s="29" t="s">
        <v>1391</v>
      </c>
      <c r="B29" s="29" t="s">
        <v>1238</v>
      </c>
      <c r="C29" s="29" t="s">
        <v>1235</v>
      </c>
      <c r="D29" s="29" t="s">
        <v>1392</v>
      </c>
      <c r="E29" s="29">
        <v>1.152</v>
      </c>
      <c r="F29" s="29">
        <v>2.631</v>
      </c>
      <c r="G29" s="29">
        <v>1.939</v>
      </c>
      <c r="H29" s="29">
        <v>2.43</v>
      </c>
      <c r="I29" s="29">
        <v>3.53</v>
      </c>
      <c r="J29" s="29">
        <v>3.093</v>
      </c>
      <c r="K29" s="29">
        <v>1.715</v>
      </c>
      <c r="L29" s="29" t="s">
        <v>315</v>
      </c>
      <c r="M29" s="29" t="s">
        <v>315</v>
      </c>
      <c r="N29" s="29" t="s">
        <v>315</v>
      </c>
      <c r="O29" s="29">
        <v>0.38</v>
      </c>
      <c r="P29" s="29">
        <v>0.878</v>
      </c>
      <c r="Q29" s="29">
        <v>0.673</v>
      </c>
      <c r="R29" s="29">
        <v>0.81</v>
      </c>
      <c r="S29" s="29">
        <v>1.195</v>
      </c>
      <c r="T29" s="29">
        <v>1.075</v>
      </c>
      <c r="U29" s="29">
        <v>0.554</v>
      </c>
      <c r="V29" s="29" t="s">
        <v>315</v>
      </c>
      <c r="W29" s="29" t="s">
        <v>315</v>
      </c>
      <c r="X29" s="29" t="s">
        <v>315</v>
      </c>
      <c r="Y29" s="29">
        <v>56.794</v>
      </c>
      <c r="Z29" s="29">
        <v>129.093</v>
      </c>
      <c r="AA29" s="29">
        <v>96.527</v>
      </c>
      <c r="AB29" s="29">
        <v>121.686</v>
      </c>
      <c r="AC29" s="29">
        <v>166.458</v>
      </c>
      <c r="AD29" s="29">
        <v>152.288</v>
      </c>
      <c r="AE29" s="29">
        <v>90.134</v>
      </c>
      <c r="AF29" s="29" t="s">
        <v>315</v>
      </c>
      <c r="AG29" s="29" t="s">
        <v>315</v>
      </c>
      <c r="AH29" s="29" t="s">
        <v>315</v>
      </c>
      <c r="AI29" s="30" t="str">
        <f t="shared" si="1"/>
        <v>#VALUE!</v>
      </c>
      <c r="AJ29" s="30" t="str">
        <f t="shared" si="2"/>
        <v>#VALUE!</v>
      </c>
      <c r="AK29" s="32">
        <f t="shared" si="3"/>
        <v>0.795</v>
      </c>
      <c r="AL29" s="38">
        <f t="shared" si="4"/>
        <v>66.25227411</v>
      </c>
      <c r="AM29" s="38">
        <f t="shared" si="5"/>
        <v>0.3374772589</v>
      </c>
      <c r="AN29" s="33">
        <f t="shared" si="6"/>
        <v>0.06283185307</v>
      </c>
      <c r="AP29" s="32">
        <f t="shared" si="7"/>
        <v>0</v>
      </c>
      <c r="AQ29" s="30">
        <f t="shared" si="8"/>
        <v>0</v>
      </c>
      <c r="AR29" s="34">
        <f t="shared" si="9"/>
        <v>116.14</v>
      </c>
    </row>
    <row r="30">
      <c r="A30" s="29" t="s">
        <v>1393</v>
      </c>
      <c r="B30" s="29" t="s">
        <v>1238</v>
      </c>
      <c r="C30" s="29" t="s">
        <v>1235</v>
      </c>
      <c r="D30" s="29" t="s">
        <v>1394</v>
      </c>
      <c r="E30" s="29">
        <v>1.79</v>
      </c>
      <c r="F30" s="29">
        <v>1.397</v>
      </c>
      <c r="G30" s="29">
        <v>1.911</v>
      </c>
      <c r="H30" s="29">
        <v>2.326</v>
      </c>
      <c r="I30" s="29">
        <v>2.462</v>
      </c>
      <c r="J30" s="29">
        <v>1.418</v>
      </c>
      <c r="K30" s="29">
        <v>1.689</v>
      </c>
      <c r="L30" s="29" t="s">
        <v>315</v>
      </c>
      <c r="M30" s="29" t="s">
        <v>315</v>
      </c>
      <c r="N30" s="29" t="s">
        <v>315</v>
      </c>
      <c r="O30" s="29">
        <v>0.612</v>
      </c>
      <c r="P30" s="29">
        <v>0.469</v>
      </c>
      <c r="Q30" s="29">
        <v>0.688</v>
      </c>
      <c r="R30" s="29">
        <v>0.818</v>
      </c>
      <c r="S30" s="29">
        <v>0.875</v>
      </c>
      <c r="T30" s="29">
        <v>0.49</v>
      </c>
      <c r="U30" s="29">
        <v>0.593</v>
      </c>
      <c r="V30" s="29" t="s">
        <v>315</v>
      </c>
      <c r="W30" s="29" t="s">
        <v>315</v>
      </c>
      <c r="X30" s="29" t="s">
        <v>315</v>
      </c>
      <c r="Y30" s="29">
        <v>88.438</v>
      </c>
      <c r="Z30" s="29">
        <v>72.946</v>
      </c>
      <c r="AA30" s="29">
        <v>94.458</v>
      </c>
      <c r="AB30" s="29">
        <v>115.053</v>
      </c>
      <c r="AC30" s="29">
        <v>123.188</v>
      </c>
      <c r="AD30" s="36">
        <v>73.632</v>
      </c>
      <c r="AE30" s="29">
        <v>86.93</v>
      </c>
      <c r="AF30" s="29" t="s">
        <v>315</v>
      </c>
      <c r="AG30" s="29" t="s">
        <v>315</v>
      </c>
      <c r="AH30" s="29" t="s">
        <v>315</v>
      </c>
      <c r="AI30" s="30" t="str">
        <f t="shared" si="1"/>
        <v>#VALUE!</v>
      </c>
      <c r="AJ30" s="30" t="str">
        <f t="shared" si="2"/>
        <v>#VALUE!</v>
      </c>
      <c r="AK30" s="32">
        <f t="shared" si="3"/>
        <v>0.6492857143</v>
      </c>
      <c r="AL30" s="38">
        <f t="shared" si="4"/>
        <v>65.01962595</v>
      </c>
      <c r="AM30" s="38">
        <f t="shared" si="5"/>
        <v>0.3498037405</v>
      </c>
      <c r="AN30" s="33">
        <f t="shared" si="6"/>
        <v>0.06283185307</v>
      </c>
      <c r="AP30" s="32">
        <f t="shared" si="7"/>
        <v>0</v>
      </c>
      <c r="AQ30" s="30">
        <f t="shared" si="8"/>
        <v>0</v>
      </c>
      <c r="AR30" s="34">
        <f t="shared" si="9"/>
        <v>93.52071429</v>
      </c>
    </row>
    <row r="31">
      <c r="A31" s="29" t="s">
        <v>1395</v>
      </c>
      <c r="B31" s="29" t="s">
        <v>1238</v>
      </c>
      <c r="C31" s="29" t="s">
        <v>1235</v>
      </c>
      <c r="D31" s="29" t="s">
        <v>1396</v>
      </c>
      <c r="E31" s="29">
        <v>1.439</v>
      </c>
      <c r="F31" s="29">
        <v>1.255</v>
      </c>
      <c r="G31" s="29">
        <v>1.87</v>
      </c>
      <c r="H31" s="29">
        <v>0.575</v>
      </c>
      <c r="I31" s="29">
        <v>0.82</v>
      </c>
      <c r="J31" s="29">
        <v>1.655</v>
      </c>
      <c r="K31" s="29" t="s">
        <v>315</v>
      </c>
      <c r="L31" s="29" t="s">
        <v>315</v>
      </c>
      <c r="M31" s="29" t="s">
        <v>315</v>
      </c>
      <c r="N31" s="29" t="s">
        <v>315</v>
      </c>
      <c r="O31" s="29">
        <v>0.499</v>
      </c>
      <c r="P31" s="29">
        <v>0.432</v>
      </c>
      <c r="Q31" s="29">
        <v>0.658</v>
      </c>
      <c r="R31" s="29">
        <v>0.201</v>
      </c>
      <c r="S31" s="29">
        <v>0.278</v>
      </c>
      <c r="T31" s="29">
        <v>0.609</v>
      </c>
      <c r="U31" s="29" t="s">
        <v>315</v>
      </c>
      <c r="V31" s="29" t="s">
        <v>315</v>
      </c>
      <c r="W31" s="29" t="s">
        <v>315</v>
      </c>
      <c r="X31" s="29" t="s">
        <v>315</v>
      </c>
      <c r="Y31" s="29">
        <v>77.921</v>
      </c>
      <c r="Z31" s="29">
        <v>68.354</v>
      </c>
      <c r="AA31" s="29">
        <v>99.331</v>
      </c>
      <c r="AB31" s="29">
        <v>32.463</v>
      </c>
      <c r="AC31" s="29">
        <v>43.411</v>
      </c>
      <c r="AD31" s="29">
        <v>93.09</v>
      </c>
      <c r="AE31" s="29" t="s">
        <v>315</v>
      </c>
      <c r="AF31" s="29" t="s">
        <v>315</v>
      </c>
      <c r="AG31" s="29" t="s">
        <v>315</v>
      </c>
      <c r="AH31" s="29" t="s">
        <v>315</v>
      </c>
      <c r="AI31" s="30" t="str">
        <f t="shared" si="1"/>
        <v>#VALUE!</v>
      </c>
      <c r="AJ31" s="30" t="str">
        <f t="shared" si="2"/>
        <v>#VALUE!</v>
      </c>
      <c r="AK31" s="32">
        <f t="shared" si="3"/>
        <v>0.4461666667</v>
      </c>
      <c r="AL31" s="38">
        <f t="shared" si="4"/>
        <v>64.84108222</v>
      </c>
      <c r="AM31" s="38">
        <f t="shared" si="5"/>
        <v>0.3515891778</v>
      </c>
      <c r="AN31" s="33">
        <f t="shared" si="6"/>
        <v>0.06283185307</v>
      </c>
      <c r="AP31" s="32">
        <f t="shared" si="7"/>
        <v>0</v>
      </c>
      <c r="AQ31" s="30">
        <f t="shared" si="8"/>
        <v>0</v>
      </c>
      <c r="AR31" s="34">
        <f t="shared" si="9"/>
        <v>69.095</v>
      </c>
    </row>
    <row r="32">
      <c r="A32" s="29" t="s">
        <v>1397</v>
      </c>
      <c r="B32" s="29" t="s">
        <v>1238</v>
      </c>
      <c r="C32" s="29" t="s">
        <v>1235</v>
      </c>
      <c r="D32" s="29" t="s">
        <v>1398</v>
      </c>
      <c r="E32" s="29">
        <v>1.37</v>
      </c>
      <c r="F32" s="29">
        <v>2.645</v>
      </c>
      <c r="G32" s="29">
        <v>1.932</v>
      </c>
      <c r="H32" s="29">
        <v>2.654</v>
      </c>
      <c r="I32" s="29">
        <v>2.546</v>
      </c>
      <c r="J32" s="29">
        <v>2.051</v>
      </c>
      <c r="K32" s="29" t="s">
        <v>315</v>
      </c>
      <c r="L32" s="29" t="s">
        <v>315</v>
      </c>
      <c r="M32" s="29" t="s">
        <v>315</v>
      </c>
      <c r="N32" s="29" t="s">
        <v>315</v>
      </c>
      <c r="O32" s="29">
        <v>0.499</v>
      </c>
      <c r="P32" s="29">
        <v>0.945</v>
      </c>
      <c r="Q32" s="29">
        <v>0.701</v>
      </c>
      <c r="R32" s="29">
        <v>0.956</v>
      </c>
      <c r="S32" s="29">
        <v>0.925</v>
      </c>
      <c r="T32" s="29">
        <v>0.766</v>
      </c>
      <c r="U32" s="29" t="s">
        <v>315</v>
      </c>
      <c r="V32" s="29" t="s">
        <v>315</v>
      </c>
      <c r="W32" s="29" t="s">
        <v>315</v>
      </c>
      <c r="X32" s="29" t="s">
        <v>315</v>
      </c>
      <c r="Y32" s="29">
        <v>69.736</v>
      </c>
      <c r="Z32" s="29">
        <v>140.799</v>
      </c>
      <c r="AA32" s="29">
        <v>98.606</v>
      </c>
      <c r="AB32" s="29">
        <v>146.3</v>
      </c>
      <c r="AC32" s="29">
        <v>136.344</v>
      </c>
      <c r="AD32" s="29">
        <v>104.609</v>
      </c>
      <c r="AE32" s="29" t="s">
        <v>315</v>
      </c>
      <c r="AF32" s="29" t="s">
        <v>315</v>
      </c>
      <c r="AG32" s="29" t="s">
        <v>315</v>
      </c>
      <c r="AH32" s="29" t="s">
        <v>315</v>
      </c>
      <c r="AI32" s="30" t="str">
        <f t="shared" si="1"/>
        <v>#VALUE!</v>
      </c>
      <c r="AJ32" s="30" t="str">
        <f t="shared" si="2"/>
        <v>#VALUE!</v>
      </c>
      <c r="AK32" s="32">
        <f t="shared" si="3"/>
        <v>0.7986666667</v>
      </c>
      <c r="AL32" s="38">
        <f t="shared" si="4"/>
        <v>63.6914684</v>
      </c>
      <c r="AM32" s="38">
        <f t="shared" si="5"/>
        <v>0.363085316</v>
      </c>
      <c r="AN32" s="33">
        <f t="shared" si="6"/>
        <v>0.06283185307</v>
      </c>
      <c r="AP32" s="32">
        <f t="shared" si="7"/>
        <v>0</v>
      </c>
      <c r="AQ32" s="30">
        <f t="shared" si="8"/>
        <v>0</v>
      </c>
      <c r="AR32" s="34">
        <f t="shared" si="9"/>
        <v>116.0656667</v>
      </c>
    </row>
    <row r="33">
      <c r="A33" s="29" t="s">
        <v>1399</v>
      </c>
      <c r="B33" s="29" t="s">
        <v>1238</v>
      </c>
      <c r="C33" s="29" t="s">
        <v>1235</v>
      </c>
      <c r="D33" s="29" t="s">
        <v>1400</v>
      </c>
      <c r="E33" s="29">
        <v>0.881</v>
      </c>
      <c r="F33" s="29">
        <v>1.152</v>
      </c>
      <c r="G33" s="29">
        <v>1.532</v>
      </c>
      <c r="H33" s="29">
        <v>1.974</v>
      </c>
      <c r="I33" s="29">
        <v>1.317</v>
      </c>
      <c r="J33" s="29">
        <v>0.951</v>
      </c>
      <c r="K33" s="29" t="s">
        <v>315</v>
      </c>
      <c r="L33" s="29" t="s">
        <v>315</v>
      </c>
      <c r="M33" s="29" t="s">
        <v>315</v>
      </c>
      <c r="N33" s="29" t="s">
        <v>315</v>
      </c>
      <c r="O33" s="29">
        <v>0.32</v>
      </c>
      <c r="P33" s="29">
        <v>0.422</v>
      </c>
      <c r="Q33" s="29">
        <v>0.575</v>
      </c>
      <c r="R33" s="29">
        <v>0.745</v>
      </c>
      <c r="S33" s="29">
        <v>0.489</v>
      </c>
      <c r="T33" s="29">
        <v>0.351</v>
      </c>
      <c r="U33" s="29" t="s">
        <v>315</v>
      </c>
      <c r="V33" s="29" t="s">
        <v>315</v>
      </c>
      <c r="W33" s="29" t="s">
        <v>315</v>
      </c>
      <c r="X33" s="29" t="s">
        <v>315</v>
      </c>
      <c r="Y33" s="29">
        <v>49.661</v>
      </c>
      <c r="Z33" s="29">
        <v>64.598</v>
      </c>
      <c r="AA33" s="29">
        <v>81.001</v>
      </c>
      <c r="AB33" s="29">
        <v>99.523</v>
      </c>
      <c r="AC33" s="29">
        <v>72.946</v>
      </c>
      <c r="AD33" s="29">
        <v>54.631</v>
      </c>
      <c r="AE33" s="29" t="s">
        <v>315</v>
      </c>
      <c r="AF33" s="29" t="s">
        <v>315</v>
      </c>
      <c r="AG33" s="29" t="s">
        <v>315</v>
      </c>
      <c r="AH33" s="29" t="s">
        <v>315</v>
      </c>
      <c r="AI33" s="30" t="str">
        <f t="shared" si="1"/>
        <v>#VALUE!</v>
      </c>
      <c r="AJ33" s="30" t="str">
        <f t="shared" si="2"/>
        <v>#VALUE!</v>
      </c>
      <c r="AK33" s="32">
        <f t="shared" si="3"/>
        <v>0.4836666667</v>
      </c>
      <c r="AL33" s="38">
        <f t="shared" si="4"/>
        <v>62.82823107</v>
      </c>
      <c r="AM33" s="38">
        <f t="shared" si="5"/>
        <v>0.3717176893</v>
      </c>
      <c r="AN33" s="33">
        <f t="shared" si="6"/>
        <v>0.06283185307</v>
      </c>
      <c r="AP33" s="32">
        <f t="shared" si="7"/>
        <v>0</v>
      </c>
      <c r="AQ33" s="30">
        <f t="shared" si="8"/>
        <v>0</v>
      </c>
      <c r="AR33" s="34">
        <f t="shared" si="9"/>
        <v>70.39333333</v>
      </c>
    </row>
    <row r="34">
      <c r="A34" s="29" t="s">
        <v>1401</v>
      </c>
      <c r="B34" s="29" t="s">
        <v>1238</v>
      </c>
      <c r="C34" s="29" t="s">
        <v>1235</v>
      </c>
      <c r="D34" s="29" t="s">
        <v>1402</v>
      </c>
      <c r="E34" s="29">
        <v>1.116</v>
      </c>
      <c r="F34" s="29">
        <v>1.206</v>
      </c>
      <c r="G34" s="29">
        <v>2.112</v>
      </c>
      <c r="H34" s="29">
        <v>2.076</v>
      </c>
      <c r="I34" s="29">
        <v>1.566</v>
      </c>
      <c r="J34" s="29">
        <v>2.011</v>
      </c>
      <c r="K34" s="29">
        <v>1.719</v>
      </c>
      <c r="L34" s="29" t="s">
        <v>315</v>
      </c>
      <c r="M34" s="29" t="s">
        <v>315</v>
      </c>
      <c r="N34" s="29" t="s">
        <v>315</v>
      </c>
      <c r="O34" s="29">
        <v>0.377</v>
      </c>
      <c r="P34" s="29">
        <v>0.408</v>
      </c>
      <c r="Q34" s="29">
        <v>0.756</v>
      </c>
      <c r="R34" s="29">
        <v>0.72</v>
      </c>
      <c r="S34" s="29">
        <v>0.52</v>
      </c>
      <c r="T34" s="29">
        <v>0.718</v>
      </c>
      <c r="U34" s="29">
        <v>0.592</v>
      </c>
      <c r="V34" s="29" t="s">
        <v>315</v>
      </c>
      <c r="W34" s="29" t="s">
        <v>315</v>
      </c>
      <c r="X34" s="29" t="s">
        <v>315</v>
      </c>
      <c r="Y34" s="29">
        <v>62.528</v>
      </c>
      <c r="Z34" s="29">
        <v>69.993</v>
      </c>
      <c r="AA34" s="29">
        <v>115.077</v>
      </c>
      <c r="AB34" s="29">
        <v>121.697</v>
      </c>
      <c r="AC34" s="29">
        <v>91.153</v>
      </c>
      <c r="AD34" s="29">
        <v>111.404</v>
      </c>
      <c r="AE34" s="29">
        <v>92.904</v>
      </c>
      <c r="AF34" s="29" t="s">
        <v>315</v>
      </c>
      <c r="AG34" s="29" t="s">
        <v>315</v>
      </c>
      <c r="AH34" s="29" t="s">
        <v>315</v>
      </c>
      <c r="AI34" s="30" t="str">
        <f t="shared" si="1"/>
        <v>#VALUE!</v>
      </c>
      <c r="AJ34" s="30" t="str">
        <f t="shared" si="2"/>
        <v>#VALUE!</v>
      </c>
      <c r="AK34" s="32">
        <f t="shared" si="3"/>
        <v>0.5844285714</v>
      </c>
      <c r="AL34" s="38">
        <f t="shared" si="4"/>
        <v>65.34812807</v>
      </c>
      <c r="AM34" s="38">
        <f t="shared" si="5"/>
        <v>0.3465187193</v>
      </c>
      <c r="AN34" s="33">
        <f t="shared" si="6"/>
        <v>0.06283185307</v>
      </c>
      <c r="AP34" s="32">
        <f t="shared" si="7"/>
        <v>0</v>
      </c>
      <c r="AQ34" s="30">
        <f t="shared" si="8"/>
        <v>0</v>
      </c>
      <c r="AR34" s="34">
        <f t="shared" si="9"/>
        <v>94.96514286</v>
      </c>
    </row>
    <row r="35">
      <c r="A35" s="29" t="s">
        <v>1403</v>
      </c>
      <c r="B35" s="29" t="s">
        <v>1238</v>
      </c>
      <c r="C35" s="29" t="s">
        <v>1235</v>
      </c>
      <c r="D35" s="29" t="s">
        <v>1404</v>
      </c>
      <c r="E35" s="29">
        <v>1.698</v>
      </c>
      <c r="F35" s="29">
        <v>1.006</v>
      </c>
      <c r="G35" s="29">
        <v>1.336</v>
      </c>
      <c r="H35" s="29">
        <v>2.006</v>
      </c>
      <c r="I35" s="29">
        <v>1.59</v>
      </c>
      <c r="J35" s="29">
        <v>1.945</v>
      </c>
      <c r="K35" s="29">
        <v>0.759</v>
      </c>
      <c r="L35" s="29" t="s">
        <v>315</v>
      </c>
      <c r="M35" s="29" t="s">
        <v>315</v>
      </c>
      <c r="N35" s="29" t="s">
        <v>315</v>
      </c>
      <c r="O35" s="29">
        <v>0.538</v>
      </c>
      <c r="P35" s="29">
        <v>0.329</v>
      </c>
      <c r="Q35" s="29">
        <v>0.432</v>
      </c>
      <c r="R35" s="29">
        <v>0.655</v>
      </c>
      <c r="S35" s="29">
        <v>0.519</v>
      </c>
      <c r="T35" s="29">
        <v>0.638</v>
      </c>
      <c r="U35" s="29">
        <v>0.258</v>
      </c>
      <c r="V35" s="29" t="s">
        <v>315</v>
      </c>
      <c r="W35" s="29" t="s">
        <v>315</v>
      </c>
      <c r="X35" s="29" t="s">
        <v>315</v>
      </c>
      <c r="Y35" s="29">
        <v>95.437</v>
      </c>
      <c r="Z35" s="29">
        <v>53.438</v>
      </c>
      <c r="AA35" s="29">
        <v>73.968</v>
      </c>
      <c r="AB35" s="29">
        <v>115.057</v>
      </c>
      <c r="AC35" s="29">
        <v>90.083</v>
      </c>
      <c r="AD35" s="29">
        <v>112.488</v>
      </c>
      <c r="AE35" s="29">
        <v>40.477</v>
      </c>
      <c r="AF35" s="29" t="s">
        <v>315</v>
      </c>
      <c r="AG35" s="29" t="s">
        <v>315</v>
      </c>
      <c r="AH35" s="29" t="s">
        <v>315</v>
      </c>
      <c r="AI35" s="30" t="str">
        <f t="shared" si="1"/>
        <v>#VALUE!</v>
      </c>
      <c r="AJ35" s="30" t="str">
        <f t="shared" si="2"/>
        <v>#VALUE!</v>
      </c>
      <c r="AK35" s="32">
        <f t="shared" si="3"/>
        <v>0.4812857143</v>
      </c>
      <c r="AL35" s="38">
        <f t="shared" si="4"/>
        <v>67.41779497</v>
      </c>
      <c r="AM35" s="38">
        <f t="shared" si="5"/>
        <v>0.3258220503</v>
      </c>
      <c r="AN35" s="33">
        <f t="shared" si="6"/>
        <v>0.06283185307</v>
      </c>
      <c r="AP35" s="32">
        <f t="shared" si="7"/>
        <v>0</v>
      </c>
      <c r="AQ35" s="30">
        <f t="shared" si="8"/>
        <v>0</v>
      </c>
      <c r="AR35" s="34">
        <f t="shared" si="9"/>
        <v>82.99257143</v>
      </c>
    </row>
    <row r="36">
      <c r="A36" s="29" t="s">
        <v>1405</v>
      </c>
      <c r="B36" s="29" t="s">
        <v>1238</v>
      </c>
      <c r="C36" s="29" t="s">
        <v>1235</v>
      </c>
      <c r="D36" s="29" t="s">
        <v>1406</v>
      </c>
      <c r="E36" s="29">
        <v>1.462</v>
      </c>
      <c r="F36" s="29">
        <v>0.833</v>
      </c>
      <c r="G36" s="29">
        <v>0.345</v>
      </c>
      <c r="H36" s="29">
        <v>1.658</v>
      </c>
      <c r="I36" s="29">
        <v>0.703</v>
      </c>
      <c r="J36" s="29">
        <v>1.127</v>
      </c>
      <c r="K36" s="29">
        <v>0.94</v>
      </c>
      <c r="L36" s="29">
        <v>1.233</v>
      </c>
      <c r="M36" s="29" t="s">
        <v>315</v>
      </c>
      <c r="N36" s="29" t="s">
        <v>315</v>
      </c>
      <c r="O36" s="29">
        <v>0.569</v>
      </c>
      <c r="P36" s="29">
        <v>0.321</v>
      </c>
      <c r="Q36" s="29">
        <v>0.138</v>
      </c>
      <c r="R36" s="29">
        <v>0.652</v>
      </c>
      <c r="S36" s="29">
        <v>0.268</v>
      </c>
      <c r="T36" s="29">
        <v>0.446</v>
      </c>
      <c r="U36" s="29">
        <v>0.355</v>
      </c>
      <c r="V36" s="29">
        <v>0.492</v>
      </c>
      <c r="W36" s="29" t="s">
        <v>315</v>
      </c>
      <c r="X36" s="29" t="s">
        <v>315</v>
      </c>
      <c r="Y36" s="29">
        <v>77.423</v>
      </c>
      <c r="Z36" s="29">
        <v>46.136</v>
      </c>
      <c r="AA36" s="29">
        <v>16.669</v>
      </c>
      <c r="AB36" s="29">
        <v>79.238</v>
      </c>
      <c r="AC36" s="29">
        <v>40.006</v>
      </c>
      <c r="AD36" s="29">
        <v>62.205</v>
      </c>
      <c r="AE36" s="29">
        <v>54.162</v>
      </c>
      <c r="AF36" s="29">
        <v>64.102</v>
      </c>
      <c r="AG36" s="29" t="s">
        <v>315</v>
      </c>
      <c r="AH36" s="29" t="s">
        <v>315</v>
      </c>
      <c r="AI36" s="30" t="str">
        <f t="shared" si="1"/>
        <v>#VALUE!</v>
      </c>
      <c r="AJ36" s="30" t="str">
        <f t="shared" si="2"/>
        <v>#VALUE!</v>
      </c>
      <c r="AK36" s="32">
        <f t="shared" si="3"/>
        <v>0.405125</v>
      </c>
      <c r="AL36" s="38">
        <f t="shared" si="4"/>
        <v>60.95651126</v>
      </c>
      <c r="AM36" s="38">
        <f t="shared" si="5"/>
        <v>0.3904348874</v>
      </c>
      <c r="AN36" s="33">
        <f t="shared" si="6"/>
        <v>0.06283185307</v>
      </c>
      <c r="AP36" s="32">
        <f t="shared" si="7"/>
        <v>0</v>
      </c>
      <c r="AQ36" s="30">
        <f t="shared" si="8"/>
        <v>0</v>
      </c>
      <c r="AR36" s="34">
        <f t="shared" si="9"/>
        <v>54.992625</v>
      </c>
    </row>
    <row r="37">
      <c r="A37" s="29" t="s">
        <v>1250</v>
      </c>
      <c r="B37" s="29" t="s">
        <v>1238</v>
      </c>
      <c r="C37" s="29" t="s">
        <v>1376</v>
      </c>
      <c r="D37" s="29" t="s">
        <v>1407</v>
      </c>
      <c r="E37" s="29" t="s">
        <v>1369</v>
      </c>
      <c r="F37" s="29">
        <v>10.0</v>
      </c>
    </row>
    <row r="38">
      <c r="A38" s="29" t="s">
        <v>1251</v>
      </c>
      <c r="B38" s="29" t="s">
        <v>1238</v>
      </c>
      <c r="C38" s="29" t="s">
        <v>1376</v>
      </c>
      <c r="D38" s="29" t="s">
        <v>55</v>
      </c>
      <c r="E38" s="29" t="s">
        <v>1369</v>
      </c>
      <c r="F38" s="29">
        <v>10.0</v>
      </c>
    </row>
    <row r="39">
      <c r="A39" s="29" t="s">
        <v>1252</v>
      </c>
      <c r="B39" s="29" t="s">
        <v>1238</v>
      </c>
      <c r="C39" s="29" t="s">
        <v>1376</v>
      </c>
      <c r="D39" s="29" t="s">
        <v>565</v>
      </c>
      <c r="E39" s="29" t="s">
        <v>1408</v>
      </c>
      <c r="F39" s="29">
        <v>10.0</v>
      </c>
    </row>
    <row r="40">
      <c r="A40" s="29" t="s">
        <v>1409</v>
      </c>
    </row>
    <row r="41">
      <c r="A41" s="29" t="s">
        <v>1367</v>
      </c>
      <c r="B41" s="29" t="s">
        <v>1238</v>
      </c>
      <c r="C41" s="29" t="s">
        <v>1227</v>
      </c>
      <c r="D41" s="29" t="s">
        <v>24</v>
      </c>
      <c r="E41" s="29">
        <v>0.241</v>
      </c>
      <c r="F41" s="29">
        <v>0.249</v>
      </c>
      <c r="G41" s="29">
        <v>0.206</v>
      </c>
      <c r="H41" s="29">
        <v>0.272</v>
      </c>
      <c r="I41" s="29">
        <v>0.216</v>
      </c>
      <c r="J41" s="29" t="s">
        <v>1410</v>
      </c>
      <c r="K41" s="29" t="s">
        <v>1410</v>
      </c>
      <c r="L41" s="29" t="s">
        <v>1410</v>
      </c>
      <c r="M41" s="29" t="s">
        <v>1410</v>
      </c>
      <c r="N41" s="29" t="s">
        <v>1410</v>
      </c>
      <c r="O41" s="29">
        <v>0.078</v>
      </c>
      <c r="P41" s="29">
        <v>0.089</v>
      </c>
      <c r="Q41" s="29">
        <v>0.07</v>
      </c>
      <c r="R41" s="29">
        <v>0.095</v>
      </c>
      <c r="S41" s="29">
        <v>0.079</v>
      </c>
      <c r="T41" s="29"/>
      <c r="U41" s="29"/>
      <c r="V41" s="29"/>
      <c r="W41" s="29"/>
      <c r="X41" s="29"/>
      <c r="Y41" s="29">
        <v>10.615</v>
      </c>
      <c r="Z41" s="29">
        <v>12.7</v>
      </c>
      <c r="AA41" s="29">
        <v>9.932</v>
      </c>
      <c r="AB41" s="29">
        <v>11.496</v>
      </c>
      <c r="AC41" s="29">
        <v>10.012</v>
      </c>
      <c r="AD41" s="29" t="s">
        <v>1410</v>
      </c>
      <c r="AE41" s="29" t="s">
        <v>1410</v>
      </c>
      <c r="AF41" s="29" t="s">
        <v>1410</v>
      </c>
      <c r="AG41" s="29" t="s">
        <v>1410</v>
      </c>
      <c r="AH41" s="29" t="s">
        <v>1410</v>
      </c>
      <c r="AI41" s="30">
        <f t="shared" ref="AI41:AI44" si="10">AVERAGE(Y41/O41)+(Z41/P41)+(AA41/Q41)+(AB41/R41)+(AC41/S41)</f>
        <v>668.4167906</v>
      </c>
      <c r="AJ41" s="30">
        <f t="shared" ref="AJ41:AJ44" si="11">AI41/10</f>
        <v>66.84167906</v>
      </c>
      <c r="AK41" s="32">
        <f t="shared" ref="AK41:AK44" si="12">AVERAGE(O41:S41)</f>
        <v>0.0822</v>
      </c>
      <c r="AL41" s="38">
        <f t="shared" ref="AL41:AL44" si="13">100*(AVERAGE(E41:N41)-AVERAGE(O41:X41))/(AVERAGE(E41:N41))</f>
        <v>65.28716216</v>
      </c>
      <c r="AM41" s="38">
        <f t="shared" ref="AM41:AM44" si="14">(AVERAGE(O41:X41)/AVERAGE(E41:N41))</f>
        <v>0.3471283784</v>
      </c>
      <c r="AN41" s="29">
        <v>1.697</v>
      </c>
      <c r="AO41" s="29">
        <v>1.096</v>
      </c>
      <c r="AP41" s="32">
        <f t="shared" ref="AP41:AP44" si="15">AO41/AN41</f>
        <v>0.6458456099</v>
      </c>
      <c r="AQ41" s="30">
        <f t="shared" ref="AQ41:AQ44" si="16">AP41*1000</f>
        <v>645.8456099</v>
      </c>
      <c r="AR41" s="29">
        <f t="shared" ref="AR41:AR44" si="17">AVERAGE(Y41:AC41)</f>
        <v>10.951</v>
      </c>
    </row>
    <row r="42">
      <c r="A42" s="29" t="s">
        <v>1370</v>
      </c>
      <c r="B42" s="29" t="s">
        <v>1238</v>
      </c>
      <c r="C42" s="29" t="s">
        <v>1227</v>
      </c>
      <c r="D42" s="29" t="s">
        <v>31</v>
      </c>
      <c r="E42" s="29">
        <v>0.436</v>
      </c>
      <c r="F42" s="29">
        <v>0.521</v>
      </c>
      <c r="G42" s="29">
        <v>0.274</v>
      </c>
      <c r="H42" s="29">
        <v>0.544</v>
      </c>
      <c r="I42" s="29">
        <v>0.345</v>
      </c>
      <c r="J42" s="29" t="s">
        <v>1410</v>
      </c>
      <c r="K42" s="29" t="s">
        <v>1410</v>
      </c>
      <c r="L42" s="29" t="s">
        <v>1410</v>
      </c>
      <c r="M42" s="29" t="s">
        <v>1410</v>
      </c>
      <c r="N42" s="29" t="s">
        <v>1410</v>
      </c>
      <c r="O42" s="29">
        <v>0.201</v>
      </c>
      <c r="P42" s="29">
        <v>0.225</v>
      </c>
      <c r="Q42" s="29">
        <v>0.123</v>
      </c>
      <c r="R42" s="29">
        <v>0.255</v>
      </c>
      <c r="S42" s="29">
        <v>0.162</v>
      </c>
      <c r="T42" s="29"/>
      <c r="U42" s="29"/>
      <c r="V42" s="29"/>
      <c r="W42" s="29"/>
      <c r="X42" s="29"/>
      <c r="Y42" s="29">
        <v>20.705</v>
      </c>
      <c r="Z42" s="29">
        <v>29.175</v>
      </c>
      <c r="AA42" s="29">
        <v>14.193</v>
      </c>
      <c r="AB42" s="29">
        <v>27.432</v>
      </c>
      <c r="AC42" s="29">
        <v>17.308</v>
      </c>
      <c r="AD42" s="29" t="s">
        <v>1410</v>
      </c>
      <c r="AE42" s="29" t="s">
        <v>1410</v>
      </c>
      <c r="AF42" s="29" t="s">
        <v>1410</v>
      </c>
      <c r="AG42" s="29" t="s">
        <v>1410</v>
      </c>
      <c r="AH42" s="29" t="s">
        <v>1410</v>
      </c>
      <c r="AI42" s="30">
        <f t="shared" si="10"/>
        <v>562.4828376</v>
      </c>
      <c r="AJ42" s="30">
        <f t="shared" si="11"/>
        <v>56.24828376</v>
      </c>
      <c r="AK42" s="32">
        <f t="shared" si="12"/>
        <v>0.1932</v>
      </c>
      <c r="AL42" s="38">
        <f t="shared" si="13"/>
        <v>54.43396226</v>
      </c>
      <c r="AM42" s="38">
        <f t="shared" si="14"/>
        <v>0.4556603774</v>
      </c>
      <c r="AN42" s="29">
        <v>0.328</v>
      </c>
      <c r="AO42" s="29">
        <v>0.229</v>
      </c>
      <c r="AP42" s="32">
        <f t="shared" si="15"/>
        <v>0.6981707317</v>
      </c>
      <c r="AQ42" s="30">
        <f t="shared" si="16"/>
        <v>698.1707317</v>
      </c>
      <c r="AR42" s="29">
        <f t="shared" si="17"/>
        <v>21.7626</v>
      </c>
    </row>
    <row r="43">
      <c r="A43" s="29" t="s">
        <v>1373</v>
      </c>
      <c r="B43" s="29" t="s">
        <v>1238</v>
      </c>
      <c r="C43" s="29" t="s">
        <v>1227</v>
      </c>
      <c r="D43" s="29" t="s">
        <v>27</v>
      </c>
      <c r="E43" s="29">
        <v>1.094</v>
      </c>
      <c r="F43" s="29">
        <v>1.229</v>
      </c>
      <c r="G43" s="29">
        <v>1.167</v>
      </c>
      <c r="H43" s="29">
        <v>1.053</v>
      </c>
      <c r="I43" s="29">
        <v>1.048</v>
      </c>
      <c r="J43" s="29" t="s">
        <v>1410</v>
      </c>
      <c r="K43" s="29" t="s">
        <v>1410</v>
      </c>
      <c r="L43" s="29" t="s">
        <v>1410</v>
      </c>
      <c r="M43" s="29" t="s">
        <v>1410</v>
      </c>
      <c r="N43" s="29" t="s">
        <v>1410</v>
      </c>
      <c r="O43" s="29">
        <v>0.289</v>
      </c>
      <c r="P43" s="29">
        <v>0.315</v>
      </c>
      <c r="Q43" s="29">
        <v>0.298</v>
      </c>
      <c r="R43" s="29">
        <v>0.263</v>
      </c>
      <c r="S43" s="29">
        <v>0.278</v>
      </c>
      <c r="T43" s="29"/>
      <c r="U43" s="29"/>
      <c r="V43" s="29"/>
      <c r="W43" s="29"/>
      <c r="X43" s="29"/>
      <c r="Y43" s="29">
        <v>66.124</v>
      </c>
      <c r="Z43" s="29">
        <v>69.522</v>
      </c>
      <c r="AA43" s="29">
        <v>67.203</v>
      </c>
      <c r="AB43" s="29">
        <v>60.69</v>
      </c>
      <c r="AC43" s="29">
        <v>61.296</v>
      </c>
      <c r="AD43" s="29" t="s">
        <v>1410</v>
      </c>
      <c r="AE43" s="29" t="s">
        <v>1410</v>
      </c>
      <c r="AF43" s="29" t="s">
        <v>1410</v>
      </c>
      <c r="AG43" s="29" t="s">
        <v>1410</v>
      </c>
      <c r="AH43" s="29" t="s">
        <v>1410</v>
      </c>
      <c r="AI43" s="30">
        <f t="shared" si="10"/>
        <v>1126.270618</v>
      </c>
      <c r="AJ43" s="30">
        <f t="shared" si="11"/>
        <v>112.6270618</v>
      </c>
      <c r="AK43" s="32">
        <f t="shared" si="12"/>
        <v>0.2886</v>
      </c>
      <c r="AL43" s="38">
        <f t="shared" si="13"/>
        <v>74.19066357</v>
      </c>
      <c r="AM43" s="38">
        <f t="shared" si="14"/>
        <v>0.2580933643</v>
      </c>
      <c r="AN43" s="29">
        <v>1.432</v>
      </c>
      <c r="AO43" s="29">
        <v>0.55</v>
      </c>
      <c r="AP43" s="32">
        <f t="shared" si="15"/>
        <v>0.3840782123</v>
      </c>
      <c r="AQ43" s="30">
        <f t="shared" si="16"/>
        <v>384.0782123</v>
      </c>
      <c r="AR43" s="29">
        <f t="shared" si="17"/>
        <v>64.967</v>
      </c>
    </row>
    <row r="44">
      <c r="A44" s="29" t="s">
        <v>1375</v>
      </c>
      <c r="B44" s="29" t="s">
        <v>1238</v>
      </c>
      <c r="C44" s="29" t="s">
        <v>1227</v>
      </c>
      <c r="D44" s="29" t="s">
        <v>117</v>
      </c>
      <c r="E44" s="29">
        <v>1.192</v>
      </c>
      <c r="F44" s="29">
        <v>1.002</v>
      </c>
      <c r="G44" s="29">
        <v>1.123</v>
      </c>
      <c r="H44" s="29">
        <v>0.797</v>
      </c>
      <c r="I44" s="29">
        <v>1.529</v>
      </c>
      <c r="J44" s="29" t="s">
        <v>1410</v>
      </c>
      <c r="K44" s="29" t="s">
        <v>1410</v>
      </c>
      <c r="L44" s="29" t="s">
        <v>1410</v>
      </c>
      <c r="M44" s="29" t="s">
        <v>1410</v>
      </c>
      <c r="N44" s="29" t="s">
        <v>1410</v>
      </c>
      <c r="O44" s="29">
        <v>0.416</v>
      </c>
      <c r="P44" s="29">
        <v>0.333</v>
      </c>
      <c r="Q44" s="29">
        <v>0.359</v>
      </c>
      <c r="R44" s="29">
        <v>0.228</v>
      </c>
      <c r="S44" s="29">
        <v>0.554</v>
      </c>
      <c r="T44" s="29"/>
      <c r="U44" s="29"/>
      <c r="V44" s="29"/>
      <c r="W44" s="29"/>
      <c r="X44" s="29"/>
      <c r="Y44" s="29">
        <v>49.523</v>
      </c>
      <c r="Z44" s="29">
        <v>35.115</v>
      </c>
      <c r="AA44" s="29">
        <v>42.568</v>
      </c>
      <c r="AB44" s="29">
        <v>33.637</v>
      </c>
      <c r="AC44" s="29">
        <v>56.113</v>
      </c>
      <c r="AD44" s="29" t="s">
        <v>1410</v>
      </c>
      <c r="AE44" s="29" t="s">
        <v>1410</v>
      </c>
      <c r="AF44" s="29" t="s">
        <v>1410</v>
      </c>
      <c r="AG44" s="29" t="s">
        <v>1410</v>
      </c>
      <c r="AH44" s="29" t="s">
        <v>1410</v>
      </c>
      <c r="AI44" s="30">
        <f t="shared" si="10"/>
        <v>591.887645</v>
      </c>
      <c r="AJ44" s="30">
        <f t="shared" si="11"/>
        <v>59.1887645</v>
      </c>
      <c r="AK44" s="32">
        <f t="shared" si="12"/>
        <v>0.378</v>
      </c>
      <c r="AL44" s="38">
        <f t="shared" si="13"/>
        <v>66.50717703</v>
      </c>
      <c r="AM44" s="38">
        <f t="shared" si="14"/>
        <v>0.3349282297</v>
      </c>
      <c r="AN44" s="29">
        <v>1.362</v>
      </c>
      <c r="AO44" s="29">
        <v>0.915</v>
      </c>
      <c r="AP44" s="32">
        <f t="shared" si="15"/>
        <v>0.6718061674</v>
      </c>
      <c r="AQ44" s="30">
        <f t="shared" si="16"/>
        <v>671.8061674</v>
      </c>
      <c r="AR44" s="29">
        <f t="shared" si="17"/>
        <v>43.3912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8.63"/>
    <col customWidth="1" min="3" max="3" width="14.25"/>
  </cols>
  <sheetData>
    <row r="1">
      <c r="A1" s="39" t="s">
        <v>1411</v>
      </c>
      <c r="B1" s="39" t="s">
        <v>1412</v>
      </c>
      <c r="C1" s="40"/>
    </row>
    <row r="2">
      <c r="A2" s="41" t="s">
        <v>104</v>
      </c>
      <c r="B2" s="42">
        <v>244.0</v>
      </c>
      <c r="C2" s="43" t="s">
        <v>1413</v>
      </c>
    </row>
    <row r="3">
      <c r="A3" s="41" t="s">
        <v>98</v>
      </c>
      <c r="B3" s="42">
        <v>143.0</v>
      </c>
      <c r="C3" s="43" t="s">
        <v>1413</v>
      </c>
    </row>
    <row r="4">
      <c r="A4" s="41" t="s">
        <v>105</v>
      </c>
      <c r="B4" s="42">
        <v>101.0</v>
      </c>
      <c r="C4" s="44"/>
    </row>
    <row r="5">
      <c r="A5" s="41" t="s">
        <v>55</v>
      </c>
      <c r="B5" s="42">
        <v>77.0</v>
      </c>
      <c r="C5" s="44"/>
      <c r="D5" s="29"/>
    </row>
    <row r="6">
      <c r="A6" s="41" t="s">
        <v>191</v>
      </c>
      <c r="B6" s="42">
        <v>65.0</v>
      </c>
      <c r="C6" s="45"/>
    </row>
    <row r="7">
      <c r="A7" s="41" t="s">
        <v>24</v>
      </c>
      <c r="B7" s="42">
        <v>59.0</v>
      </c>
      <c r="C7" s="43" t="s">
        <v>1413</v>
      </c>
      <c r="D7" s="29"/>
    </row>
    <row r="8">
      <c r="A8" s="41" t="s">
        <v>153</v>
      </c>
      <c r="B8" s="42">
        <v>58.0</v>
      </c>
      <c r="C8" s="44"/>
    </row>
    <row r="9">
      <c r="A9" s="41" t="s">
        <v>323</v>
      </c>
      <c r="B9" s="42">
        <v>55.0</v>
      </c>
      <c r="C9" s="43" t="s">
        <v>1413</v>
      </c>
    </row>
    <row r="10">
      <c r="A10" s="41" t="s">
        <v>31</v>
      </c>
      <c r="B10" s="42">
        <v>48.0</v>
      </c>
      <c r="C10" s="44"/>
      <c r="D10" s="29"/>
    </row>
    <row r="11">
      <c r="A11" s="41" t="s">
        <v>767</v>
      </c>
      <c r="B11" s="42">
        <v>45.0</v>
      </c>
      <c r="C11" s="45"/>
    </row>
    <row r="12">
      <c r="A12" s="41" t="s">
        <v>1025</v>
      </c>
      <c r="B12" s="42">
        <v>38.0</v>
      </c>
      <c r="C12" s="45"/>
    </row>
    <row r="13">
      <c r="A13" s="41" t="s">
        <v>154</v>
      </c>
      <c r="B13" s="42">
        <v>37.0</v>
      </c>
      <c r="C13" s="43" t="s">
        <v>1413</v>
      </c>
    </row>
    <row r="14">
      <c r="A14" s="41" t="s">
        <v>28</v>
      </c>
      <c r="B14" s="42">
        <v>34.0</v>
      </c>
      <c r="C14" s="44"/>
      <c r="D14" s="29"/>
    </row>
    <row r="15">
      <c r="A15" s="41" t="s">
        <v>324</v>
      </c>
      <c r="B15" s="42">
        <v>33.0</v>
      </c>
      <c r="C15" s="45"/>
    </row>
    <row r="16">
      <c r="A16" s="41" t="s">
        <v>56</v>
      </c>
      <c r="B16" s="42">
        <v>32.0</v>
      </c>
      <c r="C16" s="43" t="s">
        <v>1413</v>
      </c>
    </row>
    <row r="17">
      <c r="A17" s="41" t="s">
        <v>50</v>
      </c>
      <c r="B17" s="42">
        <v>31.0</v>
      </c>
      <c r="C17" s="45"/>
    </row>
    <row r="18">
      <c r="A18" s="41" t="s">
        <v>100</v>
      </c>
      <c r="B18" s="42">
        <v>29.0</v>
      </c>
      <c r="C18" s="43" t="s">
        <v>1413</v>
      </c>
    </row>
    <row r="19">
      <c r="A19" s="41" t="s">
        <v>108</v>
      </c>
      <c r="B19" s="42">
        <v>28.0</v>
      </c>
      <c r="C19" s="45"/>
    </row>
    <row r="20">
      <c r="A20" s="41" t="s">
        <v>232</v>
      </c>
      <c r="B20" s="42">
        <v>25.0</v>
      </c>
      <c r="C20" s="44">
        <v>3.0</v>
      </c>
    </row>
    <row r="21">
      <c r="A21" s="41" t="s">
        <v>41</v>
      </c>
      <c r="B21" s="42">
        <v>24.0</v>
      </c>
      <c r="C21" s="45"/>
    </row>
    <row r="22">
      <c r="A22" s="41" t="s">
        <v>30</v>
      </c>
      <c r="B22" s="42">
        <v>23.0</v>
      </c>
      <c r="C22" s="45"/>
    </row>
    <row r="23">
      <c r="A23" s="41" t="s">
        <v>37</v>
      </c>
      <c r="B23" s="42">
        <v>23.0</v>
      </c>
      <c r="C23" s="44">
        <v>3.0</v>
      </c>
    </row>
    <row r="24">
      <c r="A24" s="41" t="s">
        <v>335</v>
      </c>
      <c r="B24" s="42">
        <v>21.0</v>
      </c>
      <c r="C24" s="44">
        <v>3.0</v>
      </c>
    </row>
    <row r="25">
      <c r="A25" s="41" t="s">
        <v>78</v>
      </c>
      <c r="B25" s="42">
        <v>19.0</v>
      </c>
      <c r="C25" s="44"/>
    </row>
    <row r="26">
      <c r="A26" s="41" t="s">
        <v>202</v>
      </c>
      <c r="B26" s="42">
        <v>19.0</v>
      </c>
      <c r="C26" s="45"/>
    </row>
    <row r="27">
      <c r="A27" s="41" t="s">
        <v>947</v>
      </c>
      <c r="B27" s="42">
        <v>19.0</v>
      </c>
      <c r="C27" s="45"/>
    </row>
    <row r="28">
      <c r="A28" s="41" t="s">
        <v>329</v>
      </c>
      <c r="B28" s="42">
        <v>16.0</v>
      </c>
      <c r="C28" s="45"/>
    </row>
    <row r="29">
      <c r="A29" s="41" t="s">
        <v>488</v>
      </c>
      <c r="B29" s="42">
        <v>15.0</v>
      </c>
      <c r="C29" s="45"/>
    </row>
    <row r="30">
      <c r="A30" s="41" t="s">
        <v>86</v>
      </c>
      <c r="B30" s="42">
        <v>15.0</v>
      </c>
      <c r="C30" s="44"/>
    </row>
    <row r="31">
      <c r="A31" s="41" t="s">
        <v>27</v>
      </c>
      <c r="B31" s="42">
        <v>15.0</v>
      </c>
      <c r="C31" s="44"/>
    </row>
    <row r="32">
      <c r="A32" s="41" t="s">
        <v>117</v>
      </c>
      <c r="B32" s="42">
        <v>14.0</v>
      </c>
      <c r="C32" s="44"/>
    </row>
    <row r="33">
      <c r="A33" s="41" t="s">
        <v>179</v>
      </c>
      <c r="B33" s="42">
        <v>13.0</v>
      </c>
      <c r="C33" s="45"/>
    </row>
    <row r="34">
      <c r="A34" s="41" t="s">
        <v>468</v>
      </c>
      <c r="B34" s="42">
        <v>13.0</v>
      </c>
      <c r="C34" s="45"/>
    </row>
    <row r="35">
      <c r="A35" s="41" t="s">
        <v>235</v>
      </c>
      <c r="B35" s="42">
        <v>13.0</v>
      </c>
      <c r="C35" s="45"/>
    </row>
    <row r="36">
      <c r="A36" s="41" t="s">
        <v>167</v>
      </c>
      <c r="B36" s="42">
        <v>12.0</v>
      </c>
      <c r="C36" s="45"/>
    </row>
    <row r="37">
      <c r="A37" s="41" t="s">
        <v>761</v>
      </c>
      <c r="B37" s="42">
        <v>12.0</v>
      </c>
      <c r="C37" s="45"/>
    </row>
    <row r="38">
      <c r="A38" s="41" t="s">
        <v>97</v>
      </c>
      <c r="B38" s="42">
        <v>12.0</v>
      </c>
      <c r="C38" s="44"/>
    </row>
    <row r="39">
      <c r="A39" s="41" t="s">
        <v>372</v>
      </c>
      <c r="B39" s="42">
        <v>12.0</v>
      </c>
      <c r="C39" s="45"/>
    </row>
    <row r="40">
      <c r="A40" s="41" t="s">
        <v>164</v>
      </c>
      <c r="B40" s="42">
        <v>12.0</v>
      </c>
      <c r="C40" s="44">
        <v>4.0</v>
      </c>
    </row>
    <row r="41">
      <c r="A41" s="41" t="s">
        <v>421</v>
      </c>
      <c r="B41" s="42">
        <v>11.0</v>
      </c>
      <c r="C41" s="45"/>
    </row>
    <row r="42">
      <c r="A42" s="41" t="s">
        <v>85</v>
      </c>
      <c r="B42" s="42">
        <v>10.0</v>
      </c>
      <c r="C42" s="44">
        <v>2.0</v>
      </c>
    </row>
    <row r="43">
      <c r="A43" s="41" t="s">
        <v>63</v>
      </c>
      <c r="B43" s="42">
        <v>10.0</v>
      </c>
      <c r="C43" s="45"/>
    </row>
    <row r="44">
      <c r="A44" s="41" t="s">
        <v>273</v>
      </c>
      <c r="B44" s="42">
        <v>10.0</v>
      </c>
      <c r="C44" s="44">
        <v>2.0</v>
      </c>
    </row>
    <row r="45">
      <c r="A45" s="41" t="s">
        <v>95</v>
      </c>
      <c r="B45" s="42">
        <v>9.0</v>
      </c>
      <c r="C45" s="45"/>
    </row>
    <row r="46">
      <c r="A46" s="41" t="s">
        <v>565</v>
      </c>
      <c r="B46" s="42">
        <v>8.0</v>
      </c>
      <c r="C46" s="44"/>
    </row>
    <row r="47">
      <c r="A47" s="41" t="s">
        <v>122</v>
      </c>
      <c r="B47" s="42">
        <v>8.0</v>
      </c>
      <c r="C47" s="45"/>
    </row>
    <row r="48">
      <c r="A48" s="41" t="s">
        <v>146</v>
      </c>
      <c r="B48" s="42">
        <v>8.0</v>
      </c>
      <c r="C48" s="45"/>
    </row>
    <row r="49">
      <c r="A49" s="41" t="s">
        <v>111</v>
      </c>
      <c r="B49" s="42">
        <v>8.0</v>
      </c>
      <c r="C49" s="45"/>
    </row>
    <row r="50">
      <c r="A50" s="41" t="s">
        <v>499</v>
      </c>
      <c r="B50" s="42">
        <v>8.0</v>
      </c>
      <c r="C50" s="45"/>
    </row>
    <row r="51">
      <c r="A51" s="41" t="s">
        <v>175</v>
      </c>
      <c r="B51" s="42">
        <v>8.0</v>
      </c>
      <c r="C51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63"/>
    <col customWidth="1" min="3" max="6" width="12.63"/>
    <col customWidth="1" min="7" max="7" width="29.63"/>
    <col customWidth="1" min="8" max="8" width="27.63"/>
    <col customWidth="1" min="9" max="9" width="21.5"/>
    <col customWidth="1" min="10" max="10" width="55.63"/>
    <col customWidth="1" min="11" max="12" width="57.63"/>
    <col customWidth="1" min="13" max="13" width="25.63"/>
    <col customWidth="1" min="14" max="14" width="17.63"/>
  </cols>
  <sheetData>
    <row r="1" ht="15.75" customHeight="1">
      <c r="A1" s="6" t="s">
        <v>1416</v>
      </c>
      <c r="B1" s="6" t="s">
        <v>1</v>
      </c>
      <c r="C1" s="6" t="s">
        <v>2</v>
      </c>
      <c r="D1" s="6" t="s">
        <v>4</v>
      </c>
      <c r="E1" s="6" t="s">
        <v>6</v>
      </c>
      <c r="F1" s="6" t="s">
        <v>1417</v>
      </c>
      <c r="G1" s="46" t="s">
        <v>1418</v>
      </c>
      <c r="H1" s="46" t="s">
        <v>1419</v>
      </c>
      <c r="I1" s="46" t="s">
        <v>1420</v>
      </c>
      <c r="J1" s="3" t="s">
        <v>1421</v>
      </c>
      <c r="K1" s="3" t="s">
        <v>1422</v>
      </c>
      <c r="L1" s="3" t="s">
        <v>1423</v>
      </c>
      <c r="M1" s="11" t="s">
        <v>1424</v>
      </c>
      <c r="N1" s="11" t="s">
        <v>1425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5.75" customHeight="1">
      <c r="A2" s="3" t="s">
        <v>17</v>
      </c>
      <c r="B2" s="3" t="s">
        <v>18</v>
      </c>
      <c r="C2" s="3" t="s">
        <v>19</v>
      </c>
      <c r="D2" s="3" t="s">
        <v>21</v>
      </c>
      <c r="E2" s="3" t="s">
        <v>1426</v>
      </c>
      <c r="F2" s="3" t="s">
        <v>1427</v>
      </c>
      <c r="G2" s="3">
        <v>31.0</v>
      </c>
      <c r="H2" s="3"/>
      <c r="I2" s="3"/>
      <c r="J2" s="3" t="s">
        <v>1428</v>
      </c>
      <c r="K2" s="3" t="s">
        <v>1428</v>
      </c>
      <c r="L2" s="3" t="s">
        <v>1428</v>
      </c>
    </row>
    <row r="3" ht="15.75" customHeight="1">
      <c r="A3" s="3" t="s">
        <v>17</v>
      </c>
      <c r="B3" s="3" t="s">
        <v>18</v>
      </c>
      <c r="C3" s="3" t="s">
        <v>19</v>
      </c>
      <c r="D3" s="3" t="s">
        <v>36</v>
      </c>
      <c r="E3" s="3" t="s">
        <v>1429</v>
      </c>
      <c r="F3" s="3" t="s">
        <v>1427</v>
      </c>
      <c r="G3" s="3">
        <v>31.0</v>
      </c>
      <c r="H3" s="3"/>
      <c r="I3" s="3"/>
      <c r="J3" s="3" t="s">
        <v>1428</v>
      </c>
      <c r="K3" s="3" t="s">
        <v>1428</v>
      </c>
      <c r="L3" s="3" t="s">
        <v>1428</v>
      </c>
    </row>
    <row r="4" ht="15.75" customHeight="1">
      <c r="A4" s="3" t="s">
        <v>17</v>
      </c>
      <c r="B4" s="3" t="s">
        <v>18</v>
      </c>
      <c r="C4" s="3" t="s">
        <v>19</v>
      </c>
      <c r="D4" s="3" t="s">
        <v>46</v>
      </c>
      <c r="E4" s="3" t="s">
        <v>1430</v>
      </c>
      <c r="F4" s="3" t="s">
        <v>1427</v>
      </c>
      <c r="G4" s="3">
        <v>31.0</v>
      </c>
      <c r="H4" s="3"/>
      <c r="I4" s="3"/>
      <c r="J4" s="3" t="s">
        <v>1428</v>
      </c>
      <c r="K4" s="3" t="s">
        <v>1428</v>
      </c>
      <c r="L4" s="3" t="s">
        <v>1428</v>
      </c>
    </row>
    <row r="5" ht="15.75" customHeight="1">
      <c r="A5" s="3" t="s">
        <v>17</v>
      </c>
      <c r="B5" s="3" t="s">
        <v>18</v>
      </c>
      <c r="C5" s="3" t="s">
        <v>19</v>
      </c>
      <c r="D5" s="3" t="s">
        <v>62</v>
      </c>
      <c r="E5" s="3" t="s">
        <v>1431</v>
      </c>
      <c r="F5" s="3" t="s">
        <v>1432</v>
      </c>
      <c r="G5" s="3">
        <v>31.0</v>
      </c>
      <c r="H5" s="3"/>
      <c r="I5" s="3"/>
      <c r="J5" s="3" t="s">
        <v>1428</v>
      </c>
      <c r="K5" s="3" t="s">
        <v>1428</v>
      </c>
      <c r="L5" s="3" t="s">
        <v>1428</v>
      </c>
    </row>
    <row r="6" ht="15.75" customHeight="1">
      <c r="A6" s="3" t="s">
        <v>17</v>
      </c>
      <c r="B6" s="3" t="s">
        <v>18</v>
      </c>
      <c r="C6" s="3" t="s">
        <v>80</v>
      </c>
      <c r="D6" s="3" t="s">
        <v>82</v>
      </c>
      <c r="E6" s="47" t="s">
        <v>1433</v>
      </c>
      <c r="F6" s="47" t="s">
        <v>1432</v>
      </c>
      <c r="G6" s="3">
        <v>48.0</v>
      </c>
      <c r="H6" s="3"/>
      <c r="I6" s="3"/>
      <c r="J6" s="3" t="s">
        <v>1428</v>
      </c>
      <c r="K6" s="3" t="s">
        <v>1434</v>
      </c>
      <c r="L6" s="3" t="s">
        <v>1435</v>
      </c>
    </row>
    <row r="7" ht="15.75" customHeight="1">
      <c r="A7" s="3" t="s">
        <v>17</v>
      </c>
      <c r="B7" s="3" t="s">
        <v>18</v>
      </c>
      <c r="C7" s="3" t="s">
        <v>80</v>
      </c>
      <c r="D7" s="3" t="s">
        <v>119</v>
      </c>
      <c r="E7" s="3" t="s">
        <v>1436</v>
      </c>
      <c r="F7" s="3" t="s">
        <v>1432</v>
      </c>
      <c r="G7" s="3">
        <v>48.0</v>
      </c>
      <c r="H7" s="3"/>
      <c r="I7" s="3"/>
      <c r="J7" s="3" t="s">
        <v>1428</v>
      </c>
      <c r="K7" s="3" t="s">
        <v>1434</v>
      </c>
      <c r="L7" s="3" t="s">
        <v>1435</v>
      </c>
    </row>
    <row r="8" ht="15.75" customHeight="1">
      <c r="A8" s="3" t="s">
        <v>17</v>
      </c>
      <c r="B8" s="3" t="s">
        <v>18</v>
      </c>
      <c r="C8" s="3" t="s">
        <v>80</v>
      </c>
      <c r="D8" s="3" t="s">
        <v>130</v>
      </c>
      <c r="E8" s="3" t="s">
        <v>1437</v>
      </c>
      <c r="F8" s="3" t="s">
        <v>1438</v>
      </c>
      <c r="G8" s="3">
        <v>48.0</v>
      </c>
      <c r="H8" s="3"/>
      <c r="I8" s="3"/>
      <c r="J8" s="3" t="s">
        <v>1428</v>
      </c>
      <c r="K8" s="3" t="s">
        <v>1434</v>
      </c>
      <c r="L8" s="3" t="s">
        <v>1435</v>
      </c>
    </row>
    <row r="9" ht="15.75" customHeight="1">
      <c r="A9" s="3" t="s">
        <v>17</v>
      </c>
      <c r="B9" s="3" t="s">
        <v>18</v>
      </c>
      <c r="C9" s="3" t="s">
        <v>80</v>
      </c>
      <c r="D9" s="3" t="s">
        <v>142</v>
      </c>
      <c r="E9" s="3" t="s">
        <v>1439</v>
      </c>
      <c r="F9" s="3" t="s">
        <v>1440</v>
      </c>
      <c r="G9" s="3">
        <v>48.0</v>
      </c>
      <c r="H9" s="3"/>
      <c r="I9" s="3"/>
      <c r="J9" s="3" t="s">
        <v>1428</v>
      </c>
      <c r="K9" s="3" t="s">
        <v>1434</v>
      </c>
      <c r="L9" s="3" t="s">
        <v>1435</v>
      </c>
    </row>
    <row r="10" ht="15.75" customHeight="1">
      <c r="A10" s="3" t="s">
        <v>149</v>
      </c>
      <c r="B10" s="3" t="s">
        <v>150</v>
      </c>
      <c r="C10" s="3" t="s">
        <v>19</v>
      </c>
      <c r="D10" s="3" t="s">
        <v>152</v>
      </c>
      <c r="E10" s="3" t="s">
        <v>1441</v>
      </c>
      <c r="F10" s="3" t="s">
        <v>1442</v>
      </c>
      <c r="G10" s="3">
        <v>25.0</v>
      </c>
      <c r="H10" s="3"/>
      <c r="I10" s="3"/>
      <c r="J10" s="3" t="s">
        <v>1428</v>
      </c>
      <c r="K10" s="3" t="s">
        <v>1428</v>
      </c>
      <c r="L10" s="3" t="s">
        <v>1435</v>
      </c>
    </row>
    <row r="11" ht="15.75" customHeight="1">
      <c r="A11" s="3" t="s">
        <v>149</v>
      </c>
      <c r="B11" s="3" t="s">
        <v>150</v>
      </c>
      <c r="C11" s="3" t="s">
        <v>19</v>
      </c>
      <c r="D11" s="3" t="s">
        <v>172</v>
      </c>
      <c r="E11" s="3" t="s">
        <v>1443</v>
      </c>
      <c r="F11" s="3" t="s">
        <v>1444</v>
      </c>
      <c r="G11" s="3">
        <v>25.0</v>
      </c>
      <c r="H11" s="3"/>
      <c r="I11" s="3"/>
      <c r="J11" s="3" t="s">
        <v>1428</v>
      </c>
      <c r="K11" s="3" t="s">
        <v>1428</v>
      </c>
      <c r="L11" s="3" t="s">
        <v>1435</v>
      </c>
    </row>
    <row r="12" ht="15.75" customHeight="1">
      <c r="A12" s="3" t="s">
        <v>149</v>
      </c>
      <c r="B12" s="3" t="s">
        <v>150</v>
      </c>
      <c r="C12" s="3" t="s">
        <v>19</v>
      </c>
      <c r="D12" s="3" t="s">
        <v>194</v>
      </c>
      <c r="E12" s="3" t="s">
        <v>1445</v>
      </c>
      <c r="F12" s="3" t="s">
        <v>1446</v>
      </c>
      <c r="G12" s="3">
        <v>25.0</v>
      </c>
      <c r="H12" s="3"/>
      <c r="I12" s="3"/>
      <c r="J12" s="3" t="s">
        <v>1428</v>
      </c>
      <c r="K12" s="3" t="s">
        <v>1428</v>
      </c>
      <c r="L12" s="3" t="s">
        <v>1435</v>
      </c>
    </row>
    <row r="13" ht="15.75" customHeight="1">
      <c r="A13" s="3" t="s">
        <v>149</v>
      </c>
      <c r="B13" s="3" t="s">
        <v>150</v>
      </c>
      <c r="C13" s="3" t="s">
        <v>19</v>
      </c>
      <c r="D13" s="3" t="s">
        <v>210</v>
      </c>
      <c r="E13" s="3" t="s">
        <v>1447</v>
      </c>
      <c r="F13" s="3" t="s">
        <v>1448</v>
      </c>
      <c r="G13" s="3">
        <v>25.0</v>
      </c>
      <c r="H13" s="3"/>
      <c r="I13" s="3"/>
      <c r="J13" s="3" t="s">
        <v>1428</v>
      </c>
      <c r="K13" s="3" t="s">
        <v>1428</v>
      </c>
      <c r="L13" s="3" t="s">
        <v>1435</v>
      </c>
    </row>
    <row r="14" ht="15.75" customHeight="1">
      <c r="A14" s="3" t="s">
        <v>149</v>
      </c>
      <c r="B14" s="3" t="s">
        <v>150</v>
      </c>
      <c r="C14" s="3" t="s">
        <v>80</v>
      </c>
      <c r="D14" s="3" t="s">
        <v>227</v>
      </c>
      <c r="E14" s="3" t="s">
        <v>1449</v>
      </c>
      <c r="F14" s="3" t="s">
        <v>1450</v>
      </c>
      <c r="G14" s="3">
        <v>68.0</v>
      </c>
      <c r="H14" s="3"/>
      <c r="I14" s="3"/>
      <c r="J14" s="3" t="s">
        <v>1451</v>
      </c>
      <c r="K14" s="3" t="s">
        <v>1451</v>
      </c>
      <c r="L14" s="3" t="s">
        <v>1451</v>
      </c>
    </row>
    <row r="15" ht="15.75" customHeight="1">
      <c r="A15" s="3" t="s">
        <v>149</v>
      </c>
      <c r="B15" s="3" t="s">
        <v>150</v>
      </c>
      <c r="C15" s="3" t="s">
        <v>80</v>
      </c>
      <c r="D15" s="3" t="s">
        <v>244</v>
      </c>
      <c r="E15" s="3" t="s">
        <v>1452</v>
      </c>
      <c r="F15" s="3" t="s">
        <v>1450</v>
      </c>
      <c r="G15" s="3">
        <v>68.0</v>
      </c>
      <c r="H15" s="3"/>
      <c r="I15" s="3"/>
      <c r="J15" s="3" t="s">
        <v>1451</v>
      </c>
      <c r="K15" s="3" t="s">
        <v>1451</v>
      </c>
      <c r="L15" s="3" t="s">
        <v>1451</v>
      </c>
    </row>
    <row r="16" ht="15.75" customHeight="1">
      <c r="A16" s="3" t="s">
        <v>149</v>
      </c>
      <c r="B16" s="3" t="s">
        <v>150</v>
      </c>
      <c r="C16" s="3" t="s">
        <v>80</v>
      </c>
      <c r="D16" s="3" t="s">
        <v>272</v>
      </c>
      <c r="E16" s="3" t="s">
        <v>1453</v>
      </c>
      <c r="F16" s="3" t="s">
        <v>1454</v>
      </c>
      <c r="G16" s="3">
        <v>68.0</v>
      </c>
      <c r="H16" s="3"/>
      <c r="I16" s="3"/>
      <c r="J16" s="3" t="s">
        <v>1451</v>
      </c>
      <c r="K16" s="3" t="s">
        <v>1451</v>
      </c>
      <c r="L16" s="3" t="s">
        <v>1451</v>
      </c>
    </row>
    <row r="17" ht="15.75" customHeight="1">
      <c r="A17" s="3" t="s">
        <v>149</v>
      </c>
      <c r="B17" s="3" t="s">
        <v>150</v>
      </c>
      <c r="C17" s="3" t="s">
        <v>80</v>
      </c>
      <c r="D17" s="3" t="s">
        <v>297</v>
      </c>
      <c r="E17" s="3" t="s">
        <v>1455</v>
      </c>
      <c r="F17" s="3" t="s">
        <v>1456</v>
      </c>
      <c r="G17" s="3">
        <v>68.0</v>
      </c>
      <c r="H17" s="3"/>
      <c r="I17" s="3"/>
      <c r="J17" s="3" t="s">
        <v>1451</v>
      </c>
      <c r="K17" s="3" t="s">
        <v>1451</v>
      </c>
      <c r="L17" s="3" t="s">
        <v>1451</v>
      </c>
    </row>
    <row r="18" ht="15.75" customHeight="1">
      <c r="A18" s="3" t="s">
        <v>318</v>
      </c>
      <c r="B18" s="3" t="s">
        <v>1457</v>
      </c>
      <c r="C18" s="3" t="s">
        <v>19</v>
      </c>
      <c r="D18" s="3" t="s">
        <v>321</v>
      </c>
      <c r="E18" s="3" t="s">
        <v>1458</v>
      </c>
      <c r="F18" s="3" t="s">
        <v>1459</v>
      </c>
      <c r="G18" s="3">
        <v>24.0</v>
      </c>
      <c r="H18" s="3"/>
      <c r="I18" s="3"/>
      <c r="J18" s="3" t="s">
        <v>1428</v>
      </c>
      <c r="K18" s="3" t="s">
        <v>1434</v>
      </c>
      <c r="L18" s="3" t="s">
        <v>1434</v>
      </c>
    </row>
    <row r="19" ht="15.75" customHeight="1">
      <c r="A19" s="3" t="s">
        <v>318</v>
      </c>
      <c r="B19" s="3" t="s">
        <v>1457</v>
      </c>
      <c r="C19" s="3" t="s">
        <v>19</v>
      </c>
      <c r="D19" s="3" t="s">
        <v>338</v>
      </c>
      <c r="E19" s="3" t="s">
        <v>1460</v>
      </c>
      <c r="F19" s="3" t="s">
        <v>1444</v>
      </c>
      <c r="G19" s="3">
        <v>24.0</v>
      </c>
      <c r="H19" s="3"/>
      <c r="I19" s="3"/>
      <c r="J19" s="3" t="s">
        <v>1428</v>
      </c>
      <c r="K19" s="3" t="s">
        <v>1434</v>
      </c>
      <c r="L19" s="3" t="s">
        <v>1434</v>
      </c>
    </row>
    <row r="20" ht="15.75" customHeight="1">
      <c r="A20" s="3" t="s">
        <v>318</v>
      </c>
      <c r="B20" s="3" t="s">
        <v>1457</v>
      </c>
      <c r="C20" s="3" t="s">
        <v>19</v>
      </c>
      <c r="D20" s="3" t="s">
        <v>354</v>
      </c>
      <c r="E20" s="3" t="s">
        <v>1445</v>
      </c>
      <c r="F20" s="3" t="s">
        <v>1446</v>
      </c>
      <c r="G20" s="3">
        <v>24.0</v>
      </c>
      <c r="H20" s="3"/>
      <c r="I20" s="3"/>
      <c r="J20" s="3" t="s">
        <v>1428</v>
      </c>
      <c r="K20" s="3" t="s">
        <v>1434</v>
      </c>
      <c r="L20" s="3" t="s">
        <v>1434</v>
      </c>
    </row>
    <row r="21" ht="15.75" customHeight="1">
      <c r="A21" s="3" t="s">
        <v>318</v>
      </c>
      <c r="B21" s="3" t="s">
        <v>1457</v>
      </c>
      <c r="C21" s="3" t="s">
        <v>19</v>
      </c>
      <c r="D21" s="3" t="s">
        <v>368</v>
      </c>
      <c r="E21" s="3" t="s">
        <v>1461</v>
      </c>
      <c r="F21" s="3" t="s">
        <v>1462</v>
      </c>
      <c r="G21" s="3">
        <v>24.0</v>
      </c>
      <c r="H21" s="3"/>
      <c r="I21" s="3"/>
      <c r="J21" s="3" t="s">
        <v>1428</v>
      </c>
      <c r="K21" s="3" t="s">
        <v>1434</v>
      </c>
      <c r="L21" s="3" t="s">
        <v>1434</v>
      </c>
    </row>
    <row r="22" ht="15.75" customHeight="1">
      <c r="A22" s="3" t="s">
        <v>318</v>
      </c>
      <c r="B22" s="3" t="s">
        <v>1457</v>
      </c>
      <c r="C22" s="3" t="s">
        <v>80</v>
      </c>
      <c r="D22" s="3" t="s">
        <v>383</v>
      </c>
      <c r="E22" s="3" t="s">
        <v>1449</v>
      </c>
      <c r="F22" s="3" t="s">
        <v>1450</v>
      </c>
      <c r="G22" s="3">
        <v>48.0</v>
      </c>
      <c r="H22" s="3"/>
      <c r="I22" s="3"/>
      <c r="J22" s="3" t="s">
        <v>1428</v>
      </c>
      <c r="K22" s="3" t="s">
        <v>1434</v>
      </c>
      <c r="L22" s="3" t="s">
        <v>1463</v>
      </c>
    </row>
    <row r="23" ht="15.75" customHeight="1">
      <c r="A23" s="3" t="s">
        <v>318</v>
      </c>
      <c r="B23" s="3" t="s">
        <v>1457</v>
      </c>
      <c r="C23" s="3" t="s">
        <v>80</v>
      </c>
      <c r="D23" s="3" t="s">
        <v>402</v>
      </c>
      <c r="E23" s="3" t="s">
        <v>1464</v>
      </c>
      <c r="F23" s="3" t="s">
        <v>1465</v>
      </c>
      <c r="G23" s="3">
        <v>48.0</v>
      </c>
      <c r="H23" s="3"/>
      <c r="I23" s="3"/>
      <c r="J23" s="3" t="s">
        <v>1428</v>
      </c>
      <c r="K23" s="3" t="s">
        <v>1434</v>
      </c>
      <c r="L23" s="3" t="s">
        <v>1463</v>
      </c>
    </row>
    <row r="24" ht="15.75" customHeight="1">
      <c r="A24" s="3" t="s">
        <v>318</v>
      </c>
      <c r="B24" s="3" t="s">
        <v>1457</v>
      </c>
      <c r="C24" s="3" t="s">
        <v>80</v>
      </c>
      <c r="D24" s="3" t="s">
        <v>417</v>
      </c>
      <c r="E24" s="3" t="s">
        <v>1453</v>
      </c>
      <c r="F24" s="3" t="s">
        <v>1454</v>
      </c>
      <c r="G24" s="3">
        <v>48.0</v>
      </c>
      <c r="H24" s="3"/>
      <c r="I24" s="3"/>
      <c r="J24" s="3" t="s">
        <v>1428</v>
      </c>
      <c r="K24" s="3" t="s">
        <v>1434</v>
      </c>
      <c r="L24" s="3" t="s">
        <v>1463</v>
      </c>
    </row>
    <row r="25" ht="15.75" customHeight="1">
      <c r="A25" s="3" t="s">
        <v>318</v>
      </c>
      <c r="B25" s="3" t="s">
        <v>1457</v>
      </c>
      <c r="C25" s="3" t="s">
        <v>80</v>
      </c>
      <c r="D25" s="3" t="s">
        <v>432</v>
      </c>
      <c r="E25" s="3" t="s">
        <v>1466</v>
      </c>
      <c r="F25" s="3" t="s">
        <v>1467</v>
      </c>
      <c r="G25" s="3">
        <v>48.0</v>
      </c>
      <c r="H25" s="3"/>
      <c r="I25" s="3"/>
      <c r="J25" s="3" t="s">
        <v>1428</v>
      </c>
      <c r="K25" s="3" t="s">
        <v>1434</v>
      </c>
      <c r="L25" s="3" t="s">
        <v>1463</v>
      </c>
    </row>
    <row r="26" ht="15.75" customHeight="1">
      <c r="A26" s="3" t="s">
        <v>460</v>
      </c>
      <c r="B26" s="3" t="s">
        <v>461</v>
      </c>
      <c r="C26" s="3" t="s">
        <v>1227</v>
      </c>
      <c r="D26" s="3" t="s">
        <v>561</v>
      </c>
      <c r="E26" s="3" t="s">
        <v>1468</v>
      </c>
      <c r="F26" s="3" t="s">
        <v>1469</v>
      </c>
      <c r="G26" s="3">
        <v>24.0</v>
      </c>
      <c r="H26" s="3"/>
      <c r="I26" s="3"/>
      <c r="J26" s="3" t="s">
        <v>1470</v>
      </c>
      <c r="K26" s="3" t="s">
        <v>1471</v>
      </c>
      <c r="L26" s="3" t="s">
        <v>1471</v>
      </c>
    </row>
    <row r="27" ht="15.75" customHeight="1">
      <c r="A27" s="3" t="s">
        <v>460</v>
      </c>
      <c r="B27" s="3" t="s">
        <v>461</v>
      </c>
      <c r="C27" s="3" t="s">
        <v>1227</v>
      </c>
      <c r="D27" s="3" t="s">
        <v>566</v>
      </c>
      <c r="E27" s="3" t="s">
        <v>1472</v>
      </c>
      <c r="F27" s="3" t="s">
        <v>1473</v>
      </c>
      <c r="G27" s="3">
        <v>24.0</v>
      </c>
      <c r="H27" s="3"/>
      <c r="I27" s="3"/>
      <c r="J27" s="3" t="s">
        <v>1470</v>
      </c>
      <c r="K27" s="3" t="s">
        <v>1471</v>
      </c>
      <c r="L27" s="3" t="s">
        <v>1471</v>
      </c>
    </row>
    <row r="28" ht="15.75" customHeight="1">
      <c r="A28" s="3" t="s">
        <v>460</v>
      </c>
      <c r="B28" s="3" t="s">
        <v>461</v>
      </c>
      <c r="C28" s="3" t="s">
        <v>1227</v>
      </c>
      <c r="D28" s="3" t="s">
        <v>573</v>
      </c>
      <c r="E28" s="3" t="s">
        <v>1474</v>
      </c>
      <c r="F28" s="3" t="s">
        <v>1475</v>
      </c>
      <c r="G28" s="3">
        <v>24.0</v>
      </c>
      <c r="H28" s="3"/>
      <c r="I28" s="3"/>
      <c r="J28" s="3" t="s">
        <v>1470</v>
      </c>
      <c r="K28" s="3" t="s">
        <v>1471</v>
      </c>
      <c r="L28" s="3" t="s">
        <v>1471</v>
      </c>
    </row>
    <row r="29" ht="15.75" customHeight="1">
      <c r="A29" s="3" t="s">
        <v>460</v>
      </c>
      <c r="B29" s="3" t="s">
        <v>461</v>
      </c>
      <c r="C29" s="3" t="s">
        <v>1227</v>
      </c>
      <c r="D29" s="3" t="s">
        <v>578</v>
      </c>
      <c r="E29" s="3" t="s">
        <v>1476</v>
      </c>
      <c r="F29" s="3" t="s">
        <v>1469</v>
      </c>
      <c r="G29" s="3">
        <v>24.0</v>
      </c>
      <c r="H29" s="3"/>
      <c r="I29" s="3"/>
      <c r="J29" s="3" t="s">
        <v>1470</v>
      </c>
      <c r="K29" s="3" t="s">
        <v>1471</v>
      </c>
      <c r="L29" s="3" t="s">
        <v>1471</v>
      </c>
    </row>
    <row r="30" ht="15.75" customHeight="1">
      <c r="A30" s="3" t="s">
        <v>460</v>
      </c>
      <c r="B30" s="3" t="s">
        <v>461</v>
      </c>
      <c r="C30" s="3" t="s">
        <v>80</v>
      </c>
      <c r="D30" s="3" t="s">
        <v>586</v>
      </c>
      <c r="E30" s="3" t="s">
        <v>1477</v>
      </c>
      <c r="F30" s="3" t="s">
        <v>1478</v>
      </c>
      <c r="G30" s="3">
        <v>68.0</v>
      </c>
      <c r="H30" s="3"/>
      <c r="I30" s="3"/>
      <c r="J30" s="3" t="s">
        <v>1470</v>
      </c>
      <c r="K30" s="3" t="s">
        <v>1471</v>
      </c>
      <c r="L30" s="3" t="s">
        <v>1471</v>
      </c>
    </row>
    <row r="31" ht="15.75" customHeight="1">
      <c r="A31" s="3" t="s">
        <v>460</v>
      </c>
      <c r="B31" s="3" t="s">
        <v>461</v>
      </c>
      <c r="C31" s="3" t="s">
        <v>80</v>
      </c>
      <c r="D31" s="3" t="s">
        <v>588</v>
      </c>
      <c r="E31" s="3" t="s">
        <v>1479</v>
      </c>
      <c r="F31" s="3" t="s">
        <v>1480</v>
      </c>
      <c r="G31" s="3">
        <v>68.0</v>
      </c>
      <c r="H31" s="3"/>
      <c r="I31" s="3"/>
      <c r="J31" s="3" t="s">
        <v>1470</v>
      </c>
      <c r="K31" s="3" t="s">
        <v>1471</v>
      </c>
      <c r="L31" s="3" t="s">
        <v>1471</v>
      </c>
    </row>
    <row r="32" ht="15.75" customHeight="1">
      <c r="A32" s="3" t="s">
        <v>460</v>
      </c>
      <c r="B32" s="3" t="s">
        <v>461</v>
      </c>
      <c r="C32" s="3" t="s">
        <v>80</v>
      </c>
      <c r="D32" s="3" t="s">
        <v>597</v>
      </c>
      <c r="E32" s="3" t="s">
        <v>1481</v>
      </c>
      <c r="F32" s="3" t="s">
        <v>1480</v>
      </c>
      <c r="G32" s="3">
        <v>68.0</v>
      </c>
      <c r="H32" s="3"/>
      <c r="I32" s="3"/>
      <c r="J32" s="3" t="s">
        <v>1470</v>
      </c>
      <c r="K32" s="3" t="s">
        <v>1471</v>
      </c>
      <c r="L32" s="3" t="s">
        <v>1471</v>
      </c>
    </row>
    <row r="33" ht="15.75" customHeight="1">
      <c r="A33" s="3" t="s">
        <v>460</v>
      </c>
      <c r="B33" s="3" t="s">
        <v>461</v>
      </c>
      <c r="C33" s="3" t="s">
        <v>80</v>
      </c>
      <c r="D33" s="3" t="s">
        <v>602</v>
      </c>
      <c r="E33" s="3" t="s">
        <v>1482</v>
      </c>
      <c r="F33" s="3" t="s">
        <v>1483</v>
      </c>
      <c r="G33" s="3">
        <v>68.0</v>
      </c>
      <c r="H33" s="3"/>
      <c r="I33" s="3"/>
      <c r="J33" s="3" t="s">
        <v>1470</v>
      </c>
      <c r="K33" s="3" t="s">
        <v>1471</v>
      </c>
      <c r="L33" s="3" t="s">
        <v>1471</v>
      </c>
    </row>
    <row r="34" ht="15.75" customHeight="1">
      <c r="A34" s="3" t="s">
        <v>558</v>
      </c>
      <c r="B34" s="3" t="s">
        <v>1484</v>
      </c>
      <c r="C34" s="3" t="s">
        <v>1227</v>
      </c>
      <c r="D34" s="3" t="s">
        <v>663</v>
      </c>
      <c r="E34" s="3" t="s">
        <v>1485</v>
      </c>
      <c r="F34" s="3" t="s">
        <v>1486</v>
      </c>
      <c r="G34" s="3">
        <v>31.0</v>
      </c>
      <c r="H34" s="3"/>
      <c r="I34" s="3"/>
      <c r="J34" s="3" t="s">
        <v>1428</v>
      </c>
      <c r="K34" s="3" t="s">
        <v>1428</v>
      </c>
      <c r="L34" s="3" t="s">
        <v>1435</v>
      </c>
    </row>
    <row r="35" ht="15.75" customHeight="1">
      <c r="A35" s="3" t="s">
        <v>558</v>
      </c>
      <c r="B35" s="3" t="s">
        <v>1484</v>
      </c>
      <c r="C35" s="3" t="s">
        <v>1227</v>
      </c>
      <c r="D35" s="3" t="s">
        <v>677</v>
      </c>
      <c r="E35" s="3" t="s">
        <v>1487</v>
      </c>
      <c r="F35" s="3" t="s">
        <v>1488</v>
      </c>
      <c r="G35" s="3">
        <v>31.0</v>
      </c>
      <c r="H35" s="3"/>
      <c r="I35" s="3"/>
      <c r="J35" s="3" t="s">
        <v>1428</v>
      </c>
      <c r="K35" s="3" t="s">
        <v>1428</v>
      </c>
      <c r="L35" s="3" t="s">
        <v>1435</v>
      </c>
    </row>
    <row r="36" ht="15.75" customHeight="1">
      <c r="A36" s="3" t="s">
        <v>558</v>
      </c>
      <c r="B36" s="3" t="s">
        <v>1484</v>
      </c>
      <c r="C36" s="3" t="s">
        <v>1227</v>
      </c>
      <c r="D36" s="3" t="s">
        <v>681</v>
      </c>
      <c r="E36" s="3" t="s">
        <v>1489</v>
      </c>
      <c r="F36" s="3" t="s">
        <v>1490</v>
      </c>
      <c r="G36" s="3">
        <v>31.0</v>
      </c>
      <c r="H36" s="3"/>
      <c r="I36" s="3"/>
      <c r="J36" s="3" t="s">
        <v>1428</v>
      </c>
      <c r="K36" s="3" t="s">
        <v>1428</v>
      </c>
      <c r="L36" s="3" t="s">
        <v>1435</v>
      </c>
    </row>
    <row r="37" ht="15.75" customHeight="1">
      <c r="A37" s="3" t="s">
        <v>558</v>
      </c>
      <c r="B37" s="3" t="s">
        <v>1484</v>
      </c>
      <c r="C37" s="3" t="s">
        <v>1227</v>
      </c>
      <c r="D37" s="3" t="s">
        <v>690</v>
      </c>
      <c r="E37" s="3" t="s">
        <v>1491</v>
      </c>
      <c r="F37" s="3" t="s">
        <v>1492</v>
      </c>
      <c r="G37" s="3">
        <v>31.0</v>
      </c>
      <c r="H37" s="3"/>
      <c r="I37" s="3"/>
      <c r="J37" s="3" t="s">
        <v>1428</v>
      </c>
      <c r="K37" s="3" t="s">
        <v>1493</v>
      </c>
      <c r="L37" s="3" t="s">
        <v>1435</v>
      </c>
    </row>
    <row r="38" ht="15.75" customHeight="1">
      <c r="A38" s="3" t="s">
        <v>558</v>
      </c>
      <c r="B38" s="3" t="s">
        <v>1484</v>
      </c>
      <c r="C38" s="3" t="s">
        <v>80</v>
      </c>
      <c r="D38" s="3" t="s">
        <v>698</v>
      </c>
      <c r="E38" s="3" t="s">
        <v>1494</v>
      </c>
      <c r="F38" s="3" t="s">
        <v>1495</v>
      </c>
      <c r="G38" s="3">
        <v>25.0</v>
      </c>
      <c r="H38" s="3"/>
      <c r="I38" s="3"/>
      <c r="J38" s="3" t="s">
        <v>1493</v>
      </c>
      <c r="K38" s="3" t="s">
        <v>1493</v>
      </c>
      <c r="L38" s="3" t="s">
        <v>1496</v>
      </c>
    </row>
    <row r="39" ht="15.75" customHeight="1">
      <c r="A39" s="3" t="s">
        <v>558</v>
      </c>
      <c r="B39" s="3" t="s">
        <v>1484</v>
      </c>
      <c r="C39" s="3" t="s">
        <v>80</v>
      </c>
      <c r="D39" s="3" t="s">
        <v>716</v>
      </c>
      <c r="E39" s="3" t="s">
        <v>1497</v>
      </c>
      <c r="F39" s="3" t="s">
        <v>1498</v>
      </c>
      <c r="G39" s="3">
        <v>25.0</v>
      </c>
      <c r="H39" s="3"/>
      <c r="I39" s="3"/>
      <c r="J39" s="3" t="s">
        <v>1493</v>
      </c>
      <c r="K39" s="3" t="s">
        <v>1493</v>
      </c>
      <c r="L39" s="3" t="s">
        <v>1496</v>
      </c>
    </row>
    <row r="40" ht="15.75" customHeight="1">
      <c r="A40" s="3" t="s">
        <v>558</v>
      </c>
      <c r="B40" s="3" t="s">
        <v>1484</v>
      </c>
      <c r="C40" s="3" t="s">
        <v>80</v>
      </c>
      <c r="D40" s="3" t="s">
        <v>723</v>
      </c>
      <c r="E40" s="3" t="s">
        <v>1499</v>
      </c>
      <c r="F40" s="3" t="s">
        <v>1500</v>
      </c>
      <c r="G40" s="3">
        <v>25.0</v>
      </c>
      <c r="H40" s="3"/>
      <c r="I40" s="3"/>
      <c r="J40" s="3" t="s">
        <v>1493</v>
      </c>
      <c r="K40" s="3" t="s">
        <v>1493</v>
      </c>
      <c r="L40" s="3" t="s">
        <v>1496</v>
      </c>
    </row>
    <row r="41" ht="15.75" customHeight="1">
      <c r="A41" s="3" t="s">
        <v>558</v>
      </c>
      <c r="B41" s="3" t="s">
        <v>1484</v>
      </c>
      <c r="C41" s="3" t="s">
        <v>80</v>
      </c>
      <c r="D41" s="3" t="s">
        <v>735</v>
      </c>
      <c r="E41" s="3" t="s">
        <v>1501</v>
      </c>
      <c r="F41" s="3" t="s">
        <v>1502</v>
      </c>
      <c r="G41" s="3">
        <v>25.0</v>
      </c>
      <c r="H41" s="3"/>
      <c r="I41" s="3"/>
      <c r="J41" s="3" t="s">
        <v>1493</v>
      </c>
      <c r="K41" s="3" t="s">
        <v>1493</v>
      </c>
      <c r="L41" s="3" t="s">
        <v>1496</v>
      </c>
    </row>
    <row r="42" ht="15.75" customHeight="1">
      <c r="A42" s="3" t="s">
        <v>610</v>
      </c>
      <c r="B42" s="3" t="s">
        <v>1503</v>
      </c>
      <c r="C42" s="3" t="s">
        <v>1227</v>
      </c>
      <c r="D42" s="3" t="s">
        <v>750</v>
      </c>
      <c r="E42" s="3" t="s">
        <v>1504</v>
      </c>
      <c r="F42" s="3" t="s">
        <v>1505</v>
      </c>
      <c r="G42" s="3">
        <v>24.0</v>
      </c>
      <c r="H42" s="3"/>
      <c r="I42" s="3"/>
      <c r="J42" s="3" t="s">
        <v>1428</v>
      </c>
      <c r="K42" s="3" t="s">
        <v>1428</v>
      </c>
      <c r="L42" s="3" t="s">
        <v>1434</v>
      </c>
    </row>
    <row r="43" ht="15.75" customHeight="1">
      <c r="A43" s="3" t="s">
        <v>610</v>
      </c>
      <c r="B43" s="3" t="s">
        <v>1503</v>
      </c>
      <c r="C43" s="3" t="s">
        <v>1227</v>
      </c>
      <c r="D43" s="3" t="s">
        <v>760</v>
      </c>
      <c r="E43" s="3" t="s">
        <v>1506</v>
      </c>
      <c r="F43" s="3" t="s">
        <v>1507</v>
      </c>
      <c r="G43" s="3">
        <v>24.0</v>
      </c>
      <c r="H43" s="3"/>
      <c r="I43" s="3"/>
      <c r="J43" s="3" t="s">
        <v>1428</v>
      </c>
      <c r="K43" s="3" t="s">
        <v>1428</v>
      </c>
      <c r="L43" s="3" t="s">
        <v>1434</v>
      </c>
    </row>
    <row r="44" ht="15.75" customHeight="1">
      <c r="A44" s="3" t="s">
        <v>610</v>
      </c>
      <c r="B44" s="3" t="s">
        <v>1503</v>
      </c>
      <c r="C44" s="3" t="s">
        <v>1227</v>
      </c>
      <c r="D44" s="3" t="s">
        <v>775</v>
      </c>
      <c r="E44" s="3" t="s">
        <v>1508</v>
      </c>
      <c r="F44" s="3" t="s">
        <v>1509</v>
      </c>
      <c r="G44" s="3">
        <v>24.0</v>
      </c>
      <c r="H44" s="3"/>
      <c r="I44" s="3"/>
      <c r="J44" s="3" t="s">
        <v>1428</v>
      </c>
      <c r="K44" s="3" t="s">
        <v>1428</v>
      </c>
      <c r="L44" s="3" t="s">
        <v>1434</v>
      </c>
    </row>
    <row r="45" ht="15.75" customHeight="1">
      <c r="A45" s="3" t="s">
        <v>610</v>
      </c>
      <c r="B45" s="3" t="s">
        <v>1503</v>
      </c>
      <c r="C45" s="3" t="s">
        <v>1227</v>
      </c>
      <c r="D45" s="3" t="s">
        <v>791</v>
      </c>
      <c r="E45" s="3" t="s">
        <v>1510</v>
      </c>
      <c r="F45" s="3" t="s">
        <v>1511</v>
      </c>
      <c r="G45" s="3">
        <v>24.0</v>
      </c>
      <c r="H45" s="3"/>
      <c r="I45" s="3"/>
      <c r="J45" s="3" t="s">
        <v>1428</v>
      </c>
      <c r="K45" s="3" t="s">
        <v>1428</v>
      </c>
      <c r="L45" s="3" t="s">
        <v>1434</v>
      </c>
    </row>
    <row r="46" ht="15.75" customHeight="1">
      <c r="A46" s="3" t="s">
        <v>610</v>
      </c>
      <c r="B46" s="3" t="s">
        <v>1503</v>
      </c>
      <c r="C46" s="3" t="s">
        <v>80</v>
      </c>
      <c r="D46" s="3" t="s">
        <v>827</v>
      </c>
      <c r="E46" s="3" t="s">
        <v>1512</v>
      </c>
      <c r="F46" s="3" t="s">
        <v>1513</v>
      </c>
      <c r="G46" s="3">
        <v>31.0</v>
      </c>
      <c r="H46" s="3"/>
      <c r="I46" s="3"/>
      <c r="J46" s="3" t="s">
        <v>1514</v>
      </c>
      <c r="K46" s="3" t="s">
        <v>1428</v>
      </c>
      <c r="L46" s="3" t="s">
        <v>1515</v>
      </c>
    </row>
    <row r="47" ht="15.75" customHeight="1">
      <c r="A47" s="3" t="s">
        <v>610</v>
      </c>
      <c r="B47" s="3" t="s">
        <v>1503</v>
      </c>
      <c r="C47" s="3" t="s">
        <v>80</v>
      </c>
      <c r="D47" s="3" t="s">
        <v>852</v>
      </c>
      <c r="E47" s="3" t="s">
        <v>1516</v>
      </c>
      <c r="F47" s="3" t="s">
        <v>1517</v>
      </c>
      <c r="G47" s="3">
        <v>31.0</v>
      </c>
      <c r="H47" s="3"/>
      <c r="I47" s="3"/>
      <c r="J47" s="3" t="s">
        <v>1514</v>
      </c>
      <c r="K47" s="3" t="s">
        <v>1518</v>
      </c>
      <c r="L47" s="3" t="s">
        <v>1515</v>
      </c>
    </row>
    <row r="48" ht="15.75" customHeight="1">
      <c r="A48" s="3" t="s">
        <v>610</v>
      </c>
      <c r="B48" s="3" t="s">
        <v>1503</v>
      </c>
      <c r="C48" s="3" t="s">
        <v>80</v>
      </c>
      <c r="D48" s="3" t="s">
        <v>900</v>
      </c>
      <c r="E48" s="3" t="s">
        <v>1519</v>
      </c>
      <c r="F48" s="3" t="s">
        <v>1520</v>
      </c>
      <c r="G48" s="3">
        <v>31.0</v>
      </c>
      <c r="H48" s="3"/>
      <c r="I48" s="3"/>
      <c r="J48" s="3" t="s">
        <v>1514</v>
      </c>
      <c r="K48" s="3" t="s">
        <v>1518</v>
      </c>
      <c r="L48" s="3" t="s">
        <v>1515</v>
      </c>
    </row>
    <row r="49" ht="15.75" customHeight="1">
      <c r="A49" s="3" t="s">
        <v>610</v>
      </c>
      <c r="B49" s="3" t="s">
        <v>1503</v>
      </c>
      <c r="C49" s="3" t="s">
        <v>80</v>
      </c>
      <c r="D49" s="3" t="s">
        <v>924</v>
      </c>
      <c r="E49" s="3" t="s">
        <v>1519</v>
      </c>
      <c r="F49" s="3" t="s">
        <v>1521</v>
      </c>
      <c r="G49" s="3">
        <v>31.0</v>
      </c>
      <c r="H49" s="3"/>
      <c r="I49" s="3"/>
      <c r="J49" s="3" t="s">
        <v>1514</v>
      </c>
      <c r="K49" s="3" t="s">
        <v>1518</v>
      </c>
      <c r="L49" s="3" t="s">
        <v>1515</v>
      </c>
    </row>
    <row r="50" ht="15.75" customHeight="1">
      <c r="A50" s="3" t="s">
        <v>660</v>
      </c>
      <c r="B50" s="3" t="s">
        <v>1522</v>
      </c>
      <c r="C50" s="3" t="s">
        <v>1227</v>
      </c>
      <c r="D50" s="3" t="s">
        <v>1064</v>
      </c>
      <c r="E50" s="3" t="s">
        <v>1523</v>
      </c>
      <c r="F50" s="3" t="s">
        <v>1524</v>
      </c>
      <c r="G50" s="3">
        <v>9.0</v>
      </c>
      <c r="H50" s="3"/>
      <c r="I50" s="3"/>
      <c r="J50" s="3" t="s">
        <v>1428</v>
      </c>
      <c r="K50" s="3" t="s">
        <v>1428</v>
      </c>
      <c r="L50" s="3" t="s">
        <v>1435</v>
      </c>
    </row>
    <row r="51" ht="15.75" customHeight="1">
      <c r="A51" s="3" t="s">
        <v>660</v>
      </c>
      <c r="B51" s="3" t="s">
        <v>1522</v>
      </c>
      <c r="C51" s="3" t="s">
        <v>1227</v>
      </c>
      <c r="D51" s="3" t="s">
        <v>1525</v>
      </c>
      <c r="E51" s="3" t="s">
        <v>1526</v>
      </c>
      <c r="F51" s="3" t="s">
        <v>1524</v>
      </c>
      <c r="G51" s="3">
        <v>9.0</v>
      </c>
      <c r="H51" s="3"/>
      <c r="I51" s="3"/>
      <c r="J51" s="3" t="s">
        <v>1428</v>
      </c>
      <c r="K51" s="3" t="s">
        <v>1428</v>
      </c>
      <c r="L51" s="3" t="s">
        <v>1435</v>
      </c>
    </row>
    <row r="52" ht="15.75" customHeight="1">
      <c r="A52" s="3" t="s">
        <v>660</v>
      </c>
      <c r="B52" s="3" t="s">
        <v>1522</v>
      </c>
      <c r="C52" s="3" t="s">
        <v>1227</v>
      </c>
      <c r="D52" s="3" t="s">
        <v>1074</v>
      </c>
      <c r="E52" s="3" t="s">
        <v>1527</v>
      </c>
      <c r="F52" s="3" t="s">
        <v>1528</v>
      </c>
      <c r="G52" s="3">
        <v>9.0</v>
      </c>
      <c r="H52" s="3"/>
      <c r="I52" s="3"/>
      <c r="J52" s="3" t="s">
        <v>1428</v>
      </c>
      <c r="K52" s="3" t="s">
        <v>1428</v>
      </c>
      <c r="L52" s="3" t="s">
        <v>1435</v>
      </c>
    </row>
    <row r="53" ht="15.75" customHeight="1">
      <c r="A53" s="3" t="s">
        <v>660</v>
      </c>
      <c r="B53" s="3" t="s">
        <v>1522</v>
      </c>
      <c r="C53" s="3" t="s">
        <v>1227</v>
      </c>
      <c r="D53" s="3" t="s">
        <v>1075</v>
      </c>
      <c r="E53" s="3" t="s">
        <v>1527</v>
      </c>
      <c r="F53" s="3" t="s">
        <v>1529</v>
      </c>
      <c r="G53" s="3">
        <v>9.0</v>
      </c>
      <c r="H53" s="3"/>
      <c r="I53" s="3"/>
      <c r="J53" s="3" t="s">
        <v>1428</v>
      </c>
      <c r="K53" s="3" t="s">
        <v>1428</v>
      </c>
      <c r="L53" s="3" t="s">
        <v>1435</v>
      </c>
    </row>
    <row r="54" ht="15.75" customHeight="1">
      <c r="A54" s="3" t="s">
        <v>660</v>
      </c>
      <c r="B54" s="3" t="s">
        <v>1522</v>
      </c>
      <c r="C54" s="3" t="s">
        <v>80</v>
      </c>
      <c r="D54" s="3" t="s">
        <v>1080</v>
      </c>
      <c r="E54" s="3" t="s">
        <v>1530</v>
      </c>
      <c r="F54" s="3" t="s">
        <v>1531</v>
      </c>
      <c r="G54" s="3">
        <v>31.0</v>
      </c>
      <c r="H54" s="3"/>
      <c r="I54" s="3"/>
      <c r="J54" s="3" t="s">
        <v>1428</v>
      </c>
      <c r="K54" s="3" t="s">
        <v>1435</v>
      </c>
      <c r="L54" s="3" t="s">
        <v>1435</v>
      </c>
    </row>
    <row r="55" ht="15.75" customHeight="1">
      <c r="A55" s="3" t="s">
        <v>660</v>
      </c>
      <c r="B55" s="3" t="s">
        <v>1522</v>
      </c>
      <c r="C55" s="3" t="s">
        <v>80</v>
      </c>
      <c r="D55" s="3" t="s">
        <v>1090</v>
      </c>
      <c r="E55" s="3" t="s">
        <v>1532</v>
      </c>
      <c r="F55" s="3" t="s">
        <v>1533</v>
      </c>
      <c r="G55" s="3">
        <v>31.0</v>
      </c>
      <c r="H55" s="3"/>
      <c r="I55" s="3"/>
      <c r="J55" s="3" t="s">
        <v>1428</v>
      </c>
      <c r="K55" s="3" t="s">
        <v>1435</v>
      </c>
      <c r="L55" s="3" t="s">
        <v>1435</v>
      </c>
    </row>
    <row r="56" ht="15.75" customHeight="1">
      <c r="A56" s="3" t="s">
        <v>660</v>
      </c>
      <c r="B56" s="3" t="s">
        <v>1522</v>
      </c>
      <c r="C56" s="3" t="s">
        <v>80</v>
      </c>
      <c r="D56" s="3" t="s">
        <v>1100</v>
      </c>
      <c r="E56" s="3" t="s">
        <v>1534</v>
      </c>
      <c r="F56" s="3" t="s">
        <v>1533</v>
      </c>
      <c r="G56" s="3">
        <v>31.0</v>
      </c>
      <c r="H56" s="3"/>
      <c r="I56" s="3"/>
      <c r="J56" s="3" t="s">
        <v>1428</v>
      </c>
      <c r="K56" s="3" t="s">
        <v>1435</v>
      </c>
      <c r="L56" s="3" t="s">
        <v>1435</v>
      </c>
    </row>
    <row r="57" ht="15.75" customHeight="1">
      <c r="A57" s="3" t="s">
        <v>660</v>
      </c>
      <c r="B57" s="3" t="s">
        <v>1522</v>
      </c>
      <c r="C57" s="3" t="s">
        <v>80</v>
      </c>
      <c r="D57" s="3" t="s">
        <v>1105</v>
      </c>
      <c r="E57" s="3" t="s">
        <v>1535</v>
      </c>
      <c r="F57" s="3" t="s">
        <v>1536</v>
      </c>
      <c r="G57" s="3">
        <v>31.0</v>
      </c>
      <c r="H57" s="3"/>
      <c r="I57" s="3"/>
      <c r="J57" s="3" t="s">
        <v>1428</v>
      </c>
      <c r="K57" s="3" t="s">
        <v>1435</v>
      </c>
      <c r="L57" s="3" t="s">
        <v>1435</v>
      </c>
    </row>
    <row r="58" ht="15.75" customHeight="1">
      <c r="A58" s="3" t="s">
        <v>747</v>
      </c>
      <c r="B58" s="3" t="s">
        <v>1537</v>
      </c>
      <c r="C58" s="3" t="s">
        <v>1227</v>
      </c>
      <c r="D58" s="3" t="s">
        <v>463</v>
      </c>
      <c r="E58" s="3" t="s">
        <v>1538</v>
      </c>
      <c r="F58" s="3" t="s">
        <v>1539</v>
      </c>
      <c r="G58" s="3">
        <v>31.0</v>
      </c>
      <c r="H58" s="3"/>
      <c r="I58" s="3"/>
      <c r="J58" s="3" t="s">
        <v>1428</v>
      </c>
      <c r="K58" s="3" t="s">
        <v>1428</v>
      </c>
      <c r="L58" s="3" t="s">
        <v>1540</v>
      </c>
    </row>
    <row r="59" ht="15.75" customHeight="1">
      <c r="A59" s="3" t="s">
        <v>747</v>
      </c>
      <c r="B59" s="3" t="s">
        <v>1537</v>
      </c>
      <c r="C59" s="3" t="s">
        <v>1227</v>
      </c>
      <c r="D59" s="3" t="s">
        <v>473</v>
      </c>
      <c r="E59" s="3" t="s">
        <v>1541</v>
      </c>
      <c r="F59" s="3" t="s">
        <v>1542</v>
      </c>
      <c r="G59" s="3">
        <v>31.0</v>
      </c>
      <c r="H59" s="3"/>
      <c r="I59" s="3"/>
      <c r="J59" s="3" t="s">
        <v>1428</v>
      </c>
      <c r="K59" s="3" t="s">
        <v>1435</v>
      </c>
      <c r="L59" s="3" t="s">
        <v>1540</v>
      </c>
    </row>
    <row r="60" ht="15.75" customHeight="1">
      <c r="A60" s="3" t="s">
        <v>747</v>
      </c>
      <c r="B60" s="3" t="s">
        <v>1537</v>
      </c>
      <c r="C60" s="3" t="s">
        <v>1227</v>
      </c>
      <c r="D60" s="3" t="s">
        <v>486</v>
      </c>
      <c r="E60" s="3" t="s">
        <v>1543</v>
      </c>
      <c r="F60" s="3" t="s">
        <v>1544</v>
      </c>
      <c r="G60" s="3">
        <v>31.0</v>
      </c>
      <c r="H60" s="3"/>
      <c r="I60" s="3"/>
      <c r="J60" s="3" t="s">
        <v>1434</v>
      </c>
      <c r="K60" s="3" t="s">
        <v>1435</v>
      </c>
      <c r="L60" s="3" t="s">
        <v>1540</v>
      </c>
    </row>
    <row r="61" ht="15.75" customHeight="1">
      <c r="A61" s="3" t="s">
        <v>747</v>
      </c>
      <c r="B61" s="3" t="s">
        <v>1537</v>
      </c>
      <c r="C61" s="3" t="s">
        <v>1227</v>
      </c>
      <c r="D61" s="3" t="s">
        <v>498</v>
      </c>
      <c r="E61" s="3" t="s">
        <v>1543</v>
      </c>
      <c r="F61" s="3" t="s">
        <v>1545</v>
      </c>
      <c r="G61" s="3">
        <v>31.0</v>
      </c>
      <c r="H61" s="3"/>
      <c r="I61" s="3"/>
      <c r="J61" s="3" t="s">
        <v>1434</v>
      </c>
      <c r="K61" s="3" t="s">
        <v>1435</v>
      </c>
      <c r="L61" s="3" t="s">
        <v>1540</v>
      </c>
    </row>
    <row r="62" ht="15.75" customHeight="1">
      <c r="A62" s="3" t="s">
        <v>747</v>
      </c>
      <c r="B62" s="3" t="s">
        <v>1537</v>
      </c>
      <c r="C62" s="3" t="s">
        <v>80</v>
      </c>
      <c r="D62" s="3" t="s">
        <v>506</v>
      </c>
      <c r="E62" s="3" t="s">
        <v>1546</v>
      </c>
      <c r="F62" s="3" t="s">
        <v>1547</v>
      </c>
      <c r="G62" s="3">
        <v>87.0</v>
      </c>
      <c r="H62" s="3"/>
      <c r="I62" s="3"/>
      <c r="J62" s="3" t="s">
        <v>1451</v>
      </c>
      <c r="K62" s="3" t="s">
        <v>1451</v>
      </c>
      <c r="L62" s="3" t="s">
        <v>1451</v>
      </c>
    </row>
    <row r="63" ht="15.75" customHeight="1">
      <c r="A63" s="3" t="s">
        <v>747</v>
      </c>
      <c r="B63" s="3" t="s">
        <v>1537</v>
      </c>
      <c r="C63" s="3" t="s">
        <v>80</v>
      </c>
      <c r="D63" s="3" t="s">
        <v>1548</v>
      </c>
      <c r="E63" s="3" t="s">
        <v>1549</v>
      </c>
      <c r="F63" s="3" t="s">
        <v>1550</v>
      </c>
      <c r="G63" s="3">
        <v>87.0</v>
      </c>
      <c r="H63" s="3"/>
      <c r="I63" s="3"/>
      <c r="J63" s="3" t="s">
        <v>1451</v>
      </c>
      <c r="K63" s="3" t="s">
        <v>1451</v>
      </c>
      <c r="L63" s="3" t="s">
        <v>1451</v>
      </c>
    </row>
    <row r="64" ht="15.75" customHeight="1">
      <c r="A64" s="3" t="s">
        <v>747</v>
      </c>
      <c r="B64" s="3" t="s">
        <v>1537</v>
      </c>
      <c r="C64" s="3" t="s">
        <v>80</v>
      </c>
      <c r="D64" s="3" t="s">
        <v>529</v>
      </c>
      <c r="E64" s="3" t="s">
        <v>1551</v>
      </c>
      <c r="F64" s="3" t="s">
        <v>1552</v>
      </c>
      <c r="G64" s="3">
        <v>87.0</v>
      </c>
      <c r="H64" s="3"/>
      <c r="I64" s="3"/>
      <c r="J64" s="3" t="s">
        <v>1451</v>
      </c>
      <c r="K64" s="3" t="s">
        <v>1451</v>
      </c>
      <c r="L64" s="3" t="s">
        <v>1451</v>
      </c>
    </row>
    <row r="65" ht="15.75" customHeight="1">
      <c r="A65" s="3" t="s">
        <v>747</v>
      </c>
      <c r="B65" s="3" t="s">
        <v>1537</v>
      </c>
      <c r="C65" s="3" t="s">
        <v>80</v>
      </c>
      <c r="D65" s="3" t="s">
        <v>540</v>
      </c>
      <c r="E65" s="3" t="s">
        <v>1546</v>
      </c>
      <c r="F65" s="3" t="s">
        <v>1552</v>
      </c>
      <c r="G65" s="3">
        <v>87.0</v>
      </c>
      <c r="H65" s="3"/>
      <c r="I65" s="3"/>
      <c r="J65" s="3" t="s">
        <v>1451</v>
      </c>
      <c r="K65" s="3" t="s">
        <v>1451</v>
      </c>
      <c r="L65" s="3" t="s">
        <v>1451</v>
      </c>
    </row>
    <row r="66" ht="15.75" customHeight="1">
      <c r="A66" s="3" t="s">
        <v>940</v>
      </c>
      <c r="B66" s="3" t="s">
        <v>1553</v>
      </c>
      <c r="C66" s="3" t="s">
        <v>1227</v>
      </c>
      <c r="D66" s="3" t="s">
        <v>1023</v>
      </c>
      <c r="E66" s="3" t="s">
        <v>1554</v>
      </c>
      <c r="F66" s="3" t="s">
        <v>1555</v>
      </c>
      <c r="G66" s="3">
        <v>10.0</v>
      </c>
      <c r="H66" s="3"/>
      <c r="I66" s="3"/>
      <c r="J66" s="3" t="s">
        <v>1428</v>
      </c>
      <c r="K66" s="3" t="s">
        <v>1428</v>
      </c>
      <c r="L66" s="3" t="s">
        <v>1434</v>
      </c>
    </row>
    <row r="67" ht="15.75" customHeight="1">
      <c r="A67" s="3" t="s">
        <v>940</v>
      </c>
      <c r="B67" s="3" t="s">
        <v>1553</v>
      </c>
      <c r="C67" s="3" t="s">
        <v>1227</v>
      </c>
      <c r="D67" s="3" t="s">
        <v>1027</v>
      </c>
      <c r="E67" s="3" t="s">
        <v>1556</v>
      </c>
      <c r="F67" s="3" t="s">
        <v>1528</v>
      </c>
      <c r="G67" s="3">
        <v>10.0</v>
      </c>
      <c r="H67" s="3"/>
      <c r="I67" s="3"/>
      <c r="J67" s="3" t="s">
        <v>1428</v>
      </c>
      <c r="K67" s="3" t="s">
        <v>1428</v>
      </c>
      <c r="L67" s="3" t="s">
        <v>1434</v>
      </c>
    </row>
    <row r="68" ht="15.75" customHeight="1">
      <c r="A68" s="3" t="s">
        <v>940</v>
      </c>
      <c r="B68" s="3" t="s">
        <v>1553</v>
      </c>
      <c r="C68" s="3" t="s">
        <v>1227</v>
      </c>
      <c r="D68" s="3" t="s">
        <v>1029</v>
      </c>
      <c r="E68" s="3" t="s">
        <v>1557</v>
      </c>
      <c r="F68" s="3" t="s">
        <v>1528</v>
      </c>
      <c r="G68" s="3">
        <v>10.0</v>
      </c>
      <c r="H68" s="3"/>
      <c r="I68" s="3"/>
      <c r="J68" s="3" t="s">
        <v>1428</v>
      </c>
      <c r="K68" s="3" t="s">
        <v>1428</v>
      </c>
      <c r="L68" s="3" t="s">
        <v>1434</v>
      </c>
    </row>
    <row r="69" ht="15.75" customHeight="1">
      <c r="A69" s="3" t="s">
        <v>940</v>
      </c>
      <c r="B69" s="3" t="s">
        <v>1553</v>
      </c>
      <c r="C69" s="3" t="s">
        <v>1227</v>
      </c>
      <c r="D69" s="3" t="s">
        <v>1030</v>
      </c>
      <c r="E69" s="3" t="s">
        <v>1554</v>
      </c>
      <c r="F69" s="3" t="s">
        <v>1524</v>
      </c>
      <c r="G69" s="3">
        <v>10.0</v>
      </c>
      <c r="H69" s="3"/>
      <c r="I69" s="3"/>
      <c r="J69" s="3" t="s">
        <v>1428</v>
      </c>
      <c r="K69" s="3" t="s">
        <v>1428</v>
      </c>
      <c r="L69" s="3" t="s">
        <v>1434</v>
      </c>
    </row>
    <row r="70" ht="15.75" customHeight="1">
      <c r="A70" s="3" t="s">
        <v>940</v>
      </c>
      <c r="B70" s="3" t="s">
        <v>1553</v>
      </c>
      <c r="C70" s="3" t="s">
        <v>80</v>
      </c>
      <c r="D70" s="3" t="s">
        <v>1032</v>
      </c>
      <c r="E70" s="3" t="s">
        <v>1558</v>
      </c>
      <c r="F70" s="3" t="s">
        <v>1524</v>
      </c>
      <c r="G70" s="3">
        <v>31.0</v>
      </c>
      <c r="H70" s="3"/>
      <c r="I70" s="3"/>
      <c r="J70" s="3" t="s">
        <v>1428</v>
      </c>
      <c r="K70" s="3" t="s">
        <v>1434</v>
      </c>
      <c r="L70" s="3" t="s">
        <v>1434</v>
      </c>
    </row>
    <row r="71" ht="15.75" customHeight="1">
      <c r="A71" s="3" t="s">
        <v>940</v>
      </c>
      <c r="B71" s="3" t="s">
        <v>1553</v>
      </c>
      <c r="C71" s="3" t="s">
        <v>80</v>
      </c>
      <c r="D71" s="3" t="s">
        <v>1040</v>
      </c>
      <c r="E71" s="3" t="s">
        <v>1558</v>
      </c>
      <c r="F71" s="3" t="s">
        <v>1559</v>
      </c>
      <c r="G71" s="3">
        <v>31.0</v>
      </c>
      <c r="H71" s="3"/>
      <c r="I71" s="3"/>
      <c r="J71" s="3" t="s">
        <v>1428</v>
      </c>
      <c r="K71" s="3" t="s">
        <v>1434</v>
      </c>
      <c r="L71" s="3" t="s">
        <v>1434</v>
      </c>
    </row>
    <row r="72" ht="15.75" customHeight="1">
      <c r="A72" s="3" t="s">
        <v>940</v>
      </c>
      <c r="B72" s="3" t="s">
        <v>1553</v>
      </c>
      <c r="C72" s="3" t="s">
        <v>80</v>
      </c>
      <c r="D72" s="3" t="s">
        <v>1045</v>
      </c>
      <c r="E72" s="3" t="s">
        <v>1560</v>
      </c>
      <c r="F72" s="3">
        <v>-4856301.0</v>
      </c>
      <c r="G72" s="3">
        <v>31.0</v>
      </c>
      <c r="H72" s="3"/>
      <c r="I72" s="3"/>
      <c r="J72" s="3" t="s">
        <v>1428</v>
      </c>
      <c r="K72" s="3" t="s">
        <v>1434</v>
      </c>
      <c r="L72" s="3" t="s">
        <v>1434</v>
      </c>
    </row>
    <row r="73" ht="15.75" customHeight="1">
      <c r="A73" s="3" t="s">
        <v>940</v>
      </c>
      <c r="B73" s="3" t="s">
        <v>1553</v>
      </c>
      <c r="C73" s="3" t="s">
        <v>80</v>
      </c>
      <c r="D73" s="3" t="s">
        <v>1051</v>
      </c>
      <c r="E73" s="3" t="s">
        <v>1561</v>
      </c>
      <c r="F73" s="3" t="s">
        <v>1562</v>
      </c>
      <c r="G73" s="3">
        <v>31.0</v>
      </c>
      <c r="H73" s="3"/>
      <c r="I73" s="3"/>
      <c r="J73" s="3" t="s">
        <v>1428</v>
      </c>
      <c r="K73" s="3" t="s">
        <v>1428</v>
      </c>
      <c r="L73" s="3" t="s">
        <v>1434</v>
      </c>
    </row>
    <row r="74" ht="15.75" customHeight="1">
      <c r="A74" s="3" t="s">
        <v>1020</v>
      </c>
      <c r="B74" s="3" t="s">
        <v>1563</v>
      </c>
      <c r="C74" s="3" t="s">
        <v>1227</v>
      </c>
      <c r="D74" s="3" t="s">
        <v>943</v>
      </c>
      <c r="E74" s="3" t="s">
        <v>1564</v>
      </c>
      <c r="F74" s="3" t="s">
        <v>1565</v>
      </c>
      <c r="G74" s="3">
        <v>23.0</v>
      </c>
      <c r="H74" s="3"/>
      <c r="I74" s="3"/>
      <c r="J74" s="3" t="s">
        <v>1428</v>
      </c>
      <c r="K74" s="3"/>
      <c r="L74" s="3" t="s">
        <v>1434</v>
      </c>
    </row>
    <row r="75" ht="15.75" customHeight="1">
      <c r="A75" s="3" t="s">
        <v>1020</v>
      </c>
      <c r="B75" s="3" t="s">
        <v>1563</v>
      </c>
      <c r="C75" s="3" t="s">
        <v>1227</v>
      </c>
      <c r="D75" s="3" t="s">
        <v>952</v>
      </c>
      <c r="E75" s="3" t="s">
        <v>1566</v>
      </c>
      <c r="F75" s="3" t="s">
        <v>1567</v>
      </c>
      <c r="G75" s="3">
        <v>23.0</v>
      </c>
      <c r="H75" s="3"/>
      <c r="I75" s="3"/>
      <c r="J75" s="3" t="s">
        <v>1428</v>
      </c>
      <c r="K75" s="3"/>
      <c r="L75" s="3" t="s">
        <v>1434</v>
      </c>
    </row>
    <row r="76" ht="15.75" customHeight="1">
      <c r="A76" s="3" t="s">
        <v>1020</v>
      </c>
      <c r="B76" s="3" t="s">
        <v>1563</v>
      </c>
      <c r="C76" s="3" t="s">
        <v>1227</v>
      </c>
      <c r="D76" s="3" t="s">
        <v>965</v>
      </c>
      <c r="E76" s="3" t="s">
        <v>1568</v>
      </c>
      <c r="F76" s="3" t="s">
        <v>1569</v>
      </c>
      <c r="G76" s="3">
        <v>23.0</v>
      </c>
      <c r="H76" s="3"/>
      <c r="I76" s="3"/>
      <c r="J76" s="3" t="s">
        <v>1428</v>
      </c>
      <c r="K76" s="3"/>
      <c r="L76" s="3" t="s">
        <v>1434</v>
      </c>
    </row>
    <row r="77" ht="15.75" customHeight="1">
      <c r="A77" s="3" t="s">
        <v>1020</v>
      </c>
      <c r="B77" s="3" t="s">
        <v>1563</v>
      </c>
      <c r="C77" s="3" t="s">
        <v>1227</v>
      </c>
      <c r="D77" s="3" t="s">
        <v>973</v>
      </c>
      <c r="E77" s="3" t="s">
        <v>1570</v>
      </c>
      <c r="F77" s="3" t="s">
        <v>1571</v>
      </c>
      <c r="G77" s="3">
        <v>23.0</v>
      </c>
      <c r="H77" s="3"/>
      <c r="I77" s="3"/>
      <c r="J77" s="3" t="s">
        <v>1428</v>
      </c>
      <c r="K77" s="3"/>
      <c r="L77" s="3" t="s">
        <v>1434</v>
      </c>
    </row>
    <row r="78" ht="15.75" customHeight="1">
      <c r="A78" s="3" t="s">
        <v>1020</v>
      </c>
      <c r="B78" s="3" t="s">
        <v>1563</v>
      </c>
      <c r="C78" s="3" t="s">
        <v>80</v>
      </c>
      <c r="D78" s="3" t="s">
        <v>987</v>
      </c>
      <c r="E78" s="3" t="s">
        <v>1572</v>
      </c>
      <c r="F78" s="3" t="s">
        <v>1573</v>
      </c>
      <c r="G78" s="3">
        <v>31.0</v>
      </c>
      <c r="H78" s="3"/>
      <c r="I78" s="3"/>
      <c r="J78" s="3" t="s">
        <v>1428</v>
      </c>
      <c r="K78" s="3"/>
      <c r="L78" s="3" t="s">
        <v>1434</v>
      </c>
    </row>
    <row r="79" ht="15.75" customHeight="1">
      <c r="A79" s="3" t="s">
        <v>1020</v>
      </c>
      <c r="B79" s="3" t="s">
        <v>1563</v>
      </c>
      <c r="C79" s="3" t="s">
        <v>80</v>
      </c>
      <c r="D79" s="3" t="s">
        <v>997</v>
      </c>
      <c r="E79" s="3" t="s">
        <v>1572</v>
      </c>
      <c r="F79" s="3" t="s">
        <v>1574</v>
      </c>
      <c r="G79" s="3">
        <v>31.0</v>
      </c>
      <c r="H79" s="3"/>
      <c r="I79" s="3"/>
      <c r="J79" s="3" t="s">
        <v>1428</v>
      </c>
      <c r="K79" s="3"/>
      <c r="L79" s="3" t="s">
        <v>1434</v>
      </c>
    </row>
    <row r="80" ht="15.75" customHeight="1">
      <c r="A80" s="3" t="s">
        <v>1020</v>
      </c>
      <c r="B80" s="3" t="s">
        <v>1563</v>
      </c>
      <c r="C80" s="3" t="s">
        <v>80</v>
      </c>
      <c r="D80" s="3" t="s">
        <v>1002</v>
      </c>
      <c r="E80" s="3" t="s">
        <v>1575</v>
      </c>
      <c r="F80" s="3" t="s">
        <v>1576</v>
      </c>
      <c r="G80" s="3">
        <v>31.0</v>
      </c>
      <c r="H80" s="3"/>
      <c r="I80" s="3"/>
      <c r="J80" s="3" t="s">
        <v>1428</v>
      </c>
      <c r="K80" s="3"/>
      <c r="L80" s="3" t="s">
        <v>1434</v>
      </c>
    </row>
    <row r="81" ht="15.75" customHeight="1">
      <c r="A81" s="3" t="s">
        <v>1020</v>
      </c>
      <c r="B81" s="3" t="s">
        <v>1563</v>
      </c>
      <c r="C81" s="3" t="s">
        <v>80</v>
      </c>
      <c r="D81" s="3" t="s">
        <v>1009</v>
      </c>
      <c r="E81" s="3" t="s">
        <v>1575</v>
      </c>
      <c r="F81" s="3" t="s">
        <v>1577</v>
      </c>
      <c r="G81" s="3">
        <v>31.0</v>
      </c>
      <c r="H81" s="3"/>
      <c r="I81" s="3"/>
      <c r="J81" s="3" t="s">
        <v>1428</v>
      </c>
      <c r="K81" s="3"/>
      <c r="L81" s="3" t="s">
        <v>1434</v>
      </c>
    </row>
    <row r="82" ht="15.75" customHeight="1">
      <c r="A82" s="3" t="s">
        <v>1061</v>
      </c>
      <c r="B82" s="3" t="s">
        <v>1578</v>
      </c>
      <c r="C82" s="3" t="s">
        <v>1227</v>
      </c>
      <c r="D82" s="3" t="s">
        <v>1120</v>
      </c>
      <c r="E82" s="3" t="s">
        <v>1579</v>
      </c>
      <c r="F82" s="3" t="s">
        <v>1580</v>
      </c>
      <c r="G82" s="3">
        <v>25.0</v>
      </c>
      <c r="H82" s="3"/>
      <c r="I82" s="3"/>
      <c r="J82" s="3" t="s">
        <v>1428</v>
      </c>
      <c r="K82" s="3"/>
      <c r="L82" s="3" t="s">
        <v>1428</v>
      </c>
    </row>
    <row r="83" ht="15.75" customHeight="1">
      <c r="A83" s="3" t="s">
        <v>1061</v>
      </c>
      <c r="B83" s="3" t="s">
        <v>1578</v>
      </c>
      <c r="C83" s="3" t="s">
        <v>1227</v>
      </c>
      <c r="D83" s="3" t="s">
        <v>1134</v>
      </c>
      <c r="E83" s="3" t="s">
        <v>1581</v>
      </c>
      <c r="F83" s="3" t="s">
        <v>1582</v>
      </c>
      <c r="G83" s="3">
        <v>25.0</v>
      </c>
      <c r="H83" s="3"/>
      <c r="I83" s="3"/>
      <c r="J83" s="3" t="s">
        <v>1428</v>
      </c>
      <c r="K83" s="3"/>
      <c r="L83" s="3" t="s">
        <v>1428</v>
      </c>
    </row>
    <row r="84" ht="15.75" customHeight="1">
      <c r="A84" s="3" t="s">
        <v>1061</v>
      </c>
      <c r="B84" s="3" t="s">
        <v>1578</v>
      </c>
      <c r="C84" s="3" t="s">
        <v>1227</v>
      </c>
      <c r="D84" s="3" t="s">
        <v>1136</v>
      </c>
      <c r="E84" s="3" t="s">
        <v>1583</v>
      </c>
      <c r="F84" s="3" t="s">
        <v>1584</v>
      </c>
      <c r="G84" s="3">
        <v>25.0</v>
      </c>
      <c r="H84" s="3"/>
      <c r="I84" s="3"/>
      <c r="J84" s="3" t="s">
        <v>1428</v>
      </c>
      <c r="K84" s="3"/>
      <c r="L84" s="3" t="s">
        <v>1428</v>
      </c>
    </row>
    <row r="85" ht="15.75" customHeight="1">
      <c r="A85" s="3" t="s">
        <v>1061</v>
      </c>
      <c r="B85" s="3" t="s">
        <v>1578</v>
      </c>
      <c r="C85" s="3" t="s">
        <v>1227</v>
      </c>
      <c r="D85" s="3" t="s">
        <v>1140</v>
      </c>
      <c r="E85" s="3" t="s">
        <v>1585</v>
      </c>
      <c r="F85" s="3" t="s">
        <v>1586</v>
      </c>
      <c r="G85" s="3">
        <v>25.0</v>
      </c>
      <c r="H85" s="3"/>
      <c r="I85" s="3"/>
      <c r="J85" s="3" t="s">
        <v>1428</v>
      </c>
      <c r="K85" s="3"/>
      <c r="L85" s="3" t="s">
        <v>1428</v>
      </c>
    </row>
    <row r="86" ht="15.75" customHeight="1">
      <c r="A86" s="3" t="s">
        <v>1061</v>
      </c>
      <c r="B86" s="3" t="s">
        <v>1578</v>
      </c>
      <c r="C86" s="3" t="s">
        <v>80</v>
      </c>
      <c r="D86" s="3" t="s">
        <v>1152</v>
      </c>
      <c r="E86" s="3" t="s">
        <v>1587</v>
      </c>
      <c r="F86" s="3" t="s">
        <v>1588</v>
      </c>
      <c r="G86" s="3">
        <v>25.0</v>
      </c>
      <c r="H86" s="3"/>
      <c r="I86" s="3"/>
      <c r="J86" s="3" t="s">
        <v>1435</v>
      </c>
      <c r="K86" s="3"/>
      <c r="L86" s="3" t="s">
        <v>1589</v>
      </c>
    </row>
    <row r="87" ht="15.75" customHeight="1">
      <c r="A87" s="3" t="s">
        <v>1061</v>
      </c>
      <c r="B87" s="3" t="s">
        <v>1578</v>
      </c>
      <c r="C87" s="3" t="s">
        <v>80</v>
      </c>
      <c r="D87" s="3" t="s">
        <v>1159</v>
      </c>
      <c r="E87" s="3" t="s">
        <v>1590</v>
      </c>
      <c r="F87" s="3" t="s">
        <v>1591</v>
      </c>
      <c r="G87" s="3">
        <v>25.0</v>
      </c>
      <c r="H87" s="3"/>
      <c r="I87" s="3"/>
      <c r="J87" s="3" t="s">
        <v>1435</v>
      </c>
      <c r="K87" s="3"/>
      <c r="L87" s="3" t="s">
        <v>1589</v>
      </c>
    </row>
    <row r="88" ht="15.75" customHeight="1">
      <c r="A88" s="3" t="s">
        <v>1061</v>
      </c>
      <c r="B88" s="3" t="s">
        <v>1578</v>
      </c>
      <c r="C88" s="3" t="s">
        <v>80</v>
      </c>
      <c r="D88" s="3" t="s">
        <v>1172</v>
      </c>
      <c r="E88" s="3" t="s">
        <v>1587</v>
      </c>
      <c r="F88" s="3" t="s">
        <v>1592</v>
      </c>
      <c r="G88" s="3">
        <v>25.0</v>
      </c>
      <c r="H88" s="3"/>
      <c r="I88" s="3"/>
      <c r="J88" s="3" t="s">
        <v>1435</v>
      </c>
      <c r="K88" s="3"/>
      <c r="L88" s="3" t="s">
        <v>1589</v>
      </c>
    </row>
    <row r="89" ht="15.75" customHeight="1">
      <c r="A89" s="3" t="s">
        <v>1061</v>
      </c>
      <c r="B89" s="3" t="s">
        <v>1578</v>
      </c>
      <c r="C89" s="3" t="s">
        <v>80</v>
      </c>
      <c r="D89" s="3" t="s">
        <v>1178</v>
      </c>
      <c r="E89" s="3" t="s">
        <v>1587</v>
      </c>
      <c r="F89" s="3" t="s">
        <v>1593</v>
      </c>
      <c r="G89" s="3">
        <v>25.0</v>
      </c>
      <c r="H89" s="3"/>
      <c r="I89" s="3"/>
      <c r="J89" s="3" t="s">
        <v>1435</v>
      </c>
      <c r="K89" s="3"/>
      <c r="L89" s="3" t="s">
        <v>1589</v>
      </c>
    </row>
    <row r="90" ht="15.75" customHeight="1">
      <c r="A90" s="3" t="s">
        <v>1117</v>
      </c>
      <c r="B90" s="3" t="s">
        <v>1594</v>
      </c>
      <c r="C90" s="3" t="s">
        <v>1227</v>
      </c>
      <c r="D90" s="3" t="s">
        <v>613</v>
      </c>
      <c r="E90" s="3" t="s">
        <v>1595</v>
      </c>
      <c r="F90" s="3" t="s">
        <v>1596</v>
      </c>
      <c r="G90" s="3">
        <v>24.0</v>
      </c>
      <c r="H90" s="3"/>
      <c r="I90" s="3"/>
      <c r="J90" s="3" t="s">
        <v>1428</v>
      </c>
      <c r="K90" s="3"/>
      <c r="L90" s="3" t="s">
        <v>1428</v>
      </c>
    </row>
    <row r="91" ht="15.75" customHeight="1">
      <c r="A91" s="3" t="s">
        <v>1117</v>
      </c>
      <c r="B91" s="3" t="s">
        <v>1594</v>
      </c>
      <c r="C91" s="3" t="s">
        <v>1227</v>
      </c>
      <c r="D91" s="3" t="s">
        <v>619</v>
      </c>
      <c r="E91" s="3" t="s">
        <v>1481</v>
      </c>
      <c r="F91" s="3" t="s">
        <v>1597</v>
      </c>
      <c r="G91" s="3">
        <v>24.0</v>
      </c>
      <c r="H91" s="3"/>
      <c r="I91" s="3"/>
      <c r="J91" s="3" t="s">
        <v>1428</v>
      </c>
      <c r="K91" s="3"/>
      <c r="L91" s="3" t="s">
        <v>1428</v>
      </c>
    </row>
    <row r="92" ht="15.75" customHeight="1">
      <c r="A92" s="3" t="s">
        <v>1117</v>
      </c>
      <c r="B92" s="3" t="s">
        <v>1594</v>
      </c>
      <c r="C92" s="3" t="s">
        <v>1227</v>
      </c>
      <c r="D92" s="3" t="s">
        <v>623</v>
      </c>
      <c r="E92" s="3" t="s">
        <v>1598</v>
      </c>
      <c r="F92" s="3" t="s">
        <v>1599</v>
      </c>
      <c r="G92" s="3">
        <v>24.0</v>
      </c>
      <c r="H92" s="3"/>
      <c r="I92" s="3"/>
      <c r="J92" s="3" t="s">
        <v>1428</v>
      </c>
      <c r="K92" s="3"/>
      <c r="L92" s="3" t="s">
        <v>1428</v>
      </c>
    </row>
    <row r="93" ht="15.75" customHeight="1">
      <c r="A93" s="3" t="s">
        <v>1117</v>
      </c>
      <c r="B93" s="3" t="s">
        <v>1594</v>
      </c>
      <c r="C93" s="3" t="s">
        <v>1227</v>
      </c>
      <c r="D93" s="3" t="s">
        <v>627</v>
      </c>
      <c r="E93" s="3" t="s">
        <v>1600</v>
      </c>
      <c r="F93" s="3" t="s">
        <v>1601</v>
      </c>
      <c r="G93" s="3">
        <v>24.0</v>
      </c>
      <c r="H93" s="3"/>
      <c r="I93" s="3"/>
      <c r="J93" s="3" t="s">
        <v>1428</v>
      </c>
      <c r="K93" s="3"/>
      <c r="L93" s="3" t="s">
        <v>1428</v>
      </c>
    </row>
    <row r="94" ht="15.75" customHeight="1">
      <c r="A94" s="3" t="s">
        <v>1117</v>
      </c>
      <c r="B94" s="3" t="s">
        <v>1594</v>
      </c>
      <c r="C94" s="3" t="s">
        <v>80</v>
      </c>
      <c r="D94" s="3" t="s">
        <v>633</v>
      </c>
      <c r="E94" s="3" t="s">
        <v>1602</v>
      </c>
      <c r="F94" s="3" t="s">
        <v>1603</v>
      </c>
      <c r="G94" s="3">
        <v>48.0</v>
      </c>
      <c r="H94" s="3"/>
      <c r="I94" s="3"/>
      <c r="J94" s="3" t="s">
        <v>1434</v>
      </c>
      <c r="K94" s="3"/>
      <c r="L94" s="3" t="s">
        <v>1435</v>
      </c>
    </row>
    <row r="95" ht="15.75" customHeight="1">
      <c r="A95" s="3" t="s">
        <v>1117</v>
      </c>
      <c r="B95" s="3" t="s">
        <v>1594</v>
      </c>
      <c r="C95" s="3" t="s">
        <v>80</v>
      </c>
      <c r="D95" s="3" t="s">
        <v>644</v>
      </c>
      <c r="E95" s="3" t="s">
        <v>1604</v>
      </c>
      <c r="F95" s="3" t="s">
        <v>1605</v>
      </c>
      <c r="G95" s="3">
        <v>48.0</v>
      </c>
      <c r="H95" s="3"/>
      <c r="I95" s="3"/>
      <c r="J95" s="3" t="s">
        <v>1434</v>
      </c>
      <c r="K95" s="3"/>
      <c r="L95" s="3" t="s">
        <v>1435</v>
      </c>
    </row>
    <row r="96" ht="15.75" customHeight="1">
      <c r="A96" s="3" t="s">
        <v>1117</v>
      </c>
      <c r="B96" s="3" t="s">
        <v>1594</v>
      </c>
      <c r="C96" s="3" t="s">
        <v>80</v>
      </c>
      <c r="D96" s="3" t="s">
        <v>649</v>
      </c>
      <c r="E96" s="3" t="s">
        <v>1606</v>
      </c>
      <c r="F96" s="3" t="s">
        <v>1607</v>
      </c>
      <c r="G96" s="3">
        <v>48.0</v>
      </c>
      <c r="H96" s="3"/>
      <c r="I96" s="3"/>
      <c r="J96" s="3" t="s">
        <v>1434</v>
      </c>
      <c r="K96" s="3"/>
      <c r="L96" s="3" t="s">
        <v>1435</v>
      </c>
    </row>
    <row r="97" ht="15.75" customHeight="1">
      <c r="A97" s="3" t="s">
        <v>1117</v>
      </c>
      <c r="B97" s="3" t="s">
        <v>1594</v>
      </c>
      <c r="C97" s="3" t="s">
        <v>80</v>
      </c>
      <c r="D97" s="3" t="s">
        <v>657</v>
      </c>
      <c r="E97" s="3" t="s">
        <v>1608</v>
      </c>
      <c r="F97" s="3" t="s">
        <v>1609</v>
      </c>
      <c r="G97" s="3">
        <v>48.0</v>
      </c>
      <c r="H97" s="3"/>
      <c r="I97" s="3"/>
      <c r="J97" s="3" t="s">
        <v>1434</v>
      </c>
      <c r="K97" s="3"/>
      <c r="L97" s="3" t="s">
        <v>1435</v>
      </c>
    </row>
    <row r="98" ht="15.75" customHeight="1">
      <c r="J98" s="11"/>
      <c r="K98" s="11"/>
      <c r="L98" s="11"/>
    </row>
    <row r="99" ht="15.75" customHeight="1">
      <c r="J99" s="11"/>
      <c r="K99" s="11"/>
      <c r="L99" s="11"/>
    </row>
    <row r="100" ht="15.75" customHeight="1">
      <c r="J100" s="11"/>
      <c r="K100" s="11"/>
      <c r="L100" s="1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C189" s="11"/>
      <c r="J189" s="11"/>
      <c r="K189" s="11"/>
      <c r="L189" s="11"/>
    </row>
    <row r="190" ht="15.75" customHeight="1">
      <c r="C190" s="11"/>
      <c r="J190" s="11"/>
      <c r="K190" s="11"/>
      <c r="L190" s="11"/>
    </row>
    <row r="191" ht="15.75" customHeight="1">
      <c r="C191" s="11"/>
      <c r="J191" s="11"/>
      <c r="K191" s="11"/>
      <c r="L191" s="11"/>
    </row>
    <row r="192" ht="15.75" customHeight="1">
      <c r="C192" s="11"/>
      <c r="J192" s="11"/>
      <c r="K192" s="11"/>
      <c r="L192" s="11"/>
    </row>
    <row r="193" ht="15.75" customHeight="1">
      <c r="C193" s="11"/>
      <c r="J193" s="11"/>
      <c r="K193" s="11"/>
      <c r="L193" s="11"/>
    </row>
    <row r="194" ht="15.75" customHeight="1">
      <c r="C194" s="11"/>
      <c r="J194" s="11"/>
      <c r="K194" s="11"/>
      <c r="L194" s="11"/>
    </row>
    <row r="195" ht="15.75" customHeight="1">
      <c r="C195" s="11"/>
      <c r="J195" s="11"/>
      <c r="K195" s="11"/>
      <c r="L195" s="11"/>
    </row>
    <row r="196" ht="15.75" customHeight="1">
      <c r="C196" s="11"/>
      <c r="J196" s="11"/>
      <c r="K196" s="11"/>
      <c r="L196" s="11"/>
    </row>
    <row r="197" ht="15.75" customHeight="1">
      <c r="C197" s="11"/>
      <c r="J197" s="11"/>
      <c r="K197" s="11"/>
      <c r="L197" s="11"/>
    </row>
    <row r="198" ht="15.75" customHeight="1">
      <c r="C198" s="11"/>
      <c r="J198" s="11"/>
      <c r="K198" s="11"/>
      <c r="L198" s="11"/>
    </row>
    <row r="199" ht="15.75" customHeight="1">
      <c r="C199" s="11"/>
      <c r="J199" s="11"/>
      <c r="K199" s="11"/>
      <c r="L199" s="11"/>
    </row>
    <row r="200" ht="15.75" customHeight="1">
      <c r="C200" s="11"/>
      <c r="J200" s="11"/>
      <c r="K200" s="11"/>
      <c r="L200" s="11"/>
    </row>
    <row r="201" ht="15.75" customHeight="1">
      <c r="C201" s="11"/>
      <c r="J201" s="11"/>
      <c r="K201" s="11"/>
      <c r="L201" s="11"/>
    </row>
    <row r="202" ht="15.75" customHeight="1">
      <c r="C202" s="11"/>
      <c r="J202" s="11"/>
      <c r="K202" s="11"/>
      <c r="L202" s="11"/>
    </row>
    <row r="203" ht="15.75" customHeight="1">
      <c r="C203" s="11"/>
      <c r="J203" s="11"/>
      <c r="K203" s="11"/>
      <c r="L203" s="11"/>
    </row>
    <row r="204" ht="15.75" customHeight="1">
      <c r="C204" s="11"/>
      <c r="J204" s="11"/>
      <c r="K204" s="11"/>
      <c r="L204" s="11"/>
    </row>
    <row r="205" ht="15.75" customHeight="1">
      <c r="C205" s="11"/>
      <c r="J205" s="11"/>
      <c r="K205" s="11"/>
      <c r="L205" s="11"/>
    </row>
    <row r="206" ht="15.75" customHeight="1">
      <c r="C206" s="11"/>
      <c r="J206" s="11"/>
      <c r="K206" s="11"/>
      <c r="L206" s="11"/>
    </row>
    <row r="207" ht="15.75" customHeight="1">
      <c r="C207" s="11"/>
      <c r="J207" s="11"/>
      <c r="K207" s="11"/>
      <c r="L207" s="11"/>
    </row>
    <row r="208" ht="15.75" customHeight="1">
      <c r="C208" s="11"/>
      <c r="J208" s="11"/>
      <c r="K208" s="11"/>
      <c r="L208" s="11"/>
    </row>
    <row r="209" ht="15.75" customHeight="1">
      <c r="C209" s="11"/>
      <c r="J209" s="11"/>
      <c r="K209" s="11"/>
      <c r="L209" s="11"/>
    </row>
    <row r="210" ht="15.75" customHeight="1">
      <c r="C210" s="11"/>
      <c r="J210" s="11"/>
      <c r="K210" s="11"/>
      <c r="L210" s="11"/>
    </row>
    <row r="211" ht="15.75" customHeight="1">
      <c r="C211" s="11"/>
      <c r="J211" s="11"/>
      <c r="K211" s="11"/>
      <c r="L211" s="11"/>
    </row>
    <row r="212" ht="15.75" customHeight="1">
      <c r="C212" s="11"/>
      <c r="J212" s="11"/>
      <c r="K212" s="11"/>
      <c r="L212" s="11"/>
    </row>
    <row r="213" ht="15.75" customHeight="1">
      <c r="C213" s="11"/>
      <c r="J213" s="11"/>
      <c r="K213" s="11"/>
      <c r="L213" s="11"/>
    </row>
    <row r="214" ht="15.75" customHeight="1">
      <c r="C214" s="11"/>
      <c r="J214" s="11"/>
      <c r="K214" s="11"/>
      <c r="L214" s="11"/>
    </row>
    <row r="215" ht="15.75" customHeight="1">
      <c r="C215" s="11"/>
      <c r="J215" s="11"/>
      <c r="K215" s="11"/>
      <c r="L215" s="11"/>
    </row>
    <row r="216" ht="15.75" customHeight="1">
      <c r="C216" s="11"/>
      <c r="J216" s="11"/>
      <c r="K216" s="11"/>
      <c r="L216" s="11"/>
    </row>
    <row r="217" ht="15.75" customHeight="1">
      <c r="C217" s="11"/>
      <c r="J217" s="11"/>
      <c r="K217" s="11"/>
      <c r="L217" s="11"/>
    </row>
    <row r="218" ht="15.75" customHeight="1">
      <c r="C218" s="11"/>
      <c r="J218" s="11"/>
      <c r="K218" s="11"/>
      <c r="L218" s="11"/>
    </row>
    <row r="219" ht="15.75" customHeight="1">
      <c r="C219" s="11"/>
      <c r="J219" s="11"/>
      <c r="K219" s="11"/>
      <c r="L219" s="11"/>
    </row>
    <row r="220" ht="15.75" customHeight="1">
      <c r="C220" s="11"/>
      <c r="J220" s="11"/>
      <c r="K220" s="11"/>
      <c r="L220" s="11"/>
    </row>
    <row r="221" ht="15.75" customHeight="1">
      <c r="C221" s="11"/>
      <c r="J221" s="11"/>
      <c r="K221" s="11"/>
      <c r="L221" s="11"/>
    </row>
    <row r="222" ht="15.75" customHeight="1">
      <c r="C222" s="11"/>
      <c r="J222" s="11"/>
      <c r="K222" s="11"/>
      <c r="L222" s="11"/>
    </row>
    <row r="223" ht="15.75" customHeight="1">
      <c r="C223" s="11"/>
      <c r="J223" s="11"/>
      <c r="K223" s="11"/>
      <c r="L223" s="11"/>
    </row>
    <row r="224" ht="15.75" customHeight="1">
      <c r="C224" s="11"/>
      <c r="J224" s="11"/>
      <c r="K224" s="11"/>
      <c r="L224" s="11"/>
    </row>
    <row r="225" ht="15.75" customHeight="1">
      <c r="C225" s="11"/>
      <c r="J225" s="11"/>
      <c r="K225" s="11"/>
      <c r="L225" s="11"/>
    </row>
    <row r="226" ht="15.75" customHeight="1">
      <c r="C226" s="11"/>
      <c r="J226" s="11"/>
      <c r="K226" s="11"/>
      <c r="L226" s="11"/>
    </row>
    <row r="227" ht="15.75" customHeight="1">
      <c r="C227" s="11"/>
      <c r="J227" s="11"/>
      <c r="K227" s="11"/>
      <c r="L227" s="11"/>
    </row>
    <row r="228" ht="15.75" customHeight="1">
      <c r="C228" s="11"/>
      <c r="J228" s="11"/>
      <c r="K228" s="11"/>
      <c r="L228" s="11"/>
    </row>
    <row r="229" ht="15.75" customHeight="1">
      <c r="C229" s="11"/>
      <c r="J229" s="11"/>
      <c r="K229" s="11"/>
      <c r="L229" s="11"/>
    </row>
    <row r="230" ht="15.75" customHeight="1">
      <c r="C230" s="11"/>
      <c r="J230" s="11"/>
      <c r="K230" s="11"/>
      <c r="L230" s="11"/>
    </row>
    <row r="231" ht="15.75" customHeight="1">
      <c r="C231" s="11"/>
      <c r="J231" s="11"/>
      <c r="K231" s="11"/>
      <c r="L231" s="11"/>
    </row>
    <row r="232" ht="15.75" customHeight="1">
      <c r="C232" s="11"/>
      <c r="J232" s="11"/>
      <c r="K232" s="11"/>
      <c r="L232" s="11"/>
    </row>
    <row r="233" ht="15.75" customHeight="1">
      <c r="C233" s="11"/>
      <c r="J233" s="11"/>
      <c r="K233" s="11"/>
      <c r="L233" s="11"/>
    </row>
    <row r="234" ht="15.75" customHeight="1">
      <c r="C234" s="11"/>
      <c r="J234" s="11"/>
      <c r="K234" s="11"/>
      <c r="L234" s="11"/>
    </row>
    <row r="235" ht="15.75" customHeight="1">
      <c r="C235" s="11"/>
      <c r="J235" s="11"/>
      <c r="K235" s="11"/>
      <c r="L235" s="11"/>
    </row>
    <row r="236" ht="15.75" customHeight="1">
      <c r="C236" s="11"/>
      <c r="J236" s="11"/>
      <c r="K236" s="11"/>
      <c r="L236" s="11"/>
    </row>
    <row r="237" ht="15.75" customHeight="1">
      <c r="C237" s="11"/>
      <c r="J237" s="11"/>
      <c r="K237" s="11"/>
      <c r="L237" s="11"/>
    </row>
    <row r="238" ht="15.75" customHeight="1">
      <c r="C238" s="11"/>
      <c r="J238" s="11"/>
      <c r="K238" s="11"/>
      <c r="L238" s="11"/>
    </row>
    <row r="239" ht="15.75" customHeight="1">
      <c r="C239" s="11"/>
      <c r="J239" s="11"/>
      <c r="K239" s="11"/>
      <c r="L239" s="11"/>
    </row>
    <row r="240" ht="15.75" customHeight="1">
      <c r="C240" s="11"/>
      <c r="J240" s="11"/>
      <c r="K240" s="11"/>
      <c r="L240" s="11"/>
    </row>
    <row r="241" ht="15.75" customHeight="1">
      <c r="C241" s="11"/>
      <c r="J241" s="11"/>
      <c r="K241" s="11"/>
      <c r="L241" s="11"/>
    </row>
    <row r="242" ht="15.75" customHeight="1">
      <c r="C242" s="11"/>
      <c r="J242" s="11"/>
      <c r="K242" s="11"/>
      <c r="L242" s="11"/>
    </row>
    <row r="243" ht="15.75" customHeight="1">
      <c r="C243" s="11"/>
      <c r="J243" s="11"/>
      <c r="K243" s="11"/>
      <c r="L243" s="11"/>
    </row>
    <row r="244" ht="15.75" customHeight="1">
      <c r="C244" s="11"/>
      <c r="J244" s="11"/>
      <c r="K244" s="11"/>
      <c r="L244" s="11"/>
    </row>
    <row r="245" ht="15.75" customHeight="1">
      <c r="C245" s="11"/>
      <c r="J245" s="11"/>
      <c r="K245" s="11"/>
      <c r="L245" s="11"/>
    </row>
    <row r="246" ht="15.75" customHeight="1">
      <c r="C246" s="11"/>
      <c r="J246" s="11"/>
      <c r="K246" s="11"/>
      <c r="L246" s="11"/>
    </row>
    <row r="247" ht="15.75" customHeight="1">
      <c r="C247" s="11"/>
      <c r="J247" s="11"/>
      <c r="K247" s="11"/>
      <c r="L247" s="11"/>
    </row>
    <row r="248" ht="15.75" customHeight="1">
      <c r="C248" s="11"/>
      <c r="J248" s="11"/>
      <c r="K248" s="11"/>
      <c r="L248" s="11"/>
    </row>
    <row r="249" ht="15.75" customHeight="1">
      <c r="C249" s="11"/>
      <c r="J249" s="11"/>
      <c r="K249" s="11"/>
      <c r="L249" s="11"/>
    </row>
    <row r="250" ht="15.75" customHeight="1">
      <c r="C250" s="11"/>
      <c r="J250" s="11"/>
      <c r="K250" s="11"/>
      <c r="L250" s="11"/>
    </row>
    <row r="251" ht="15.75" customHeight="1">
      <c r="C251" s="11"/>
      <c r="J251" s="11"/>
      <c r="K251" s="11"/>
      <c r="L251" s="11"/>
    </row>
    <row r="252" ht="15.75" customHeight="1">
      <c r="C252" s="11"/>
      <c r="J252" s="11"/>
      <c r="K252" s="11"/>
      <c r="L252" s="11"/>
    </row>
    <row r="253" ht="15.75" customHeight="1">
      <c r="C253" s="11"/>
      <c r="J253" s="11"/>
      <c r="K253" s="11"/>
      <c r="L253" s="11"/>
    </row>
    <row r="254" ht="15.75" customHeight="1">
      <c r="C254" s="11"/>
      <c r="J254" s="11"/>
      <c r="K254" s="11"/>
      <c r="L254" s="11"/>
    </row>
    <row r="255" ht="15.75" customHeight="1">
      <c r="C255" s="11"/>
      <c r="J255" s="11"/>
      <c r="K255" s="11"/>
      <c r="L255" s="11"/>
    </row>
    <row r="256" ht="15.75" customHeight="1">
      <c r="C256" s="11"/>
      <c r="J256" s="11"/>
      <c r="K256" s="11"/>
      <c r="L256" s="11"/>
    </row>
    <row r="257" ht="15.75" customHeight="1">
      <c r="C257" s="11"/>
      <c r="J257" s="11"/>
      <c r="K257" s="11"/>
      <c r="L257" s="11"/>
    </row>
    <row r="258" ht="15.75" customHeight="1">
      <c r="C258" s="11"/>
      <c r="J258" s="11"/>
      <c r="K258" s="11"/>
      <c r="L258" s="11"/>
    </row>
    <row r="259" ht="15.75" customHeight="1">
      <c r="C259" s="11"/>
      <c r="J259" s="11"/>
      <c r="K259" s="11"/>
      <c r="L259" s="11"/>
    </row>
    <row r="260" ht="15.75" customHeight="1">
      <c r="C260" s="11"/>
      <c r="J260" s="11"/>
      <c r="K260" s="11"/>
      <c r="L260" s="11"/>
    </row>
    <row r="261" ht="15.75" customHeight="1">
      <c r="C261" s="11"/>
      <c r="J261" s="11"/>
      <c r="K261" s="11"/>
      <c r="L261" s="11"/>
    </row>
    <row r="262" ht="15.75" customHeight="1">
      <c r="C262" s="11"/>
      <c r="J262" s="11"/>
      <c r="K262" s="11"/>
      <c r="L262" s="11"/>
    </row>
    <row r="263" ht="15.75" customHeight="1">
      <c r="C263" s="11"/>
      <c r="J263" s="11"/>
      <c r="K263" s="11"/>
      <c r="L263" s="11"/>
    </row>
    <row r="264" ht="15.75" customHeight="1">
      <c r="C264" s="11"/>
      <c r="J264" s="11"/>
      <c r="K264" s="11"/>
      <c r="L264" s="11"/>
    </row>
    <row r="265" ht="15.75" customHeight="1">
      <c r="C265" s="11"/>
      <c r="J265" s="11"/>
      <c r="K265" s="11"/>
      <c r="L265" s="11"/>
    </row>
    <row r="266" ht="15.75" customHeight="1">
      <c r="C266" s="11"/>
      <c r="J266" s="11"/>
      <c r="K266" s="11"/>
      <c r="L266" s="11"/>
    </row>
    <row r="267" ht="15.75" customHeight="1">
      <c r="C267" s="11"/>
      <c r="J267" s="11"/>
      <c r="K267" s="11"/>
      <c r="L267" s="11"/>
    </row>
    <row r="268" ht="15.75" customHeight="1">
      <c r="C268" s="11"/>
      <c r="J268" s="11"/>
      <c r="K268" s="11"/>
      <c r="L268" s="11"/>
    </row>
    <row r="269" ht="15.75" customHeight="1">
      <c r="C269" s="11"/>
      <c r="J269" s="11"/>
      <c r="K269" s="11"/>
      <c r="L269" s="11"/>
    </row>
    <row r="270" ht="15.75" customHeight="1">
      <c r="C270" s="11"/>
      <c r="J270" s="11"/>
      <c r="K270" s="11"/>
      <c r="L270" s="11"/>
    </row>
    <row r="271" ht="15.75" customHeight="1">
      <c r="C271" s="11"/>
      <c r="J271" s="11"/>
      <c r="K271" s="11"/>
      <c r="L271" s="11"/>
    </row>
    <row r="272" ht="15.75" customHeight="1">
      <c r="C272" s="11"/>
      <c r="J272" s="11"/>
      <c r="K272" s="11"/>
      <c r="L272" s="11"/>
    </row>
    <row r="273" ht="15.75" customHeight="1">
      <c r="C273" s="11"/>
      <c r="J273" s="11"/>
      <c r="K273" s="11"/>
      <c r="L273" s="11"/>
    </row>
    <row r="274" ht="15.75" customHeight="1">
      <c r="C274" s="11"/>
      <c r="J274" s="11"/>
      <c r="K274" s="11"/>
      <c r="L274" s="11"/>
    </row>
    <row r="275" ht="15.75" customHeight="1">
      <c r="C275" s="11"/>
      <c r="J275" s="11"/>
      <c r="K275" s="11"/>
      <c r="L275" s="11"/>
    </row>
    <row r="276" ht="15.75" customHeight="1">
      <c r="C276" s="11"/>
      <c r="J276" s="11"/>
      <c r="K276" s="11"/>
      <c r="L276" s="11"/>
    </row>
    <row r="277" ht="15.75" customHeight="1">
      <c r="C277" s="11"/>
      <c r="J277" s="11"/>
      <c r="K277" s="11"/>
      <c r="L277" s="11"/>
    </row>
    <row r="278" ht="15.75" customHeight="1">
      <c r="C278" s="11"/>
      <c r="J278" s="11"/>
      <c r="K278" s="11"/>
      <c r="L278" s="11"/>
    </row>
    <row r="279" ht="15.75" customHeight="1">
      <c r="C279" s="11"/>
      <c r="J279" s="11"/>
      <c r="K279" s="11"/>
      <c r="L279" s="11"/>
    </row>
    <row r="280" ht="15.75" customHeight="1">
      <c r="C280" s="11"/>
      <c r="J280" s="11"/>
      <c r="K280" s="11"/>
      <c r="L280" s="11"/>
    </row>
    <row r="281" ht="15.75" customHeight="1">
      <c r="C281" s="11"/>
      <c r="J281" s="11"/>
      <c r="K281" s="11"/>
      <c r="L281" s="11"/>
    </row>
    <row r="282" ht="15.75" customHeight="1">
      <c r="C282" s="11"/>
      <c r="J282" s="11"/>
      <c r="K282" s="11"/>
      <c r="L282" s="11"/>
    </row>
    <row r="283" ht="15.75" customHeight="1">
      <c r="C283" s="11"/>
      <c r="J283" s="11"/>
      <c r="K283" s="11"/>
      <c r="L283" s="11"/>
    </row>
    <row r="284" ht="15.75" customHeight="1">
      <c r="C284" s="11"/>
      <c r="J284" s="11"/>
      <c r="K284" s="11"/>
      <c r="L284" s="11"/>
    </row>
    <row r="285" ht="15.75" customHeight="1">
      <c r="C285" s="11"/>
      <c r="J285" s="11"/>
      <c r="K285" s="11"/>
      <c r="L285" s="11"/>
    </row>
    <row r="286" ht="15.75" customHeight="1">
      <c r="C286" s="11"/>
      <c r="J286" s="11"/>
      <c r="K286" s="11"/>
      <c r="L286" s="11"/>
    </row>
    <row r="287" ht="15.75" customHeight="1">
      <c r="C287" s="11"/>
      <c r="J287" s="11"/>
      <c r="K287" s="11"/>
      <c r="L287" s="11"/>
    </row>
    <row r="288" ht="15.75" customHeight="1">
      <c r="C288" s="11"/>
      <c r="J288" s="11"/>
      <c r="K288" s="11"/>
      <c r="L288" s="11"/>
    </row>
    <row r="289" ht="15.75" customHeight="1">
      <c r="C289" s="11"/>
      <c r="J289" s="11"/>
      <c r="K289" s="11"/>
      <c r="L289" s="11"/>
    </row>
    <row r="290" ht="15.75" customHeight="1">
      <c r="C290" s="11"/>
      <c r="J290" s="11"/>
      <c r="K290" s="11"/>
      <c r="L290" s="11"/>
    </row>
    <row r="291" ht="15.75" customHeight="1">
      <c r="C291" s="11"/>
      <c r="J291" s="11"/>
      <c r="K291" s="11"/>
      <c r="L291" s="11"/>
    </row>
    <row r="292" ht="15.75" customHeight="1">
      <c r="C292" s="11"/>
      <c r="J292" s="11"/>
      <c r="K292" s="11"/>
      <c r="L292" s="11"/>
    </row>
    <row r="293" ht="15.75" customHeight="1">
      <c r="C293" s="11"/>
      <c r="J293" s="11"/>
      <c r="K293" s="11"/>
      <c r="L293" s="11"/>
    </row>
    <row r="294" ht="15.75" customHeight="1">
      <c r="C294" s="11"/>
      <c r="J294" s="11"/>
      <c r="K294" s="11"/>
      <c r="L294" s="11"/>
    </row>
    <row r="295" ht="15.75" customHeight="1">
      <c r="C295" s="11"/>
      <c r="J295" s="11"/>
      <c r="K295" s="11"/>
      <c r="L295" s="11"/>
    </row>
    <row r="296" ht="15.75" customHeight="1">
      <c r="C296" s="11"/>
      <c r="J296" s="11"/>
      <c r="K296" s="11"/>
      <c r="L296" s="11"/>
    </row>
    <row r="297" ht="15.75" customHeight="1">
      <c r="C297" s="11"/>
      <c r="J297" s="11"/>
      <c r="K297" s="11"/>
      <c r="L297" s="11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AB$1005"/>
  <drawing r:id="rId1"/>
</worksheet>
</file>